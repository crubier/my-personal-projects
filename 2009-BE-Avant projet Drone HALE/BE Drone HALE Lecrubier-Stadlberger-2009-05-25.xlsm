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05" yWindow="-60" windowWidth="19320" windowHeight="14340" tabRatio="843" activeTab="3"/>
  </bookViews>
  <sheets>
    <sheet name="Conditions de vol" sheetId="1" r:id="rId1"/>
    <sheet name="Géométrie" sheetId="3" r:id="rId2"/>
    <sheet name="Aerodynamique" sheetId="4" r:id="rId3"/>
    <sheet name="Masses" sheetId="5" r:id="rId4"/>
    <sheet name="Centrage" sheetId="6" r:id="rId5"/>
    <sheet name="Marge statique" sheetId="7" r:id="rId6"/>
    <sheet name="Calage voilure" sheetId="9" r:id="rId7"/>
    <sheet name="Montée" sheetId="10" r:id="rId8"/>
    <sheet name="Croisière" sheetId="12" r:id="rId9"/>
    <sheet name="Descente" sheetId="13" r:id="rId10"/>
    <sheet name="Dessin aménagé" sheetId="8" r:id="rId11"/>
  </sheets>
  <functionGroups/>
  <externalReferences>
    <externalReference r:id="rId12"/>
  </externalReferences>
  <definedNames>
    <definedName name="_r">'Conditions de vol'!$E$6</definedName>
    <definedName name="a">'Conditions de vol'!$B$18</definedName>
    <definedName name="a_fus">Aerodynamique!$C$17</definedName>
    <definedName name="a_nac">Aerodynamique!$C$37</definedName>
    <definedName name="all_emp">Géométrie!$B$59</definedName>
    <definedName name="all_fus">'Conditions de vol'!$E$23</definedName>
    <definedName name="all_voil">'Conditions de vol'!$E$12</definedName>
    <definedName name="alpha">Aerodynamique!$C$2</definedName>
    <definedName name="alpha_calage_voil">Aerodynamique!$F$43</definedName>
    <definedName name="alpha_calage_voil_temp">#REF!</definedName>
    <definedName name="alpha_max">Aerodynamique!$F$53</definedName>
    <definedName name="alpha_max_voil">Aerodynamique!$F$52</definedName>
    <definedName name="alpha_voilure">Aerodynamique!$F$43</definedName>
    <definedName name="alpha0_emp">Aerodynamique!$F$9</definedName>
    <definedName name="alpha0_voil">Aerodynamique!$F$42</definedName>
    <definedName name="alpha0_voil_temp">#REF!</definedName>
    <definedName name="Alt">'Conditions de vol'!$B$7</definedName>
    <definedName name="Altm">'Conditions de vol'!$B$11</definedName>
    <definedName name="b_emp">Géométrie!$B$64</definedName>
    <definedName name="b_emp_globalhawk">Géométrie!$E$44</definedName>
    <definedName name="b_voil">Géométrie!$B$49</definedName>
    <definedName name="b_voil_globalhawk">Géométrie!$E$43</definedName>
    <definedName name="c_emp_emplanture">Géométrie!$B$60</definedName>
    <definedName name="c_emp_emplanture_globalhawk">Géométrie!$E$45</definedName>
    <definedName name="c_emp_saumon">Géométrie!$B$61</definedName>
    <definedName name="c_emp_saumon_globalhawk">Géométrie!$E$46</definedName>
    <definedName name="c_fus">Aerodynamique!$C$18</definedName>
    <definedName name="c_nac">Aerodynamique!$C$38</definedName>
    <definedName name="c_voil_boutreservoir">Masses!$F$56</definedName>
    <definedName name="c_voil_emplanture">Géométrie!$B$45</definedName>
    <definedName name="c_voil_saumon">Géométrie!$B$46</definedName>
    <definedName name="CEmplanture">Géométrie!$B$45</definedName>
    <definedName name="Cf_fus">Aerodynamique!$C$15</definedName>
    <definedName name="Cf_nac">Aerodynamique!$C$35</definedName>
    <definedName name="Cm_voil">Aerodynamique!$C$48</definedName>
    <definedName name="CMA_emp">Géométrie!$B$62</definedName>
    <definedName name="CMA_voil">Géométrie!$B$47</definedName>
    <definedName name="Cp">'Conditions de vol'!$E$8</definedName>
    <definedName name="Cs">Géométrie!$B$6</definedName>
    <definedName name="Cs0">Géométrie!$E$3</definedName>
    <definedName name="CSaumon">Géométrie!$B$46</definedName>
    <definedName name="CsPrime">Géométrie!$E$5</definedName>
    <definedName name="CU">Masses!$B$53</definedName>
    <definedName name="CU_temp">#REF!</definedName>
    <definedName name="cv">'Conditions de vol'!$E$20</definedName>
    <definedName name="Cv_emp">Géométrie!$B$67</definedName>
    <definedName name="Cx_additif">Aerodynamique!$C$55</definedName>
    <definedName name="Cx_avion">Aerodynamique!$L$60</definedName>
    <definedName name="Cx_profil_emp">Aerodynamique!$C$9</definedName>
    <definedName name="Cx_profil_empennage">Aerodynamique!$C$9</definedName>
    <definedName name="Cx0_additif">Aerodynamique!$C$56</definedName>
    <definedName name="Cx0_avion">Aerodynamique!$C$61</definedName>
    <definedName name="Cx0_avion_temp">#REF!</definedName>
    <definedName name="CX0_emp">Aerodynamique!$C$10</definedName>
    <definedName name="Cx0_fus">Aerodynamique!$C$19</definedName>
    <definedName name="Cx0_nac">Aerodynamique!$C$39</definedName>
    <definedName name="Cx0_profil_voil">Aerodynamique!$C$46</definedName>
    <definedName name="Cx0_voil">Aerodynamique!$C$47</definedName>
    <definedName name="Cxi_avion">Aerodynamique!$I$60</definedName>
    <definedName name="Cxi_emp">Aerodynamique!$I$8</definedName>
    <definedName name="Cxi_emp_ref">Aerodynamique!$I$7</definedName>
    <definedName name="Cxi_fus">Aerodynamique!$I$14</definedName>
    <definedName name="Cxi_nac">Aerodynamique!$I$34</definedName>
    <definedName name="Cxi_voil_brut">Aerodynamique!$I$44</definedName>
    <definedName name="Cz_avion">Aerodynamique!$F$60</definedName>
    <definedName name="Cz_emp">Aerodynamique!$F$11</definedName>
    <definedName name="Cz_emp_brut">Aerodynamique!$I$6</definedName>
    <definedName name="Cz_fmax">Aerodynamique!$L$5</definedName>
    <definedName name="Cz_fmax_temp">#REF!</definedName>
    <definedName name="Cz_fus">Aerodynamique!$F$31</definedName>
    <definedName name="Cz_nac">Aerodynamique!$F$38</definedName>
    <definedName name="Cz_voil">Aerodynamique!$F$47</definedName>
    <definedName name="Cz_voil_brut">Aerodynamique!$I$43</definedName>
    <definedName name="Czalpha_emp">Aerodynamique!$F$7</definedName>
    <definedName name="Czalpha_emp_brut">Aerodynamique!$I$5</definedName>
    <definedName name="Czalpha_emp_complet">Aerodynamique!$F$6</definedName>
    <definedName name="Czalpha_fus">Aerodynamique!$F$30</definedName>
    <definedName name="Czalpha_fus_arriere">Aerodynamique!$F$28</definedName>
    <definedName name="Czalpha_fus_avant">Aerodynamique!$F$18</definedName>
    <definedName name="Czalpha_fus_central">Aerodynamique!$F$23</definedName>
    <definedName name="Czalpha_inc__voil">Aerodynamique!$F$44</definedName>
    <definedName name="Czalpha_inc_emp">Aerodynamique!$F$5</definedName>
    <definedName name="Czalpha_inc_voil">Aerodynamique!$F$44</definedName>
    <definedName name="Czalpha_nac">Aerodynamique!$F$37</definedName>
    <definedName name="Czalpha_voil">Aerodynamique!$F$46</definedName>
    <definedName name="Czalpha_voil_brut">Aerodynamique!$I$42</definedName>
    <definedName name="Czalpha_voil_complete">Aerodynamique!$F$45</definedName>
    <definedName name="Czalpha_voil_temp">#REF!</definedName>
    <definedName name="Czaplha_emp_complet">Aerodynamique!$F$6</definedName>
    <definedName name="Czmax_profil_voil">Aerodynamique!$F$50</definedName>
    <definedName name="Czmax_voil">Aerodynamique!$F$51</definedName>
    <definedName name="D">Géométrie!$B$5</definedName>
    <definedName name="D_satcom">Géométrie!$B$87</definedName>
    <definedName name="D0">Géométrie!$B$5</definedName>
    <definedName name="D0Prime">'Conditions de vol'!$E$29</definedName>
    <definedName name="da">'Conditions de vol'!$B$17</definedName>
    <definedName name="dc">'Conditions de vol'!$E$9</definedName>
    <definedName name="delta">Géométrie!$B$16</definedName>
    <definedName name="deltam">Aerodynamique!$F$10</definedName>
    <definedName name="DFus">Géométrie!$B$37</definedName>
    <definedName name="diedre_emp">'Conditions de vol'!$E$19</definedName>
    <definedName name="Dm">Géométrie!$B$14</definedName>
    <definedName name="DMancheAir">Géométrie!$B$18</definedName>
    <definedName name="DMoteur">Géométrie!$B$3</definedName>
    <definedName name="DMoteurPrime">'Conditions de vol'!$E$27</definedName>
    <definedName name="DNac">Géométrie!$B$33</definedName>
    <definedName name="DNacelle">Géométrie!$B$33</definedName>
    <definedName name="DTuyere">Géométrie!$B$26</definedName>
    <definedName name="e">'Conditions de vol'!$B$9</definedName>
    <definedName name="echelle_globalhawk">Géométrie!$B$55</definedName>
    <definedName name="eff_emp">Géométrie!$B$58</definedName>
    <definedName name="eff_voil">'Conditions de vol'!$E$14</definedName>
    <definedName name="er_emp">'Conditions de vol'!$E$18</definedName>
    <definedName name="er_voil">'Conditions de vol'!$E$13</definedName>
    <definedName name="F0">Géométrie!$B$10</definedName>
    <definedName name="FDispo">Géométrie!$B$8</definedName>
    <definedName name="finesse_max">Aerodynamique!$L$4</definedName>
    <definedName name="finesse_max_temp">#REF!</definedName>
    <definedName name="fleche_voil">'Conditions de vol'!$E$15</definedName>
    <definedName name="Fleche0">Géométrie!$B$50</definedName>
    <definedName name="Fleche0_emp">Géométrie!$B$65</definedName>
    <definedName name="Fleche50">Géométrie!$B$44</definedName>
    <definedName name="Fleche50_emp">Géométrie!$B$56</definedName>
    <definedName name="Fleche50_voil">Géométrie!$B$44</definedName>
    <definedName name="FNet">Géométrie!$B$7</definedName>
    <definedName name="FNetBase">Géométrie!#REF!</definedName>
    <definedName name="FNetPrime">Géométrie!$E$4</definedName>
    <definedName name="FNetPrime0">Géométrie!$E$2</definedName>
    <definedName name="FUtile">Géométrie!$B$9</definedName>
    <definedName name="g">'Conditions de vol'!$B$16</definedName>
    <definedName name="gamma">'Conditions de vol'!$E$7</definedName>
    <definedName name="Gamma_emp">Géométrie!$B$57</definedName>
    <definedName name="Groupe">'Conditions de vol'!$B$5</definedName>
    <definedName name="H_carburant">Masses!$H$56</definedName>
    <definedName name="h_cdg_ecoute">Géométrie!$B$82</definedName>
    <definedName name="h_cdg_radar">Géométrie!$B$79</definedName>
    <definedName name="h_cdg_satcom">Géométrie!$B$85</definedName>
    <definedName name="k_emp">Aerodynamique!$F$8</definedName>
    <definedName name="Ki">Aerodynamique!$C$52</definedName>
    <definedName name="L_ecoute">Géométrie!$B$83</definedName>
    <definedName name="L_radar">Géométrie!$B$80</definedName>
    <definedName name="L_reservoir">Géométrie!$B$75</definedName>
    <definedName name="L_reservoir_fus">Géométrie!$B$75</definedName>
    <definedName name="L_satcom">Géométrie!$B$86</definedName>
    <definedName name="LEmplanture">Géométrie!$B$45</definedName>
    <definedName name="LExtremite">Géométrie!$B$46</definedName>
    <definedName name="LFus">Géométrie!$B$38</definedName>
    <definedName name="LMancheAir">Géométrie!$B$20</definedName>
    <definedName name="LMoteur">Géométrie!$B$2</definedName>
    <definedName name="LMoteurPrime">'Conditions de vol'!$E$26</definedName>
    <definedName name="LNac">Géométrie!$B$32</definedName>
    <definedName name="LNacelle">Géométrie!$B$32</definedName>
    <definedName name="LTuyere">Géométrie!$B$27</definedName>
    <definedName name="M_amenagement">Masses!$B$37</definedName>
    <definedName name="M_carb_fus">Masses!$B$57</definedName>
    <definedName name="M_carb_voil">Masses!$B$56</definedName>
    <definedName name="M_cdv">Masses!$B$28</definedName>
    <definedName name="M_debut_croisiere">Masses!$B$66</definedName>
    <definedName name="M_debut_descente">Descente!$B$10</definedName>
    <definedName name="M_ecoute">Masses!$B$51</definedName>
    <definedName name="m_microisiere">Croisière!$B$14</definedName>
    <definedName name="M_montee_maximale">Montée!$B$29</definedName>
    <definedName name="M_planeur">Masses!$B$15</definedName>
    <definedName name="M_propu">Masses!$B$23</definedName>
    <definedName name="M_radar">Masses!$B$50</definedName>
    <definedName name="m_roulage_forfaitaire">Montée!$B$5</definedName>
    <definedName name="m_roulage_forfataire">Montée!$B$5</definedName>
    <definedName name="M_satcom">Masses!$B$52</definedName>
    <definedName name="M_systemes">Masses!$B$31</definedName>
    <definedName name="Mach">'Conditions de vol'!$B$6</definedName>
    <definedName name="Mach_montee">Montée!$B$10</definedName>
    <definedName name="marge_statique">'Marge statique'!$B$29</definedName>
    <definedName name="Masse_avion_remplissage_0">Masses!$B$67</definedName>
    <definedName name="Masse_avion_remplissage_40">Masses!$B$68</definedName>
    <definedName name="Masse_avion_remplissage_microisiere">Masses!$B$73</definedName>
    <definedName name="Masse_avion_remplissage_quelconque">Masses!$B$71</definedName>
    <definedName name="MEQUIPAGE">Masses!$B$45</definedName>
    <definedName name="Mfuselage">Masses!$B$11</definedName>
    <definedName name="MMoteur">Géométrie!$B$4</definedName>
    <definedName name="MMoteurPrime">'Conditions de vol'!$E$28</definedName>
    <definedName name="Moment_empennage">#REF!</definedName>
    <definedName name="Moment_fus_arriere">#REF!</definedName>
    <definedName name="Moment_fus_avant">#REF!</definedName>
    <definedName name="Moment_fus_central">#REF!</definedName>
    <definedName name="Moment_fuselage">#REF!</definedName>
    <definedName name="Moment_moteurs">#REF!</definedName>
    <definedName name="Moment_poids_plein">#REF!</definedName>
    <definedName name="Moment_voilure">#REF!</definedName>
    <definedName name="MTOW">Masses!$B$65</definedName>
    <definedName name="MTOW_cible">Masses!$G$47</definedName>
    <definedName name="MTOW_temp">#REF!</definedName>
    <definedName name="MVIDE">Masses!$B$39</definedName>
    <definedName name="MVIDEEQUIPE">Masses!$B$43</definedName>
    <definedName name="MVOE">Masses!$B$47</definedName>
    <definedName name="MVOE_cible">Masses!$E$47</definedName>
    <definedName name="MVOE_temp">#REF!</definedName>
    <definedName name="Mvoilure">Masses!$B$10</definedName>
    <definedName name="N">'Conditions de vol'!$B$8</definedName>
    <definedName name="nu">'Conditions de vol'!$B$15</definedName>
    <definedName name="Nz">Masses!$B$4</definedName>
    <definedName name="P">'Conditions de vol'!$B$13</definedName>
    <definedName name="point_cassure_cockpit">Géométrie!$B$39</definedName>
    <definedName name="Pt">'Conditions de vol'!$B$20</definedName>
    <definedName name="QI">Masses!$B$58</definedName>
    <definedName name="QI_temp">#REF!</definedName>
    <definedName name="RCourbureMancheAir">Géométrie!$B$21</definedName>
    <definedName name="Re_emp">Aerodynamique!$C$6</definedName>
    <definedName name="Re_fus">Aerodynamique!$C$14</definedName>
    <definedName name="Re_nac">Aerodynamique!$C$34</definedName>
    <definedName name="rho">'Conditions de vol'!$B$14</definedName>
    <definedName name="S_1_reservoir">Masses!$E$56</definedName>
    <definedName name="S_2_reservoir">Masses!$G$56</definedName>
    <definedName name="S0">Géométrie!$B$17</definedName>
    <definedName name="Sext_emp">Aerodynamique!$C$7</definedName>
    <definedName name="Sext_voil">Aerodynamique!$C$44</definedName>
    <definedName name="sigma">Géométrie!$B$15</definedName>
    <definedName name="Sm_emp">Aerodynamique!$C$8</definedName>
    <definedName name="Sm_fus">Aerodynamique!$C$16</definedName>
    <definedName name="Sm_nac">Aerodynamique!$C$36</definedName>
    <definedName name="Sm_totale">Aerodynamique!$C$51</definedName>
    <definedName name="Sm_voil">Aerodynamique!$C$45</definedName>
    <definedName name="SMaitreCouple_fus">Géométrie!$B$40</definedName>
    <definedName name="SMaitreCouple_nac">Géométrie!$B$34</definedName>
    <definedName name="SMaitreCoupleNacelle">Géométrie!$B$34</definedName>
    <definedName name="SRef">Géométrie!$B$43</definedName>
    <definedName name="SRef_emp">Géométrie!$B$54</definedName>
    <definedName name="Sref_temp">#REF!</definedName>
    <definedName name="T">'Conditions de vol'!$B$12</definedName>
    <definedName name="Taux_remplissage">Masses!$B$70</definedName>
    <definedName name="Taux_remplissage_microisiere">Croisière!$B$15</definedName>
    <definedName name="Tt">'Conditions de vol'!$B$19</definedName>
    <definedName name="V">'Conditions de vol'!$B$22</definedName>
    <definedName name="Vol_dispo">Masses!$C$61</definedName>
    <definedName name="Vol_occupe">Masses!$C$61</definedName>
    <definedName name="Volume">Masses!$C$62</definedName>
    <definedName name="Volume_dispo">Masses!$C$61</definedName>
    <definedName name="Volume_occupe">Masses!$C$62</definedName>
    <definedName name="Vz_atterrissage">Masses!$B$6</definedName>
    <definedName name="x_carb_fus">Centrage!$B$50</definedName>
    <definedName name="x_carb_total">Centrage!$B$51</definedName>
    <definedName name="x_carb_voil">Centrage!$B$49</definedName>
    <definedName name="x_cdg_amenagement">Centrage!$B$30</definedName>
    <definedName name="x_cdg_att">Centrage!$B$8</definedName>
    <definedName name="x_cdg_avion">Centrage!$B$53</definedName>
    <definedName name="x_cdg_avion_cible">Centrage!$E$53</definedName>
    <definedName name="x_cdg_avion_cile">Centrage!$E$53</definedName>
    <definedName name="x_cdg_avion_plein">Centrage!$B$53</definedName>
    <definedName name="x_cdg_avion_remplissage_0">Centrage!$B$55</definedName>
    <definedName name="x_cdg_avion_remplissage_40">Centrage!$B$56</definedName>
    <definedName name="x_cdg_avion_remplissage_microisiere">Centrage!$B$60</definedName>
    <definedName name="x_cdg_avion_remplissagequelconque">Centrage!$B$58</definedName>
    <definedName name="x_cdg_circuitcomb">Centrage!$B$14</definedName>
    <definedName name="x_cdg_CU">Centrage!$B$46</definedName>
    <definedName name="x_cdg_ecoute">Centrage!$B$44</definedName>
    <definedName name="x_cdg_emp">Centrage!$B$6</definedName>
    <definedName name="x_cdg_fus">Centrage!$B$5</definedName>
    <definedName name="x_cdg_inconsommables">Centrage!$B$15</definedName>
    <definedName name="x_cdg_moteur">Centrage!$B$12</definedName>
    <definedName name="x_cdg_nac">Centrage!$B$7</definedName>
    <definedName name="x_cdg_nav">Centrage!$B$21</definedName>
    <definedName name="x_cdg_planeur">Centrage!$B$9</definedName>
    <definedName name="x_cdg_propu">Centrage!$B$16</definedName>
    <definedName name="x_cdg_radar">Centrage!$B$43</definedName>
    <definedName name="x_cdg_satcom">Centrage!$B$45</definedName>
    <definedName name="x_cdg_serv">Centrage!$B$19</definedName>
    <definedName name="x_cdg_soute">Centrage!$B$20</definedName>
    <definedName name="x_cdg_systemes">Centrage!$B$24</definedName>
    <definedName name="x_cdg_tuy">Centrage!$B$13</definedName>
    <definedName name="x_cdg_vide">Centrage!$B$40</definedName>
    <definedName name="x_cdg_voil">Centrage!$B$4</definedName>
    <definedName name="x_debut_ecoute">Géométrie!$B$81</definedName>
    <definedName name="x_debut_empennage">Géométrie!$B$66</definedName>
    <definedName name="x_debut_moteur">Géométrie!$B$11</definedName>
    <definedName name="x_debut_radar">Géométrie!$B$78</definedName>
    <definedName name="x_debut_reservoir">Géométrie!$B$74</definedName>
    <definedName name="x_debut_satcom">Géométrie!$B$84</definedName>
    <definedName name="x_debut_tuyere">Géométrie!$B$29</definedName>
    <definedName name="x_debut_voilure">Géométrie!$B$51</definedName>
    <definedName name="x_debutvoilure">Géométrie!$B$51</definedName>
    <definedName name="x_foyer">'Marge statique'!$B$28</definedName>
    <definedName name="x_foyer_emp">'Marge statique'!$B$3</definedName>
    <definedName name="x_foyer_fus">'Marge statique'!$B$17</definedName>
    <definedName name="x_foyer_voil">'Marge statique'!$B$25</definedName>
    <definedName name="x_trainauxiliaire">Géométrie!$B$70</definedName>
    <definedName name="x_trainprincipal">Géométrie!$B$71</definedName>
    <definedName name="Y_cma_emp">Géométrie!$B$63</definedName>
    <definedName name="Y_cma_voil">Géométrie!$B$48</definedName>
    <definedName name="Ycg_carburant">Centrage!$E$49</definedName>
  </definedNames>
  <calcPr calcId="125725" calcMode="autoNoTable" iterate="1"/>
</workbook>
</file>

<file path=xl/calcChain.xml><?xml version="1.0" encoding="utf-8"?>
<calcChain xmlns="http://schemas.openxmlformats.org/spreadsheetml/2006/main">
  <c r="F10" i="4"/>
  <c r="F43"/>
  <c r="C10" i="3"/>
  <c r="G42" i="4"/>
  <c r="BQ10" i="10"/>
  <c r="BQ11"/>
  <c r="BQ12"/>
  <c r="BQ13"/>
  <c r="BQ14"/>
  <c r="BQ15"/>
  <c r="BQ16"/>
  <c r="BQ17"/>
  <c r="BQ18"/>
  <c r="BQ19"/>
  <c r="BQ20"/>
  <c r="BQ21"/>
  <c r="BQ22"/>
  <c r="BQ23"/>
  <c r="BQ24"/>
  <c r="BQ25"/>
  <c r="BQ26"/>
  <c r="BQ27"/>
  <c r="BQ28"/>
  <c r="BQ29"/>
  <c r="BQ30"/>
  <c r="BQ31"/>
  <c r="BQ32"/>
  <c r="BQ33"/>
  <c r="BQ34"/>
  <c r="BQ35"/>
  <c r="BQ36"/>
  <c r="BQ37"/>
  <c r="BQ38"/>
  <c r="BQ39"/>
  <c r="BQ40"/>
  <c r="BQ41"/>
  <c r="BQ42"/>
  <c r="BQ43"/>
  <c r="BQ44"/>
  <c r="BQ45"/>
  <c r="BQ46"/>
  <c r="BQ47"/>
  <c r="BQ48"/>
  <c r="BQ49"/>
  <c r="BQ50"/>
  <c r="BQ51"/>
  <c r="BQ52"/>
  <c r="BQ53"/>
  <c r="BQ54"/>
  <c r="BQ55"/>
  <c r="BQ56"/>
  <c r="BQ57"/>
  <c r="BQ58"/>
  <c r="BQ59"/>
  <c r="BQ60"/>
  <c r="BQ61"/>
  <c r="BQ62"/>
  <c r="BQ63"/>
  <c r="BQ64"/>
  <c r="BQ65"/>
  <c r="BQ66"/>
  <c r="BQ67"/>
  <c r="BQ68"/>
  <c r="BQ69"/>
  <c r="BQ70"/>
  <c r="BQ71"/>
  <c r="BQ72"/>
  <c r="BQ73"/>
  <c r="BQ74"/>
  <c r="BQ75"/>
  <c r="BQ76"/>
  <c r="BQ77"/>
  <c r="BQ78"/>
  <c r="BQ79"/>
  <c r="BQ80"/>
  <c r="BQ81"/>
  <c r="BQ82"/>
  <c r="BQ83"/>
  <c r="BQ9"/>
  <c r="T307" i="4"/>
  <c r="T308"/>
  <c r="J84" i="10"/>
  <c r="K84" l="1"/>
  <c r="T309" i="4"/>
  <c r="AL8" i="10"/>
  <c r="AM8" s="1"/>
  <c r="AN8" s="1"/>
  <c r="AO8" s="1"/>
  <c r="AP8" s="1"/>
  <c r="AQ8" s="1"/>
  <c r="AR8" s="1"/>
  <c r="AS8" s="1"/>
  <c r="AT8" s="1"/>
  <c r="J10"/>
  <c r="J11"/>
  <c r="J9"/>
  <c r="K11" l="1"/>
  <c r="K10"/>
  <c r="K9"/>
  <c r="AU8"/>
  <c r="T310" i="4"/>
  <c r="E6" i="12"/>
  <c r="E7" s="1"/>
  <c r="E36" i="13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1" s="1"/>
  <c r="E102" s="1"/>
  <c r="E103" s="1"/>
  <c r="E104" s="1"/>
  <c r="E105" s="1"/>
  <c r="E106" s="1"/>
  <c r="E107" s="1"/>
  <c r="E108" s="1"/>
  <c r="E35"/>
  <c r="E33"/>
  <c r="B6"/>
  <c r="B5"/>
  <c r="J40" i="10"/>
  <c r="J32"/>
  <c r="J24"/>
  <c r="J16"/>
  <c r="J15"/>
  <c r="J38"/>
  <c r="J34"/>
  <c r="J30"/>
  <c r="J26"/>
  <c r="J22"/>
  <c r="J18"/>
  <c r="J14"/>
  <c r="J41"/>
  <c r="J37"/>
  <c r="J33"/>
  <c r="J29"/>
  <c r="J25"/>
  <c r="J21"/>
  <c r="J17"/>
  <c r="J13"/>
  <c r="J36"/>
  <c r="J28"/>
  <c r="J20"/>
  <c r="J12"/>
  <c r="J39"/>
  <c r="J35"/>
  <c r="J31"/>
  <c r="J27"/>
  <c r="J23"/>
  <c r="J19"/>
  <c r="K19" l="1"/>
  <c r="K23"/>
  <c r="K27"/>
  <c r="K31"/>
  <c r="K35"/>
  <c r="K39"/>
  <c r="K12"/>
  <c r="K20"/>
  <c r="K28"/>
  <c r="K36"/>
  <c r="K13"/>
  <c r="K17"/>
  <c r="K21"/>
  <c r="K25"/>
  <c r="K29"/>
  <c r="K33"/>
  <c r="K37"/>
  <c r="K41"/>
  <c r="K14"/>
  <c r="K18"/>
  <c r="K22"/>
  <c r="K26"/>
  <c r="K30"/>
  <c r="K34"/>
  <c r="K38"/>
  <c r="K15"/>
  <c r="K16"/>
  <c r="K24"/>
  <c r="K32"/>
  <c r="K40"/>
  <c r="AV8"/>
  <c r="T311" i="4"/>
  <c r="E8" i="12"/>
  <c r="B7" i="13"/>
  <c r="F33" s="1"/>
  <c r="J56" i="10"/>
  <c r="J48"/>
  <c r="J58"/>
  <c r="J54"/>
  <c r="J50"/>
  <c r="J46"/>
  <c r="J42"/>
  <c r="J57"/>
  <c r="J53"/>
  <c r="J49"/>
  <c r="J45"/>
  <c r="J52"/>
  <c r="J44"/>
  <c r="J55"/>
  <c r="J51"/>
  <c r="J47"/>
  <c r="J43"/>
  <c r="K43" l="1"/>
  <c r="K47"/>
  <c r="K51"/>
  <c r="K55"/>
  <c r="K44"/>
  <c r="K52"/>
  <c r="K45"/>
  <c r="K49"/>
  <c r="K53"/>
  <c r="K57"/>
  <c r="K42"/>
  <c r="K46"/>
  <c r="K50"/>
  <c r="K54"/>
  <c r="K58"/>
  <c r="K48"/>
  <c r="K56"/>
  <c r="AW8"/>
  <c r="T312" i="4"/>
  <c r="E9" i="12"/>
  <c r="J64" i="10"/>
  <c r="J67"/>
  <c r="J59"/>
  <c r="J66"/>
  <c r="J62"/>
  <c r="J69"/>
  <c r="J65"/>
  <c r="J61"/>
  <c r="J68"/>
  <c r="J60"/>
  <c r="J63"/>
  <c r="K63" l="1"/>
  <c r="K60"/>
  <c r="K68"/>
  <c r="K61"/>
  <c r="K65"/>
  <c r="K69"/>
  <c r="K62"/>
  <c r="K66"/>
  <c r="K59"/>
  <c r="K67"/>
  <c r="K64"/>
  <c r="AX8"/>
  <c r="T313" i="4"/>
  <c r="E10" i="12"/>
  <c r="J72" i="10"/>
  <c r="J75"/>
  <c r="J74"/>
  <c r="J70"/>
  <c r="J73"/>
  <c r="J76"/>
  <c r="J71"/>
  <c r="K71" l="1"/>
  <c r="K76"/>
  <c r="K73"/>
  <c r="K70"/>
  <c r="K74"/>
  <c r="K75"/>
  <c r="K72"/>
  <c r="AY8"/>
  <c r="T314" i="4"/>
  <c r="E11" i="12"/>
  <c r="J80" i="10"/>
  <c r="J82"/>
  <c r="J78"/>
  <c r="J81"/>
  <c r="J77"/>
  <c r="J79"/>
  <c r="K79" l="1"/>
  <c r="K77"/>
  <c r="K81"/>
  <c r="K78"/>
  <c r="K82"/>
  <c r="K80"/>
  <c r="AZ8"/>
  <c r="T315" i="4"/>
  <c r="E12" i="12"/>
  <c r="J83" i="10"/>
  <c r="K83" l="1"/>
  <c r="BA8"/>
  <c r="BB8" s="1"/>
  <c r="BC8" s="1"/>
  <c r="BD8" s="1"/>
  <c r="BE8" s="1"/>
  <c r="BF8" s="1"/>
  <c r="BG8" s="1"/>
  <c r="BH8" s="1"/>
  <c r="BI8" s="1"/>
  <c r="BJ8" s="1"/>
  <c r="BK8" s="1"/>
  <c r="BL8" s="1"/>
  <c r="BM8" s="1"/>
  <c r="BN8" s="1"/>
  <c r="BO8" s="1"/>
  <c r="T316" i="4"/>
  <c r="E13" i="12"/>
  <c r="T317" i="4" l="1"/>
  <c r="E14" i="12"/>
  <c r="T318" i="4" l="1"/>
  <c r="E15" i="12"/>
  <c r="T319" i="4" l="1"/>
  <c r="E16" i="12"/>
  <c r="T320" i="4" l="1"/>
  <c r="E17" i="12"/>
  <c r="T321" i="4" l="1"/>
  <c r="E18" i="12"/>
  <c r="T322" i="4" l="1"/>
  <c r="E19" i="12"/>
  <c r="T323" i="4" l="1"/>
  <c r="E20" i="12"/>
  <c r="T324" i="4" l="1"/>
  <c r="E21" i="12"/>
  <c r="T325" i="4" l="1"/>
  <c r="E22" i="12"/>
  <c r="T326" i="4" l="1"/>
  <c r="E23" i="12"/>
  <c r="T327" i="4" l="1"/>
  <c r="E24" i="12"/>
  <c r="T328" i="4" l="1"/>
  <c r="E25" i="12"/>
  <c r="T329" i="4" l="1"/>
  <c r="E26" i="12"/>
  <c r="T330" i="4" l="1"/>
  <c r="E27" i="12"/>
  <c r="T331" i="4" l="1"/>
  <c r="E28" i="12"/>
  <c r="T332" i="4" l="1"/>
  <c r="E29" i="12"/>
  <c r="T333" i="4" l="1"/>
  <c r="E30" i="12"/>
  <c r="T334" i="4" l="1"/>
  <c r="E31" i="12"/>
  <c r="T335" i="4" l="1"/>
  <c r="E32" i="12"/>
  <c r="T336" i="4" l="1"/>
  <c r="E33" i="12"/>
  <c r="T337" i="4" l="1"/>
  <c r="E34" i="12"/>
  <c r="T338" i="4" l="1"/>
  <c r="E35" i="12"/>
  <c r="T339" i="4" l="1"/>
  <c r="E36" i="12"/>
  <c r="T340" i="4" l="1"/>
  <c r="E37" i="12"/>
  <c r="T341" i="4" l="1"/>
  <c r="E38" i="12"/>
  <c r="T342" i="4" l="1"/>
  <c r="E39" i="12"/>
  <c r="T343" i="4" l="1"/>
  <c r="E40" i="12"/>
  <c r="T344" i="4" l="1"/>
  <c r="E41" i="12"/>
  <c r="T345" i="4" l="1"/>
  <c r="E42" i="12"/>
  <c r="T346" i="4" l="1"/>
  <c r="E43" i="12"/>
  <c r="T347" i="4" l="1"/>
  <c r="E44" i="12"/>
  <c r="T348" i="4" l="1"/>
  <c r="E45" i="12"/>
  <c r="T349" i="4" l="1"/>
  <c r="E46" i="12"/>
  <c r="T350" i="4" l="1"/>
  <c r="E47" i="12"/>
  <c r="T351" i="4" l="1"/>
  <c r="E48" i="12"/>
  <c r="T352" i="4" l="1"/>
  <c r="E49" i="12"/>
  <c r="T353" i="4" l="1"/>
  <c r="E50" i="12"/>
  <c r="T354" i="4" l="1"/>
  <c r="E51" i="12"/>
  <c r="T355" i="4" l="1"/>
  <c r="E52" i="12"/>
  <c r="T356" i="4" l="1"/>
  <c r="E53" i="12"/>
  <c r="T357" i="4" l="1"/>
  <c r="E54" i="12"/>
  <c r="T358" i="4" l="1"/>
  <c r="E55" i="12"/>
  <c r="T359" i="4" l="1"/>
  <c r="E56" i="12"/>
  <c r="T360" i="4" l="1"/>
  <c r="E57" i="12"/>
  <c r="T361" i="4" l="1"/>
  <c r="E58" i="12"/>
  <c r="T362" i="4" l="1"/>
  <c r="E59" i="12"/>
  <c r="T363" i="4" l="1"/>
  <c r="E60" i="12"/>
  <c r="T364" i="4" l="1"/>
  <c r="E61" i="12"/>
  <c r="T365" i="4" l="1"/>
  <c r="E62" i="12"/>
  <c r="T366" i="4" l="1"/>
  <c r="E63" i="12"/>
  <c r="T367" i="4" l="1"/>
  <c r="E64" i="12"/>
  <c r="T368" i="4" l="1"/>
  <c r="E65" i="12"/>
  <c r="T369" i="4" l="1"/>
  <c r="E66" i="12"/>
  <c r="T370" i="4" l="1"/>
  <c r="E67" i="12"/>
  <c r="T371" i="4" l="1"/>
  <c r="E68" i="12"/>
  <c r="T372" i="4" l="1"/>
  <c r="E69" i="12"/>
  <c r="T373" i="4" l="1"/>
  <c r="E70" i="12"/>
  <c r="T374" i="4" l="1"/>
  <c r="E71" i="12"/>
  <c r="T375" i="4" l="1"/>
  <c r="E72" i="12"/>
  <c r="T376" i="4" l="1"/>
  <c r="E73" i="12"/>
  <c r="T377" i="4" l="1"/>
  <c r="E74" i="12"/>
  <c r="T378" i="4" l="1"/>
  <c r="E75" i="12"/>
  <c r="T379" i="4" l="1"/>
  <c r="E76" i="12"/>
  <c r="T380" i="4" l="1"/>
  <c r="E77" i="12"/>
  <c r="T381" i="4" l="1"/>
  <c r="E78" i="12"/>
  <c r="T382" i="4" l="1"/>
  <c r="E79" i="12"/>
  <c r="T383" i="4" l="1"/>
  <c r="E80" i="12"/>
  <c r="T384" i="4" l="1"/>
  <c r="E81" i="12"/>
  <c r="T385" i="4" l="1"/>
  <c r="E82" i="12"/>
  <c r="T386" i="4" l="1"/>
  <c r="E83" i="12"/>
  <c r="T387" i="4" l="1"/>
  <c r="E84" i="12"/>
  <c r="T388" i="4" l="1"/>
  <c r="E85" i="12"/>
  <c r="T389" i="4" l="1"/>
  <c r="E86" i="12"/>
  <c r="T390" i="4" l="1"/>
  <c r="E87" i="12"/>
  <c r="T391" i="4" l="1"/>
  <c r="E88" i="12"/>
  <c r="T392" i="4" l="1"/>
  <c r="E89" i="12"/>
  <c r="T393" i="4" l="1"/>
  <c r="E90" i="12"/>
  <c r="T394" i="4" l="1"/>
  <c r="E91" i="12"/>
  <c r="T395" i="4" l="1"/>
  <c r="E92" i="12"/>
  <c r="T396" i="4" l="1"/>
  <c r="E93" i="12"/>
  <c r="T397" i="4" l="1"/>
  <c r="E94" i="12"/>
  <c r="T398" i="4" l="1"/>
  <c r="E95" i="12"/>
  <c r="T399" i="4" l="1"/>
  <c r="E96" i="12"/>
  <c r="T400" i="4" l="1"/>
  <c r="E97" i="12"/>
  <c r="T401" i="4" l="1"/>
  <c r="E98" i="12"/>
  <c r="T402" i="4" l="1"/>
  <c r="E99" i="12"/>
  <c r="T403" i="4" l="1"/>
  <c r="E100" i="12"/>
  <c r="T404" i="4" l="1"/>
  <c r="E101" i="12"/>
  <c r="T405" i="4" l="1"/>
  <c r="E102" i="12"/>
  <c r="T406" i="4" l="1"/>
  <c r="E103" i="12"/>
  <c r="T407" i="4" l="1"/>
  <c r="E104" i="12"/>
  <c r="T408" i="4" l="1"/>
  <c r="E105" i="12"/>
  <c r="T409" i="4" l="1"/>
  <c r="E106" i="12"/>
  <c r="T410" i="4" l="1"/>
  <c r="E107" i="12"/>
  <c r="T411" i="4" l="1"/>
  <c r="E108" i="12"/>
  <c r="T412" i="4" l="1"/>
  <c r="E109" i="12"/>
  <c r="T413" i="4" l="1"/>
  <c r="E110" i="12"/>
  <c r="T414" i="4" l="1"/>
  <c r="E111" i="12"/>
  <c r="T415" i="4" l="1"/>
  <c r="E112" i="12"/>
  <c r="T416" i="4" l="1"/>
  <c r="E113" i="12"/>
  <c r="T417" i="4" l="1"/>
  <c r="E114" i="12"/>
  <c r="T418" i="4" l="1"/>
  <c r="E115" i="12"/>
  <c r="T419" i="4" l="1"/>
  <c r="E116" i="12"/>
  <c r="T420" i="4" l="1"/>
  <c r="E117" i="12"/>
  <c r="T421" i="4" l="1"/>
  <c r="E118" i="12"/>
  <c r="T422" i="4" l="1"/>
  <c r="E119" i="12"/>
  <c r="T423" i="4" l="1"/>
  <c r="E120" i="12"/>
  <c r="T424" i="4" l="1"/>
  <c r="E121" i="12"/>
  <c r="T425" i="4" l="1"/>
  <c r="E122" i="12"/>
  <c r="T426" i="4" l="1"/>
  <c r="E123" i="12"/>
  <c r="T427" i="4" l="1"/>
  <c r="E124" i="12"/>
  <c r="T428" i="4" l="1"/>
  <c r="E125" i="12"/>
  <c r="T429" i="4" l="1"/>
  <c r="E126" i="12"/>
  <c r="T430" i="4" l="1"/>
  <c r="E127" i="12"/>
  <c r="T431" i="4" l="1"/>
  <c r="E128" i="12"/>
  <c r="T432" i="4" l="1"/>
  <c r="E129" i="12"/>
  <c r="T433" i="4" l="1"/>
  <c r="E130" i="12"/>
  <c r="T434" i="4" l="1"/>
  <c r="E131" i="12"/>
  <c r="T435" i="4" l="1"/>
  <c r="E132" i="12"/>
  <c r="T436" i="4" l="1"/>
  <c r="E133" i="12"/>
  <c r="T437" i="4" l="1"/>
  <c r="E134" i="12"/>
  <c r="T438" i="4" l="1"/>
  <c r="E135" i="12"/>
  <c r="T439" i="4" l="1"/>
  <c r="E136" i="12"/>
  <c r="T440" i="4" l="1"/>
  <c r="E137" i="12"/>
  <c r="T441" i="4" l="1"/>
  <c r="E138" i="12"/>
  <c r="T442" i="4" l="1"/>
  <c r="E139" i="12"/>
  <c r="T443" i="4" l="1"/>
  <c r="E140" i="12"/>
  <c r="T444" i="4" l="1"/>
  <c r="E141" i="12"/>
  <c r="T445" i="4" l="1"/>
  <c r="E142" i="12"/>
  <c r="T446" i="4" l="1"/>
  <c r="E143" i="12"/>
  <c r="T447" i="4" l="1"/>
  <c r="E144" i="12"/>
  <c r="T448" i="4" l="1"/>
  <c r="E145" i="12"/>
  <c r="T449" i="4" l="1"/>
  <c r="E146" i="12"/>
  <c r="T450" i="4" l="1"/>
  <c r="E147" i="12"/>
  <c r="T451" i="4" l="1"/>
  <c r="E148" i="12"/>
  <c r="T452" i="4" l="1"/>
  <c r="E149" i="12"/>
  <c r="T453" i="4" l="1"/>
  <c r="E150" i="12"/>
  <c r="T454" i="4" l="1"/>
  <c r="E151" i="12"/>
  <c r="T455" i="4" l="1"/>
  <c r="E152" i="12"/>
  <c r="T456" i="4" l="1"/>
  <c r="E153" i="12"/>
  <c r="T457" i="4" l="1"/>
  <c r="E154" i="12"/>
  <c r="T458" i="4" l="1"/>
  <c r="E155" i="12"/>
  <c r="T459" i="4" l="1"/>
  <c r="E156" i="12"/>
  <c r="T460" i="4" l="1"/>
  <c r="E157" i="12"/>
  <c r="T461" i="4" l="1"/>
  <c r="E158" i="12"/>
  <c r="T462" i="4" l="1"/>
  <c r="E159" i="12"/>
  <c r="T463" i="4" l="1"/>
  <c r="E160" i="12"/>
  <c r="T464" i="4" l="1"/>
  <c r="E161" i="12"/>
  <c r="T465" i="4" l="1"/>
  <c r="E162" i="12"/>
  <c r="T466" i="4" l="1"/>
  <c r="E163" i="12"/>
  <c r="T467" i="4" l="1"/>
  <c r="E164" i="12"/>
  <c r="T468" i="4" l="1"/>
  <c r="E165" i="12"/>
  <c r="T469" i="4" l="1"/>
  <c r="E166" i="12"/>
  <c r="T470" i="4" l="1"/>
  <c r="E167" i="12"/>
  <c r="T471" i="4" l="1"/>
  <c r="E168" i="12"/>
  <c r="T472" i="4" l="1"/>
  <c r="E169" i="12"/>
  <c r="T473" i="4" l="1"/>
  <c r="E170" i="12"/>
  <c r="T474" i="4" l="1"/>
  <c r="E171" i="12"/>
  <c r="T475" i="4" l="1"/>
  <c r="E172" i="12"/>
  <c r="T476" i="4" l="1"/>
  <c r="E173" i="12"/>
  <c r="T477" i="4" l="1"/>
  <c r="E174" i="12"/>
  <c r="T478" i="4" l="1"/>
  <c r="E175" i="12"/>
  <c r="T479" i="4" l="1"/>
  <c r="E176" i="12"/>
  <c r="T480" i="4" l="1"/>
  <c r="E177" i="12"/>
  <c r="T481" i="4" l="1"/>
  <c r="E178" i="12"/>
  <c r="T482" i="4" l="1"/>
  <c r="E179" i="12"/>
  <c r="T483" i="4" l="1"/>
  <c r="E180" i="12"/>
  <c r="T484" i="4" l="1"/>
  <c r="E181" i="12"/>
  <c r="T485" i="4" l="1"/>
  <c r="E182" i="12"/>
  <c r="T486" i="4" l="1"/>
  <c r="E183" i="12"/>
  <c r="T487" i="4" l="1"/>
  <c r="E184" i="12"/>
  <c r="T488" i="4" l="1"/>
  <c r="E185" i="12"/>
  <c r="T489" i="4" l="1"/>
  <c r="E186" i="12"/>
  <c r="T490" i="4" l="1"/>
  <c r="E187" i="12"/>
  <c r="T491" i="4" l="1"/>
  <c r="E188" i="12"/>
  <c r="T492" i="4" l="1"/>
  <c r="E189" i="12"/>
  <c r="T493" i="4" l="1"/>
  <c r="E190" i="12"/>
  <c r="T494" i="4" l="1"/>
  <c r="E191" i="12"/>
  <c r="T495" i="4" l="1"/>
  <c r="E192" i="12"/>
  <c r="T496" i="4" l="1"/>
  <c r="E193" i="12"/>
  <c r="T497" i="4" l="1"/>
  <c r="E194" i="12"/>
  <c r="T498" i="4" l="1"/>
  <c r="E195" i="12"/>
  <c r="T499" i="4" l="1"/>
  <c r="E196" i="12"/>
  <c r="T500" i="4" l="1"/>
  <c r="E197" i="12"/>
  <c r="T501" i="4" l="1"/>
  <c r="E198" i="12"/>
  <c r="T502" i="4" l="1"/>
  <c r="E199" i="12"/>
  <c r="T503" i="4" l="1"/>
  <c r="E200" i="12"/>
  <c r="T504" i="4" l="1"/>
  <c r="E201" i="12"/>
  <c r="T505" i="4" l="1"/>
  <c r="E202" i="12"/>
  <c r="T506" i="4" l="1"/>
  <c r="E203" i="12"/>
  <c r="T507" i="4" l="1"/>
  <c r="E204" i="12"/>
  <c r="T508" i="4" l="1"/>
  <c r="E205" i="12"/>
  <c r="T509" i="4" l="1"/>
  <c r="E206" i="12"/>
  <c r="T510" i="4" l="1"/>
  <c r="E207" i="12"/>
  <c r="T511" i="4" l="1"/>
  <c r="E208" i="12"/>
  <c r="T512" i="4" l="1"/>
  <c r="E209" i="12"/>
  <c r="T513" i="4" l="1"/>
  <c r="E210" i="12"/>
  <c r="T514" i="4" l="1"/>
  <c r="E211" i="12"/>
  <c r="T515" i="4" l="1"/>
  <c r="E212" i="12"/>
  <c r="T516" i="4" l="1"/>
  <c r="E213" i="12"/>
  <c r="T517" i="4" l="1"/>
  <c r="E214" i="12"/>
  <c r="T518" i="4" l="1"/>
  <c r="E215" i="12"/>
  <c r="T519" i="4" l="1"/>
  <c r="E216" i="12"/>
  <c r="T520" i="4" l="1"/>
  <c r="E217" i="12"/>
  <c r="T521" i="4" l="1"/>
  <c r="E218" i="12"/>
  <c r="T522" i="4" l="1"/>
  <c r="E219" i="12"/>
  <c r="T523" i="4" l="1"/>
  <c r="E220" i="12"/>
  <c r="T524" i="4" l="1"/>
  <c r="E221" i="12"/>
  <c r="T525" i="4" l="1"/>
  <c r="E222" i="12"/>
  <c r="T526" i="4" l="1"/>
  <c r="E223" i="12"/>
  <c r="T527" i="4" l="1"/>
  <c r="E224" i="12"/>
  <c r="T528" i="4" l="1"/>
  <c r="E225" i="12"/>
  <c r="T529" i="4" l="1"/>
  <c r="E226" i="12"/>
  <c r="T530" i="4" l="1"/>
  <c r="E227" i="12"/>
  <c r="T531" i="4" l="1"/>
  <c r="E228" i="12"/>
  <c r="T532" i="4" l="1"/>
  <c r="E229" i="12"/>
  <c r="T533" i="4" l="1"/>
  <c r="E230" i="12"/>
  <c r="T534" i="4" l="1"/>
  <c r="E231" i="12"/>
  <c r="T535" i="4" l="1"/>
  <c r="E232" i="12"/>
  <c r="T536" i="4" l="1"/>
  <c r="E233" i="12"/>
  <c r="T537" i="4" l="1"/>
  <c r="E234" i="12"/>
  <c r="T538" i="4" l="1"/>
  <c r="E235" i="12"/>
  <c r="T539" i="4" l="1"/>
  <c r="E236" i="12"/>
  <c r="T540" i="4" l="1"/>
  <c r="E237" i="12"/>
  <c r="T541" i="4" l="1"/>
  <c r="E238" i="12"/>
  <c r="T542" i="4" l="1"/>
  <c r="E239" i="12"/>
  <c r="T543" i="4" l="1"/>
  <c r="E240" i="12"/>
  <c r="T544" i="4" l="1"/>
  <c r="E241" i="12"/>
  <c r="T545" i="4" l="1"/>
  <c r="E242" i="12"/>
  <c r="T546" i="4" l="1"/>
  <c r="E243" i="12"/>
  <c r="E244" l="1"/>
  <c r="E245" l="1"/>
  <c r="E246" l="1"/>
  <c r="E247" l="1"/>
  <c r="E248" l="1"/>
  <c r="E249" l="1"/>
  <c r="E250" l="1"/>
  <c r="E251" l="1"/>
  <c r="E252" l="1"/>
  <c r="E253" l="1"/>
  <c r="E254" l="1"/>
  <c r="E255" l="1"/>
  <c r="E256" l="1"/>
  <c r="E257" l="1"/>
  <c r="E258" l="1"/>
  <c r="E259" l="1"/>
  <c r="E260" l="1"/>
  <c r="E261" l="1"/>
  <c r="E262" l="1"/>
  <c r="E263" l="1"/>
  <c r="E264" l="1"/>
  <c r="E265" l="1"/>
  <c r="E266" l="1"/>
  <c r="E267" l="1"/>
  <c r="E268" l="1"/>
  <c r="E269" l="1"/>
  <c r="E270" l="1"/>
  <c r="E271" l="1"/>
  <c r="E272" l="1"/>
  <c r="E273" l="1"/>
  <c r="E274" l="1"/>
  <c r="E275" l="1"/>
  <c r="E276" l="1"/>
  <c r="E277" l="1"/>
  <c r="E278" l="1"/>
  <c r="E279" l="1"/>
  <c r="E280" l="1"/>
  <c r="E281" l="1"/>
  <c r="E282" l="1"/>
  <c r="E283" l="1"/>
  <c r="E284" l="1"/>
  <c r="E285" l="1"/>
  <c r="E286" l="1"/>
  <c r="E287" l="1"/>
  <c r="E288" l="1"/>
  <c r="E289" l="1"/>
  <c r="E290" l="1"/>
  <c r="E291" l="1"/>
  <c r="E292" l="1"/>
  <c r="E293" l="1"/>
  <c r="E294" l="1"/>
  <c r="E295" l="1"/>
  <c r="E296" l="1"/>
  <c r="E297" l="1"/>
  <c r="E298" l="1"/>
  <c r="E299" l="1"/>
  <c r="E300" l="1"/>
  <c r="E301" l="1"/>
  <c r="E302" l="1"/>
  <c r="E303" l="1"/>
  <c r="E304" l="1"/>
  <c r="E305" l="1"/>
  <c r="E306" l="1"/>
  <c r="E307" l="1"/>
  <c r="E308" l="1"/>
  <c r="E309" l="1"/>
  <c r="E310" l="1"/>
  <c r="E311" l="1"/>
  <c r="E312" l="1"/>
  <c r="E313" l="1"/>
  <c r="E314" l="1"/>
  <c r="E315" l="1"/>
  <c r="E316" l="1"/>
  <c r="E317" l="1"/>
  <c r="E318" l="1"/>
  <c r="E319" l="1"/>
  <c r="E320" l="1"/>
  <c r="E321" l="1"/>
  <c r="E322" l="1"/>
  <c r="E323" l="1"/>
  <c r="E324" l="1"/>
  <c r="E325" l="1"/>
  <c r="E326" l="1"/>
  <c r="E327" l="1"/>
  <c r="E328" l="1"/>
  <c r="E329" l="1"/>
  <c r="E330" l="1"/>
  <c r="E331" l="1"/>
  <c r="E332" l="1"/>
  <c r="E333" l="1"/>
  <c r="E334" l="1"/>
  <c r="E335" l="1"/>
  <c r="E336" l="1"/>
  <c r="E337" l="1"/>
  <c r="E338" l="1"/>
  <c r="E339" l="1"/>
  <c r="E340" l="1"/>
  <c r="E341" l="1"/>
  <c r="E342" l="1"/>
  <c r="E343" l="1"/>
  <c r="E344" l="1"/>
  <c r="E345" l="1"/>
  <c r="E346" l="1"/>
  <c r="E347" l="1"/>
  <c r="E348" l="1"/>
  <c r="E349" l="1"/>
  <c r="E350" l="1"/>
  <c r="E351" l="1"/>
  <c r="E352" l="1"/>
  <c r="E353" l="1"/>
  <c r="E354" l="1"/>
  <c r="E355" l="1"/>
  <c r="E356" l="1"/>
  <c r="E357" l="1"/>
  <c r="E358" l="1"/>
  <c r="E359" l="1"/>
  <c r="E360" l="1"/>
  <c r="E361" l="1"/>
  <c r="E362" l="1"/>
  <c r="E363" l="1"/>
  <c r="E364" l="1"/>
  <c r="E365" l="1"/>
  <c r="E366" l="1"/>
  <c r="E367" l="1"/>
  <c r="E368" l="1"/>
  <c r="E369" l="1"/>
  <c r="E370" l="1"/>
  <c r="E371" l="1"/>
  <c r="E372" l="1"/>
  <c r="E373" l="1"/>
  <c r="E374" l="1"/>
  <c r="E375" l="1"/>
  <c r="E376" l="1"/>
  <c r="E377" l="1"/>
  <c r="E378" l="1"/>
  <c r="E379" l="1"/>
  <c r="E380" l="1"/>
  <c r="E381" l="1"/>
  <c r="E382" l="1"/>
  <c r="E383" l="1"/>
  <c r="E384" l="1"/>
  <c r="E385" l="1"/>
  <c r="E386" l="1"/>
  <c r="E387" l="1"/>
  <c r="E388" l="1"/>
  <c r="E389" l="1"/>
  <c r="E390" l="1"/>
  <c r="E391" l="1"/>
  <c r="E392" l="1"/>
  <c r="E393" l="1"/>
  <c r="E394" l="1"/>
  <c r="E395" l="1"/>
  <c r="E396" l="1"/>
  <c r="E397" l="1"/>
  <c r="E398" l="1"/>
  <c r="E399" l="1"/>
  <c r="E400" l="1"/>
  <c r="E401" l="1"/>
  <c r="E402" l="1"/>
  <c r="E403" l="1"/>
  <c r="E404" l="1"/>
  <c r="E405" l="1"/>
  <c r="E406" l="1"/>
  <c r="E407" l="1"/>
  <c r="E408" l="1"/>
  <c r="E409" l="1"/>
  <c r="E410" l="1"/>
  <c r="E411" l="1"/>
  <c r="E412" l="1"/>
  <c r="E413" l="1"/>
  <c r="E414" l="1"/>
  <c r="E415" l="1"/>
  <c r="E416" l="1"/>
  <c r="E417" l="1"/>
  <c r="E418" l="1"/>
  <c r="E419" l="1"/>
  <c r="E420" l="1"/>
  <c r="E421" l="1"/>
  <c r="E422" l="1"/>
  <c r="E423" l="1"/>
  <c r="E424" l="1"/>
  <c r="E425" l="1"/>
  <c r="E426" l="1"/>
  <c r="E427" l="1"/>
  <c r="E428" l="1"/>
  <c r="E429" l="1"/>
  <c r="E430" l="1"/>
  <c r="E431" l="1"/>
  <c r="E432" l="1"/>
  <c r="E433" l="1"/>
  <c r="E434" l="1"/>
  <c r="E435" l="1"/>
  <c r="E436" l="1"/>
  <c r="E437" l="1"/>
  <c r="E438" l="1"/>
  <c r="E439" l="1"/>
  <c r="E440" l="1"/>
  <c r="E441" l="1"/>
  <c r="E442" l="1"/>
  <c r="E443" l="1"/>
  <c r="E444" l="1"/>
  <c r="E445" l="1"/>
  <c r="E446" l="1"/>
  <c r="E447" l="1"/>
  <c r="E448" l="1"/>
  <c r="E449" l="1"/>
  <c r="E450" l="1"/>
  <c r="E451" l="1"/>
  <c r="E452" l="1"/>
  <c r="E453" l="1"/>
  <c r="E454" l="1"/>
  <c r="E455" l="1"/>
  <c r="E456" l="1"/>
  <c r="E457" l="1"/>
  <c r="E458" l="1"/>
  <c r="E459" l="1"/>
  <c r="E460" l="1"/>
  <c r="E461" l="1"/>
  <c r="E462" l="1"/>
  <c r="E463" l="1"/>
  <c r="E464" l="1"/>
  <c r="E465" l="1"/>
  <c r="E466" l="1"/>
  <c r="E467" l="1"/>
  <c r="E468" l="1"/>
  <c r="E469" l="1"/>
  <c r="E470" l="1"/>
  <c r="E471" l="1"/>
  <c r="E472" l="1"/>
  <c r="E473" l="1"/>
  <c r="E474" l="1"/>
  <c r="E475" l="1"/>
  <c r="E476" l="1"/>
  <c r="E477" l="1"/>
  <c r="E478" l="1"/>
  <c r="E479" l="1"/>
  <c r="E480" l="1"/>
  <c r="E481" l="1"/>
  <c r="E482" l="1"/>
  <c r="E483" l="1"/>
  <c r="E484" l="1"/>
  <c r="E485" l="1"/>
  <c r="E486" l="1"/>
  <c r="E487" l="1"/>
  <c r="E488" l="1"/>
  <c r="E489" l="1"/>
  <c r="E490" l="1"/>
  <c r="E491" l="1"/>
  <c r="E492" l="1"/>
  <c r="E493" l="1"/>
  <c r="E494" l="1"/>
  <c r="E495" l="1"/>
  <c r="E496" l="1"/>
  <c r="E497" l="1"/>
  <c r="E498" l="1"/>
  <c r="E499" l="1"/>
  <c r="E500" l="1"/>
  <c r="E501" l="1"/>
  <c r="E502" l="1"/>
  <c r="E503" l="1"/>
  <c r="E504" l="1"/>
  <c r="E505" l="1"/>
  <c r="E506" l="1"/>
  <c r="E507" l="1"/>
  <c r="E508" l="1"/>
  <c r="E509" l="1"/>
  <c r="E510" l="1"/>
  <c r="E511" l="1"/>
  <c r="E512" l="1"/>
  <c r="E513" l="1"/>
  <c r="E514" l="1"/>
  <c r="E515" l="1"/>
  <c r="E516" l="1"/>
  <c r="E517" l="1"/>
  <c r="E518" l="1"/>
  <c r="E519" l="1"/>
  <c r="E520" l="1"/>
  <c r="E521" l="1"/>
  <c r="E522" l="1"/>
  <c r="E523" l="1"/>
  <c r="E524" l="1"/>
  <c r="E525" l="1"/>
  <c r="E526" l="1"/>
  <c r="E527" l="1"/>
  <c r="E528" l="1"/>
  <c r="E529" l="1"/>
  <c r="E530" l="1"/>
  <c r="E531" l="1"/>
  <c r="E532" l="1"/>
  <c r="E533" l="1"/>
  <c r="E534" l="1"/>
  <c r="E535" l="1"/>
  <c r="E536" l="1"/>
  <c r="E537" l="1"/>
  <c r="E538" l="1"/>
  <c r="E539" l="1"/>
  <c r="E540" l="1"/>
  <c r="E541" l="1"/>
  <c r="E542" l="1"/>
  <c r="E543" l="1"/>
  <c r="E544" l="1"/>
  <c r="E545" l="1"/>
  <c r="E546" l="1"/>
  <c r="E547" l="1"/>
  <c r="E548" l="1"/>
  <c r="E549" l="1"/>
  <c r="E550" l="1"/>
  <c r="E551" l="1"/>
  <c r="E552" l="1"/>
  <c r="E553" l="1"/>
  <c r="E554" l="1"/>
  <c r="E555" l="1"/>
  <c r="E556" l="1"/>
  <c r="E557" l="1"/>
  <c r="E558" l="1"/>
  <c r="E559" l="1"/>
  <c r="E560" l="1"/>
  <c r="E561" l="1"/>
  <c r="E562" l="1"/>
  <c r="E563" l="1"/>
  <c r="E564" l="1"/>
  <c r="E565" l="1"/>
  <c r="E566" l="1"/>
  <c r="E567" l="1"/>
  <c r="E568" l="1"/>
  <c r="E569" l="1"/>
  <c r="E570" l="1"/>
  <c r="E571" l="1"/>
  <c r="E572" l="1"/>
  <c r="E573" l="1"/>
  <c r="E574" l="1"/>
  <c r="E575" l="1"/>
  <c r="E576" l="1"/>
  <c r="E577" l="1"/>
  <c r="E578" l="1"/>
  <c r="E579" l="1"/>
  <c r="E580" l="1"/>
  <c r="E581" l="1"/>
  <c r="E582" l="1"/>
  <c r="E583" l="1"/>
  <c r="E584" l="1"/>
  <c r="E585" l="1"/>
  <c r="E586" l="1"/>
  <c r="E587" l="1"/>
  <c r="E588" l="1"/>
  <c r="E589" l="1"/>
  <c r="E590" l="1"/>
  <c r="E591" l="1"/>
  <c r="E592" l="1"/>
  <c r="E593" l="1"/>
  <c r="E594" l="1"/>
  <c r="E595" l="1"/>
  <c r="E596" l="1"/>
  <c r="E597" l="1"/>
  <c r="E598" l="1"/>
  <c r="E599" l="1"/>
  <c r="E600" l="1"/>
  <c r="E601" l="1"/>
  <c r="E602" l="1"/>
  <c r="E603" l="1"/>
  <c r="E604" l="1"/>
  <c r="E605" l="1"/>
  <c r="E606" l="1"/>
  <c r="E607" l="1"/>
  <c r="E608" l="1"/>
  <c r="E609" l="1"/>
  <c r="E610" l="1"/>
  <c r="E611" l="1"/>
  <c r="E612" l="1"/>
  <c r="E613" l="1"/>
  <c r="E614" l="1"/>
  <c r="E615" l="1"/>
  <c r="E616" l="1"/>
  <c r="E617" l="1"/>
  <c r="E618" l="1"/>
  <c r="E619" l="1"/>
  <c r="E620" l="1"/>
  <c r="E621" l="1"/>
  <c r="E622" l="1"/>
  <c r="E623" l="1"/>
  <c r="E624" l="1"/>
  <c r="E625" l="1"/>
  <c r="E626" l="1"/>
  <c r="E627" l="1"/>
  <c r="E628" l="1"/>
  <c r="E629" l="1"/>
  <c r="E630" l="1"/>
  <c r="E631" l="1"/>
  <c r="E632" l="1"/>
  <c r="E633" l="1"/>
  <c r="E634" l="1"/>
  <c r="E635" l="1"/>
  <c r="E636" l="1"/>
  <c r="E637" l="1"/>
  <c r="E638" l="1"/>
  <c r="E639" l="1"/>
  <c r="E640" l="1"/>
  <c r="E641" l="1"/>
  <c r="E642" l="1"/>
  <c r="E643" l="1"/>
  <c r="E644" l="1"/>
  <c r="E645" l="1"/>
  <c r="E646" l="1"/>
  <c r="E647" l="1"/>
  <c r="E648" l="1"/>
  <c r="E649" l="1"/>
  <c r="E650" l="1"/>
  <c r="E651" l="1"/>
  <c r="E652" l="1"/>
  <c r="E653" l="1"/>
  <c r="E654" l="1"/>
  <c r="E655" l="1"/>
  <c r="E656" l="1"/>
  <c r="E657" l="1"/>
  <c r="E658" l="1"/>
  <c r="E659" l="1"/>
  <c r="E660" l="1"/>
  <c r="E661" l="1"/>
  <c r="E662" l="1"/>
  <c r="E663" l="1"/>
  <c r="E664" l="1"/>
  <c r="E665" l="1"/>
  <c r="E666" l="1"/>
  <c r="E667" l="1"/>
  <c r="E668" l="1"/>
  <c r="E669" l="1"/>
  <c r="E670" l="1"/>
  <c r="E671" l="1"/>
  <c r="E672" l="1"/>
  <c r="E673" l="1"/>
  <c r="E674" l="1"/>
  <c r="E675" l="1"/>
  <c r="E676" l="1"/>
  <c r="E677" l="1"/>
  <c r="E678" l="1"/>
  <c r="E679" l="1"/>
  <c r="E680" l="1"/>
  <c r="E681" l="1"/>
  <c r="E682" l="1"/>
  <c r="E683" l="1"/>
  <c r="E684" l="1"/>
  <c r="E685" l="1"/>
  <c r="E686" l="1"/>
  <c r="E687" l="1"/>
  <c r="E688" l="1"/>
  <c r="E689" l="1"/>
  <c r="E690" l="1"/>
  <c r="E691" l="1"/>
  <c r="E692" l="1"/>
  <c r="E693" l="1"/>
  <c r="E694" l="1"/>
  <c r="E695" l="1"/>
  <c r="E696" l="1"/>
  <c r="E697" l="1"/>
  <c r="E698" l="1"/>
  <c r="E699" l="1"/>
  <c r="E700" l="1"/>
  <c r="E701" l="1"/>
  <c r="E702" l="1"/>
  <c r="E703" l="1"/>
  <c r="E704" l="1"/>
  <c r="E705" l="1"/>
  <c r="E706" l="1"/>
  <c r="E707" l="1"/>
  <c r="E708" l="1"/>
  <c r="E709" l="1"/>
  <c r="E710" l="1"/>
  <c r="E711" l="1"/>
  <c r="E712" l="1"/>
  <c r="E713" l="1"/>
  <c r="E714" l="1"/>
  <c r="E715" l="1"/>
  <c r="E716" l="1"/>
  <c r="E717" l="1"/>
  <c r="E718" l="1"/>
  <c r="E719" l="1"/>
  <c r="E720" l="1"/>
  <c r="E721" l="1"/>
  <c r="E722" l="1"/>
  <c r="E723" l="1"/>
  <c r="E724" l="1"/>
  <c r="E725" l="1"/>
  <c r="E726" l="1"/>
  <c r="E727" l="1"/>
  <c r="E728" l="1"/>
  <c r="E729" l="1"/>
  <c r="E730" l="1"/>
  <c r="E731" l="1"/>
  <c r="E732" l="1"/>
  <c r="E733" l="1"/>
  <c r="E734" l="1"/>
  <c r="E735" l="1"/>
  <c r="E736" l="1"/>
  <c r="E737" l="1"/>
  <c r="E738" l="1"/>
  <c r="E739" l="1"/>
  <c r="E740" l="1"/>
  <c r="E741" l="1"/>
  <c r="E742" l="1"/>
  <c r="E743" l="1"/>
  <c r="E744" l="1"/>
  <c r="E745" l="1"/>
  <c r="E746" l="1"/>
  <c r="E747" l="1"/>
  <c r="E748" l="1"/>
  <c r="E749" l="1"/>
  <c r="E750" l="1"/>
  <c r="E751" l="1"/>
  <c r="E752" l="1"/>
  <c r="E753" l="1"/>
  <c r="E754" l="1"/>
  <c r="E755" l="1"/>
  <c r="E756" l="1"/>
  <c r="E757" l="1"/>
  <c r="E758" l="1"/>
  <c r="E759" l="1"/>
  <c r="E760" l="1"/>
  <c r="E761" l="1"/>
  <c r="E762" l="1"/>
  <c r="E763" l="1"/>
  <c r="E764" l="1"/>
  <c r="E765" l="1"/>
  <c r="E766" l="1"/>
  <c r="E767" l="1"/>
  <c r="E768" l="1"/>
  <c r="E769" l="1"/>
  <c r="E770" l="1"/>
  <c r="E771" l="1"/>
  <c r="E772" l="1"/>
  <c r="E773" l="1"/>
  <c r="E774" l="1"/>
  <c r="E775" l="1"/>
  <c r="E776" l="1"/>
  <c r="E777" l="1"/>
  <c r="E778" l="1"/>
  <c r="E779" l="1"/>
  <c r="E780" l="1"/>
  <c r="E781" l="1"/>
  <c r="E782" l="1"/>
  <c r="T106" i="4" l="1"/>
  <c r="T105"/>
  <c r="E8" i="10"/>
  <c r="E10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B17"/>
  <c r="G8" s="1"/>
  <c r="B15"/>
  <c r="B14" l="1"/>
  <c r="B16" s="1"/>
  <c r="F8" l="1"/>
  <c r="B11"/>
  <c r="AI10"/>
  <c r="AI11" s="1"/>
  <c r="AI12" s="1"/>
  <c r="AI13" s="1"/>
  <c r="AI14" s="1"/>
  <c r="AI15" s="1"/>
  <c r="AI16" s="1"/>
  <c r="AI17" s="1"/>
  <c r="AI18" s="1"/>
  <c r="AI19" s="1"/>
  <c r="AI20" s="1"/>
  <c r="AI21" s="1"/>
  <c r="AI22" s="1"/>
  <c r="AI23" s="1"/>
  <c r="AI24" s="1"/>
  <c r="AI25" s="1"/>
  <c r="AI26" s="1"/>
  <c r="AI27" s="1"/>
  <c r="AI28" s="1"/>
  <c r="AI29" s="1"/>
  <c r="AI30" s="1"/>
  <c r="AI31" s="1"/>
  <c r="AI32" s="1"/>
  <c r="AI33" s="1"/>
  <c r="AI34" s="1"/>
  <c r="AI35" s="1"/>
  <c r="AI36" s="1"/>
  <c r="AI37" s="1"/>
  <c r="AI38" s="1"/>
  <c r="AI39" s="1"/>
  <c r="AI40" s="1"/>
  <c r="AI41" s="1"/>
  <c r="AI42" s="1"/>
  <c r="AI43" s="1"/>
  <c r="AI44" s="1"/>
  <c r="AI45" s="1"/>
  <c r="AI46" s="1"/>
  <c r="AI47" s="1"/>
  <c r="AI48" s="1"/>
  <c r="AI49" s="1"/>
  <c r="AI50" s="1"/>
  <c r="AI51" s="1"/>
  <c r="AI52" s="1"/>
  <c r="AI53" s="1"/>
  <c r="AI54" s="1"/>
  <c r="AI55" s="1"/>
  <c r="AI56" s="1"/>
  <c r="AI57" s="1"/>
  <c r="AI58" s="1"/>
  <c r="AI59" s="1"/>
  <c r="AI60" s="1"/>
  <c r="AI61" s="1"/>
  <c r="AI62" s="1"/>
  <c r="AI63" s="1"/>
  <c r="AI64" s="1"/>
  <c r="AI65" s="1"/>
  <c r="AI66" s="1"/>
  <c r="AI67" s="1"/>
  <c r="AI68" s="1"/>
  <c r="AI69" s="1"/>
  <c r="AI70" s="1"/>
  <c r="AI71" s="1"/>
  <c r="AI72" s="1"/>
  <c r="AI73" s="1"/>
  <c r="AI74" s="1"/>
  <c r="AI75" s="1"/>
  <c r="AI76" s="1"/>
  <c r="AI77" s="1"/>
  <c r="AI78" s="1"/>
  <c r="AI79" s="1"/>
  <c r="AI80" s="1"/>
  <c r="AI81" s="1"/>
  <c r="AI82" s="1"/>
  <c r="AI83" s="1"/>
  <c r="B12" l="1"/>
  <c r="H8"/>
  <c r="B3" l="1"/>
  <c r="B29"/>
  <c r="R11" l="1"/>
  <c r="R13"/>
  <c r="R15"/>
  <c r="R17"/>
  <c r="R19"/>
  <c r="R21"/>
  <c r="R23"/>
  <c r="R25"/>
  <c r="R27"/>
  <c r="R29"/>
  <c r="R31"/>
  <c r="R33"/>
  <c r="R35"/>
  <c r="R37"/>
  <c r="R39"/>
  <c r="R41"/>
  <c r="R43"/>
  <c r="R45"/>
  <c r="R47"/>
  <c r="R49"/>
  <c r="R51"/>
  <c r="R53"/>
  <c r="R55"/>
  <c r="R57"/>
  <c r="R59"/>
  <c r="R61"/>
  <c r="R63"/>
  <c r="R65"/>
  <c r="R67"/>
  <c r="R69"/>
  <c r="R71"/>
  <c r="R73"/>
  <c r="R75"/>
  <c r="R77"/>
  <c r="R79"/>
  <c r="R81"/>
  <c r="R83"/>
  <c r="R10"/>
  <c r="R12"/>
  <c r="R14"/>
  <c r="R16"/>
  <c r="R18"/>
  <c r="R20"/>
  <c r="R22"/>
  <c r="R24"/>
  <c r="R26"/>
  <c r="R28"/>
  <c r="R30"/>
  <c r="R32"/>
  <c r="R34"/>
  <c r="R36"/>
  <c r="R38"/>
  <c r="R40"/>
  <c r="R42"/>
  <c r="R44"/>
  <c r="R46"/>
  <c r="R48"/>
  <c r="R50"/>
  <c r="R52"/>
  <c r="R54"/>
  <c r="R56"/>
  <c r="R58"/>
  <c r="R60"/>
  <c r="R62"/>
  <c r="R64"/>
  <c r="R66"/>
  <c r="R68"/>
  <c r="R70"/>
  <c r="R72"/>
  <c r="R74"/>
  <c r="R76"/>
  <c r="R78"/>
  <c r="R80"/>
  <c r="R82"/>
  <c r="R84"/>
  <c r="R9"/>
  <c r="T8" i="4"/>
  <c r="T9" s="1"/>
  <c r="T10" s="1"/>
  <c r="T11" s="1"/>
  <c r="T12" s="1"/>
  <c r="T13" s="1"/>
  <c r="T14" s="1"/>
  <c r="T15" s="1"/>
  <c r="T16" s="1"/>
  <c r="T17" s="1"/>
  <c r="T18" s="1"/>
  <c r="T19" s="1"/>
  <c r="T20" s="1"/>
  <c r="T21" s="1"/>
  <c r="T22" s="1"/>
  <c r="T23" s="1"/>
  <c r="T24" s="1"/>
  <c r="T25" s="1"/>
  <c r="T26" s="1"/>
  <c r="T27" s="1"/>
  <c r="T28" s="1"/>
  <c r="T29" s="1"/>
  <c r="T30" s="1"/>
  <c r="T31" s="1"/>
  <c r="T32" s="1"/>
  <c r="T33" s="1"/>
  <c r="T34" s="1"/>
  <c r="T35" s="1"/>
  <c r="T36" s="1"/>
  <c r="T37" s="1"/>
  <c r="T38" s="1"/>
  <c r="T39" s="1"/>
  <c r="T40" s="1"/>
  <c r="T41" s="1"/>
  <c r="T42" s="1"/>
  <c r="T43" s="1"/>
  <c r="T44" s="1"/>
  <c r="T45" s="1"/>
  <c r="T46" s="1"/>
  <c r="T47" s="1"/>
  <c r="T48" s="1"/>
  <c r="T49" s="1"/>
  <c r="T50" s="1"/>
  <c r="T51" s="1"/>
  <c r="T52" s="1"/>
  <c r="T53" s="1"/>
  <c r="T54" s="1"/>
  <c r="T55" s="1"/>
  <c r="T56" s="1"/>
  <c r="T57" s="1"/>
  <c r="T58" s="1"/>
  <c r="T59" s="1"/>
  <c r="T60" s="1"/>
  <c r="T61" s="1"/>
  <c r="T62" s="1"/>
  <c r="T63" s="1"/>
  <c r="T64" s="1"/>
  <c r="T65" s="1"/>
  <c r="T66" s="1"/>
  <c r="T67" s="1"/>
  <c r="T68" s="1"/>
  <c r="T69" s="1"/>
  <c r="T70" s="1"/>
  <c r="T71" s="1"/>
  <c r="T72" s="1"/>
  <c r="T73" s="1"/>
  <c r="T74" s="1"/>
  <c r="T75" s="1"/>
  <c r="T76" s="1"/>
  <c r="T77" s="1"/>
  <c r="T78" s="1"/>
  <c r="T79" s="1"/>
  <c r="T80" s="1"/>
  <c r="T81" s="1"/>
  <c r="T82" s="1"/>
  <c r="T83" s="1"/>
  <c r="T84" s="1"/>
  <c r="T85" s="1"/>
  <c r="T86" s="1"/>
  <c r="T87" s="1"/>
  <c r="T88" s="1"/>
  <c r="T89" s="1"/>
  <c r="T90" s="1"/>
  <c r="T91" s="1"/>
  <c r="T92" s="1"/>
  <c r="T93" s="1"/>
  <c r="T94" s="1"/>
  <c r="T95" s="1"/>
  <c r="T96" s="1"/>
  <c r="T97" s="1"/>
  <c r="T98" s="1"/>
  <c r="T99" s="1"/>
  <c r="T100" s="1"/>
  <c r="T101" s="1"/>
  <c r="T102" s="1"/>
  <c r="T103" s="1"/>
  <c r="T104" s="1"/>
  <c r="T107" s="1"/>
  <c r="T108" s="1"/>
  <c r="T109" s="1"/>
  <c r="T110" s="1"/>
  <c r="T111" s="1"/>
  <c r="T112" s="1"/>
  <c r="T113" s="1"/>
  <c r="T114" s="1"/>
  <c r="T115" s="1"/>
  <c r="T116" s="1"/>
  <c r="T117" s="1"/>
  <c r="T118" s="1"/>
  <c r="T119" s="1"/>
  <c r="T120" s="1"/>
  <c r="T121" s="1"/>
  <c r="T122" s="1"/>
  <c r="T123" s="1"/>
  <c r="T124" s="1"/>
  <c r="T125" s="1"/>
  <c r="T126" s="1"/>
  <c r="T127" s="1"/>
  <c r="T128" s="1"/>
  <c r="T129" s="1"/>
  <c r="T130" s="1"/>
  <c r="T131" s="1"/>
  <c r="T132" s="1"/>
  <c r="T133" s="1"/>
  <c r="T134" s="1"/>
  <c r="T135" s="1"/>
  <c r="T136" s="1"/>
  <c r="T137" s="1"/>
  <c r="T138" s="1"/>
  <c r="T139" s="1"/>
  <c r="T140" s="1"/>
  <c r="T141" s="1"/>
  <c r="T142" s="1"/>
  <c r="T143" s="1"/>
  <c r="T144" s="1"/>
  <c r="T145" s="1"/>
  <c r="T146" s="1"/>
  <c r="T147" s="1"/>
  <c r="T148" s="1"/>
  <c r="T149" s="1"/>
  <c r="T150" s="1"/>
  <c r="T151" s="1"/>
  <c r="T152" s="1"/>
  <c r="T153" s="1"/>
  <c r="T154" s="1"/>
  <c r="T155" s="1"/>
  <c r="T156" s="1"/>
  <c r="T157" s="1"/>
  <c r="T158" s="1"/>
  <c r="T159" s="1"/>
  <c r="T160" s="1"/>
  <c r="T161" s="1"/>
  <c r="T162" s="1"/>
  <c r="T163" s="1"/>
  <c r="T164" s="1"/>
  <c r="T165" s="1"/>
  <c r="T166" s="1"/>
  <c r="T167" s="1"/>
  <c r="T168" s="1"/>
  <c r="T169" s="1"/>
  <c r="T170" s="1"/>
  <c r="T171" s="1"/>
  <c r="T172" s="1"/>
  <c r="T173" s="1"/>
  <c r="T174" s="1"/>
  <c r="T175" s="1"/>
  <c r="T176" s="1"/>
  <c r="T177" s="1"/>
  <c r="T178" s="1"/>
  <c r="T179" s="1"/>
  <c r="T180" s="1"/>
  <c r="T181" s="1"/>
  <c r="T182" s="1"/>
  <c r="T183" s="1"/>
  <c r="T184" s="1"/>
  <c r="T185" s="1"/>
  <c r="T186" s="1"/>
  <c r="T187" s="1"/>
  <c r="T188" s="1"/>
  <c r="T189" s="1"/>
  <c r="T190" s="1"/>
  <c r="T191" s="1"/>
  <c r="T192" s="1"/>
  <c r="T193" s="1"/>
  <c r="T194" s="1"/>
  <c r="T195" s="1"/>
  <c r="T196" s="1"/>
  <c r="T197" s="1"/>
  <c r="T198" s="1"/>
  <c r="T199" s="1"/>
  <c r="T200" s="1"/>
  <c r="T201" s="1"/>
  <c r="T202" s="1"/>
  <c r="T203" s="1"/>
  <c r="T204" s="1"/>
  <c r="T205" s="1"/>
  <c r="T206" s="1"/>
  <c r="T207" s="1"/>
  <c r="T208" s="1"/>
  <c r="T209" s="1"/>
  <c r="T210" s="1"/>
  <c r="T211" s="1"/>
  <c r="T212" s="1"/>
  <c r="T213" s="1"/>
  <c r="T214" s="1"/>
  <c r="T215" s="1"/>
  <c r="T216" s="1"/>
  <c r="T217" s="1"/>
  <c r="T218" s="1"/>
  <c r="T219" s="1"/>
  <c r="T220" s="1"/>
  <c r="T221" s="1"/>
  <c r="T222" s="1"/>
  <c r="T223" s="1"/>
  <c r="T224" s="1"/>
  <c r="T225" s="1"/>
  <c r="T226" s="1"/>
  <c r="T227" s="1"/>
  <c r="T228" s="1"/>
  <c r="T229" s="1"/>
  <c r="T230" s="1"/>
  <c r="T231" s="1"/>
  <c r="T232" s="1"/>
  <c r="T233" s="1"/>
  <c r="T234" s="1"/>
  <c r="T235" s="1"/>
  <c r="T236" s="1"/>
  <c r="T237" s="1"/>
  <c r="T238" s="1"/>
  <c r="T239" s="1"/>
  <c r="T240" s="1"/>
  <c r="T241" s="1"/>
  <c r="T242" s="1"/>
  <c r="T243" s="1"/>
  <c r="T244" s="1"/>
  <c r="T245" s="1"/>
  <c r="T246" s="1"/>
  <c r="T247" s="1"/>
  <c r="T248" s="1"/>
  <c r="T249" s="1"/>
  <c r="T250" s="1"/>
  <c r="T251" s="1"/>
  <c r="T252" s="1"/>
  <c r="T253" s="1"/>
  <c r="T254" s="1"/>
  <c r="T255" s="1"/>
  <c r="T256" s="1"/>
  <c r="T257" s="1"/>
  <c r="T258" s="1"/>
  <c r="T259" s="1"/>
  <c r="T260" s="1"/>
  <c r="T261" s="1"/>
  <c r="T262" s="1"/>
  <c r="T263" s="1"/>
  <c r="T264" s="1"/>
  <c r="T265" s="1"/>
  <c r="T266" s="1"/>
  <c r="T267" s="1"/>
  <c r="T268" s="1"/>
  <c r="T269" s="1"/>
  <c r="T270" s="1"/>
  <c r="T271" s="1"/>
  <c r="T272" s="1"/>
  <c r="T273" s="1"/>
  <c r="T274" s="1"/>
  <c r="T275" s="1"/>
  <c r="T276" s="1"/>
  <c r="T277" s="1"/>
  <c r="T278" s="1"/>
  <c r="T279" s="1"/>
  <c r="T280" s="1"/>
  <c r="T281" s="1"/>
  <c r="T282" s="1"/>
  <c r="T283" s="1"/>
  <c r="T284" s="1"/>
  <c r="T285" s="1"/>
  <c r="T286" s="1"/>
  <c r="T287" s="1"/>
  <c r="T288" s="1"/>
  <c r="T289" s="1"/>
  <c r="T290" s="1"/>
  <c r="T291" s="1"/>
  <c r="T292" s="1"/>
  <c r="T293" s="1"/>
  <c r="T294" s="1"/>
  <c r="T295" s="1"/>
  <c r="T296" s="1"/>
  <c r="T297" s="1"/>
  <c r="T298" s="1"/>
  <c r="T299" s="1"/>
  <c r="T300" s="1"/>
  <c r="T301" s="1"/>
  <c r="T302" s="1"/>
  <c r="T303" s="1"/>
  <c r="T304" s="1"/>
  <c r="T305" s="1"/>
  <c r="T306" s="1"/>
  <c r="T7"/>
  <c r="T5"/>
  <c r="AH471" l="1"/>
  <c r="AH472" s="1"/>
  <c r="AH473" s="1"/>
  <c r="AH474" s="1"/>
  <c r="AH475" s="1"/>
  <c r="AH476" s="1"/>
  <c r="AH477" s="1"/>
  <c r="AH478" s="1"/>
  <c r="AH479" s="1"/>
  <c r="AH480" s="1"/>
  <c r="AH481" s="1"/>
  <c r="AH482" s="1"/>
  <c r="AH483" s="1"/>
  <c r="AH484" s="1"/>
  <c r="AH485" s="1"/>
  <c r="AH486" s="1"/>
  <c r="AH487" s="1"/>
  <c r="AH488" s="1"/>
  <c r="AH489" s="1"/>
  <c r="AH490" s="1"/>
  <c r="AH491" s="1"/>
  <c r="AH492" s="1"/>
  <c r="AH493" s="1"/>
  <c r="AH494" s="1"/>
  <c r="AH495" s="1"/>
  <c r="AH496" s="1"/>
  <c r="AH497" s="1"/>
  <c r="AH498" s="1"/>
  <c r="AH499" s="1"/>
  <c r="AH500" s="1"/>
  <c r="AH501" s="1"/>
  <c r="AH502" s="1"/>
  <c r="AH503" s="1"/>
  <c r="AH504" s="1"/>
  <c r="AH505" s="1"/>
  <c r="AH506" s="1"/>
  <c r="AH257"/>
  <c r="AH258" s="1"/>
  <c r="AH259" s="1"/>
  <c r="AH260" s="1"/>
  <c r="AH261" s="1"/>
  <c r="AH262" s="1"/>
  <c r="AH263" s="1"/>
  <c r="AH264" s="1"/>
  <c r="AH265" s="1"/>
  <c r="AH266" s="1"/>
  <c r="AH267" s="1"/>
  <c r="AH268" s="1"/>
  <c r="AH269" s="1"/>
  <c r="AH270" s="1"/>
  <c r="AH271" s="1"/>
  <c r="AH272" s="1"/>
  <c r="AH273" s="1"/>
  <c r="AH274" s="1"/>
  <c r="AH275" s="1"/>
  <c r="AH276" s="1"/>
  <c r="AH277" s="1"/>
  <c r="AH278" s="1"/>
  <c r="AH279" s="1"/>
  <c r="AH280" s="1"/>
  <c r="AH281" s="1"/>
  <c r="AH282" s="1"/>
  <c r="AH283" s="1"/>
  <c r="AH284" s="1"/>
  <c r="AH285" s="1"/>
  <c r="AH286" s="1"/>
  <c r="AH287" s="1"/>
  <c r="AH288" s="1"/>
  <c r="AH289" s="1"/>
  <c r="AH290" s="1"/>
  <c r="AH291" s="1"/>
  <c r="AH292" s="1"/>
  <c r="AH293" s="1"/>
  <c r="AH294" s="1"/>
  <c r="AH295" s="1"/>
  <c r="AH296" s="1"/>
  <c r="AH297" s="1"/>
  <c r="AH298" s="1"/>
  <c r="AH299" s="1"/>
  <c r="AH300" s="1"/>
  <c r="AH301" s="1"/>
  <c r="AH302" s="1"/>
  <c r="AH303" s="1"/>
  <c r="AH304" s="1"/>
  <c r="AH305" s="1"/>
  <c r="AH306" s="1"/>
  <c r="AH307" s="1"/>
  <c r="AH308" s="1"/>
  <c r="AH309" s="1"/>
  <c r="AH310" s="1"/>
  <c r="AH311" s="1"/>
  <c r="AH312" s="1"/>
  <c r="AH313" s="1"/>
  <c r="AH314" s="1"/>
  <c r="AH315" s="1"/>
  <c r="AH316" s="1"/>
  <c r="AH317" s="1"/>
  <c r="AH318" s="1"/>
  <c r="AH319" s="1"/>
  <c r="AH320" s="1"/>
  <c r="AH321" s="1"/>
  <c r="AH322" s="1"/>
  <c r="AH323" s="1"/>
  <c r="AH324" s="1"/>
  <c r="AH325" s="1"/>
  <c r="AH326" s="1"/>
  <c r="AH327" s="1"/>
  <c r="AH328" s="1"/>
  <c r="AH329" s="1"/>
  <c r="AH330" s="1"/>
  <c r="AH331" s="1"/>
  <c r="AH332" s="1"/>
  <c r="AH333" s="1"/>
  <c r="AH334" s="1"/>
  <c r="AH335" s="1"/>
  <c r="AH336" s="1"/>
  <c r="AH337" s="1"/>
  <c r="AH338" s="1"/>
  <c r="AH339" s="1"/>
  <c r="AH340" s="1"/>
  <c r="AH341" s="1"/>
  <c r="AH342" s="1"/>
  <c r="AH343" s="1"/>
  <c r="AH344" s="1"/>
  <c r="AH345" s="1"/>
  <c r="AH346" s="1"/>
  <c r="AH347" s="1"/>
  <c r="AH348" s="1"/>
  <c r="AH349" s="1"/>
  <c r="AH350" s="1"/>
  <c r="AH351" s="1"/>
  <c r="AH352" s="1"/>
  <c r="AH353" s="1"/>
  <c r="AH354" s="1"/>
  <c r="AH355" s="1"/>
  <c r="AH356" s="1"/>
  <c r="AH357" s="1"/>
  <c r="AH358" s="1"/>
  <c r="AH359" s="1"/>
  <c r="AH360" s="1"/>
  <c r="AH361" s="1"/>
  <c r="AH362" s="1"/>
  <c r="AH363" s="1"/>
  <c r="AH364" s="1"/>
  <c r="AH365" s="1"/>
  <c r="AH366" s="1"/>
  <c r="AH367" s="1"/>
  <c r="AH368" s="1"/>
  <c r="AH369" s="1"/>
  <c r="AH370" s="1"/>
  <c r="AH371" s="1"/>
  <c r="AH372" s="1"/>
  <c r="AH373" s="1"/>
  <c r="AH374" s="1"/>
  <c r="AH375" s="1"/>
  <c r="AH376" s="1"/>
  <c r="AH377" s="1"/>
  <c r="AH378" s="1"/>
  <c r="AH379" s="1"/>
  <c r="AH380" s="1"/>
  <c r="AH381" s="1"/>
  <c r="AH382" s="1"/>
  <c r="AH383" s="1"/>
  <c r="AH384" s="1"/>
  <c r="AH385" s="1"/>
  <c r="AH386" s="1"/>
  <c r="AH387" s="1"/>
  <c r="AH388" s="1"/>
  <c r="AH389" s="1"/>
  <c r="AH390" s="1"/>
  <c r="AH391" s="1"/>
  <c r="AH392" s="1"/>
  <c r="AH393" s="1"/>
  <c r="AH394" s="1"/>
  <c r="AH395" s="1"/>
  <c r="AH396" s="1"/>
  <c r="AH397" s="1"/>
  <c r="AH398" s="1"/>
  <c r="AH399" s="1"/>
  <c r="AH400" s="1"/>
  <c r="AH401" s="1"/>
  <c r="AH402" s="1"/>
  <c r="AH403" s="1"/>
  <c r="AH404" s="1"/>
  <c r="AH405" s="1"/>
  <c r="AH406" s="1"/>
  <c r="AH407" s="1"/>
  <c r="AH408" s="1"/>
  <c r="AH409" s="1"/>
  <c r="AH410" s="1"/>
  <c r="AH411" s="1"/>
  <c r="AH412" s="1"/>
  <c r="AH413" s="1"/>
  <c r="AH414" s="1"/>
  <c r="AH415" s="1"/>
  <c r="AH416" s="1"/>
  <c r="AH417" s="1"/>
  <c r="AH418" s="1"/>
  <c r="AH419" s="1"/>
  <c r="AH420" s="1"/>
  <c r="AH421" s="1"/>
  <c r="AH422" s="1"/>
  <c r="AH423" s="1"/>
  <c r="AH424" s="1"/>
  <c r="AH425" s="1"/>
  <c r="AH426" s="1"/>
  <c r="AH427" s="1"/>
  <c r="AH428" s="1"/>
  <c r="AH429" s="1"/>
  <c r="AH430" s="1"/>
  <c r="AH431" s="1"/>
  <c r="AH432" s="1"/>
  <c r="AH433" s="1"/>
  <c r="AH434" s="1"/>
  <c r="AH435" s="1"/>
  <c r="AH436" s="1"/>
  <c r="AH437" s="1"/>
  <c r="AH438" s="1"/>
  <c r="AH439" s="1"/>
  <c r="AH440" s="1"/>
  <c r="AH441" s="1"/>
  <c r="AH442" s="1"/>
  <c r="AH443" s="1"/>
  <c r="AH444" s="1"/>
  <c r="AH445" s="1"/>
  <c r="AH446" s="1"/>
  <c r="AH447" s="1"/>
  <c r="AH448" s="1"/>
  <c r="AH449" s="1"/>
  <c r="AH450" s="1"/>
  <c r="AH451" s="1"/>
  <c r="AH452" s="1"/>
  <c r="AH453" s="1"/>
  <c r="AH454" s="1"/>
  <c r="AH455" s="1"/>
  <c r="AH456" s="1"/>
  <c r="AH457" s="1"/>
  <c r="AH458" s="1"/>
  <c r="AH459" s="1"/>
  <c r="AH460" s="1"/>
  <c r="AH461" s="1"/>
  <c r="AH462" s="1"/>
  <c r="AH463" s="1"/>
  <c r="AH464" s="1"/>
  <c r="AH465" s="1"/>
  <c r="AH466" s="1"/>
  <c r="AH467" s="1"/>
  <c r="AH468" s="1"/>
  <c r="AH469" s="1"/>
  <c r="AH470" s="1"/>
  <c r="AH8"/>
  <c r="AH9" s="1"/>
  <c r="AH10" s="1"/>
  <c r="AH11" s="1"/>
  <c r="AH12" s="1"/>
  <c r="AH13" s="1"/>
  <c r="AH14" s="1"/>
  <c r="AH15" s="1"/>
  <c r="AH16" s="1"/>
  <c r="AH17" s="1"/>
  <c r="AH18" s="1"/>
  <c r="AH19" s="1"/>
  <c r="AH20" s="1"/>
  <c r="AH21" s="1"/>
  <c r="AH22" s="1"/>
  <c r="AH23" s="1"/>
  <c r="AH24" s="1"/>
  <c r="AH25" s="1"/>
  <c r="AH26" s="1"/>
  <c r="AH27" s="1"/>
  <c r="AH28" s="1"/>
  <c r="AH29" s="1"/>
  <c r="AH30" s="1"/>
  <c r="AH31" s="1"/>
  <c r="AH32" s="1"/>
  <c r="AH33" s="1"/>
  <c r="AH34" s="1"/>
  <c r="AH35" s="1"/>
  <c r="AH36" s="1"/>
  <c r="AH37" s="1"/>
  <c r="AH38" s="1"/>
  <c r="AH39" s="1"/>
  <c r="AH40" s="1"/>
  <c r="AH41" s="1"/>
  <c r="AH42" s="1"/>
  <c r="AH43" s="1"/>
  <c r="AH44" s="1"/>
  <c r="AH45" s="1"/>
  <c r="AH46" s="1"/>
  <c r="AH47" s="1"/>
  <c r="AH48" s="1"/>
  <c r="AH49" s="1"/>
  <c r="AH50" s="1"/>
  <c r="AH51" s="1"/>
  <c r="AH52" s="1"/>
  <c r="AH53" s="1"/>
  <c r="AH54" s="1"/>
  <c r="AH55" s="1"/>
  <c r="AH56" s="1"/>
  <c r="AH57" s="1"/>
  <c r="AH58" s="1"/>
  <c r="AH59" s="1"/>
  <c r="AH60" s="1"/>
  <c r="AH61" s="1"/>
  <c r="AH62" s="1"/>
  <c r="AH63" s="1"/>
  <c r="AH64" s="1"/>
  <c r="AH65" s="1"/>
  <c r="AH66" s="1"/>
  <c r="AH67" s="1"/>
  <c r="AH68" s="1"/>
  <c r="AH69" s="1"/>
  <c r="AH70" s="1"/>
  <c r="AH71" s="1"/>
  <c r="AH72" s="1"/>
  <c r="AH73" s="1"/>
  <c r="AH74" s="1"/>
  <c r="AH75" s="1"/>
  <c r="AH76" s="1"/>
  <c r="AH77" s="1"/>
  <c r="AH78" s="1"/>
  <c r="AH79" s="1"/>
  <c r="AH80" s="1"/>
  <c r="AH81" s="1"/>
  <c r="AH82" s="1"/>
  <c r="AH83" s="1"/>
  <c r="AH84" s="1"/>
  <c r="AH85" s="1"/>
  <c r="AH86" s="1"/>
  <c r="AH87" s="1"/>
  <c r="AH88" s="1"/>
  <c r="AH89" s="1"/>
  <c r="AH90" s="1"/>
  <c r="AH91" s="1"/>
  <c r="AH92" s="1"/>
  <c r="AH93" s="1"/>
  <c r="AH94" s="1"/>
  <c r="AH95" s="1"/>
  <c r="AH96" s="1"/>
  <c r="AH97" s="1"/>
  <c r="AH98" s="1"/>
  <c r="AH99" s="1"/>
  <c r="AH100" s="1"/>
  <c r="AH101" s="1"/>
  <c r="AH102" s="1"/>
  <c r="AH103" s="1"/>
  <c r="AH104" s="1"/>
  <c r="AH105" s="1"/>
  <c r="AH106" s="1"/>
  <c r="AH107" s="1"/>
  <c r="AH108" s="1"/>
  <c r="AH109" s="1"/>
  <c r="AH110" s="1"/>
  <c r="AH111" s="1"/>
  <c r="AH112" s="1"/>
  <c r="AH113" s="1"/>
  <c r="AH114" s="1"/>
  <c r="AH115" s="1"/>
  <c r="AH116" s="1"/>
  <c r="AH117" s="1"/>
  <c r="AH118" s="1"/>
  <c r="AH119" s="1"/>
  <c r="AH120" s="1"/>
  <c r="AH121" s="1"/>
  <c r="AH122" s="1"/>
  <c r="AH123" s="1"/>
  <c r="AH124" s="1"/>
  <c r="AH125" s="1"/>
  <c r="AH126" s="1"/>
  <c r="AH127" s="1"/>
  <c r="AH128" s="1"/>
  <c r="AH129" s="1"/>
  <c r="AH130" s="1"/>
  <c r="AH131" s="1"/>
  <c r="AH132" s="1"/>
  <c r="AH133" s="1"/>
  <c r="AH134" s="1"/>
  <c r="AH135" s="1"/>
  <c r="AH136" s="1"/>
  <c r="AH137" s="1"/>
  <c r="AH138" s="1"/>
  <c r="AH139" s="1"/>
  <c r="AH140" s="1"/>
  <c r="AH141" s="1"/>
  <c r="AH142" s="1"/>
  <c r="AH143" s="1"/>
  <c r="AH144" s="1"/>
  <c r="AH145" s="1"/>
  <c r="AH146" s="1"/>
  <c r="AH147" s="1"/>
  <c r="AH148" s="1"/>
  <c r="AH149" s="1"/>
  <c r="AH150" s="1"/>
  <c r="AH151" s="1"/>
  <c r="AH152" s="1"/>
  <c r="AH153" s="1"/>
  <c r="AH154" s="1"/>
  <c r="AH155" s="1"/>
  <c r="AH156" s="1"/>
  <c r="AH157" s="1"/>
  <c r="AH158" s="1"/>
  <c r="AH159" s="1"/>
  <c r="AH160" s="1"/>
  <c r="AH161" s="1"/>
  <c r="AH162" s="1"/>
  <c r="AH163" s="1"/>
  <c r="AH164" s="1"/>
  <c r="AH165" s="1"/>
  <c r="AH166" s="1"/>
  <c r="AH167" s="1"/>
  <c r="AH168" s="1"/>
  <c r="AH169" s="1"/>
  <c r="AH170" s="1"/>
  <c r="AH171" s="1"/>
  <c r="AH172" s="1"/>
  <c r="AH173" s="1"/>
  <c r="AH174" s="1"/>
  <c r="AH175" s="1"/>
  <c r="AH176" s="1"/>
  <c r="AH177" s="1"/>
  <c r="AH178" s="1"/>
  <c r="AH179" s="1"/>
  <c r="AH180" s="1"/>
  <c r="AH181" s="1"/>
  <c r="AH182" s="1"/>
  <c r="AH183" s="1"/>
  <c r="AH184" s="1"/>
  <c r="AH185" s="1"/>
  <c r="AH186" s="1"/>
  <c r="AH187" s="1"/>
  <c r="AH188" s="1"/>
  <c r="AH189" s="1"/>
  <c r="AH190" s="1"/>
  <c r="AH191" s="1"/>
  <c r="AH192" s="1"/>
  <c r="AH193" s="1"/>
  <c r="AH194" s="1"/>
  <c r="AH195" s="1"/>
  <c r="AH196" s="1"/>
  <c r="AH197" s="1"/>
  <c r="AH198" s="1"/>
  <c r="AH199" s="1"/>
  <c r="AH200" s="1"/>
  <c r="AH201" s="1"/>
  <c r="AH202" s="1"/>
  <c r="AH203" s="1"/>
  <c r="AH204" s="1"/>
  <c r="AH205" s="1"/>
  <c r="AH206" s="1"/>
  <c r="AH207" s="1"/>
  <c r="AH208" s="1"/>
  <c r="AH209" s="1"/>
  <c r="AH210" s="1"/>
  <c r="AH211" s="1"/>
  <c r="AH212" s="1"/>
  <c r="AH213" s="1"/>
  <c r="AH214" s="1"/>
  <c r="AH215" s="1"/>
  <c r="AH216" s="1"/>
  <c r="AH217" s="1"/>
  <c r="AH218" s="1"/>
  <c r="AH219" s="1"/>
  <c r="AH220" s="1"/>
  <c r="AH221" s="1"/>
  <c r="AH222" s="1"/>
  <c r="AH223" s="1"/>
  <c r="AH224" s="1"/>
  <c r="AH225" s="1"/>
  <c r="AH226" s="1"/>
  <c r="AH227" s="1"/>
  <c r="AH228" s="1"/>
  <c r="AH229" s="1"/>
  <c r="AH230" s="1"/>
  <c r="AH231" s="1"/>
  <c r="AH232" s="1"/>
  <c r="AH233" s="1"/>
  <c r="AH234" s="1"/>
  <c r="AH235" s="1"/>
  <c r="AH236" s="1"/>
  <c r="AH237" s="1"/>
  <c r="AH238" s="1"/>
  <c r="AH239" s="1"/>
  <c r="AH240" s="1"/>
  <c r="AH241" s="1"/>
  <c r="AH242" s="1"/>
  <c r="AH243" s="1"/>
  <c r="AH244" s="1"/>
  <c r="AH245" s="1"/>
  <c r="AH246" s="1"/>
  <c r="AH247" s="1"/>
  <c r="AH248" s="1"/>
  <c r="AH249" s="1"/>
  <c r="AH250" s="1"/>
  <c r="AH251" s="1"/>
  <c r="AH252" s="1"/>
  <c r="AH253" s="1"/>
  <c r="AH254" s="1"/>
  <c r="AH255" s="1"/>
  <c r="AH256" s="1"/>
  <c r="AH7"/>
  <c r="AH6"/>
  <c r="AH5"/>
  <c r="AC7"/>
  <c r="AC8" s="1"/>
  <c r="AC9" s="1"/>
  <c r="AC10" s="1"/>
  <c r="AC11" s="1"/>
  <c r="AC12" s="1"/>
  <c r="AC13" s="1"/>
  <c r="AC14" s="1"/>
  <c r="AC15" s="1"/>
  <c r="AC16" s="1"/>
  <c r="AC17" s="1"/>
  <c r="AC18" s="1"/>
  <c r="AC19" s="1"/>
  <c r="AC20" s="1"/>
  <c r="AC21" s="1"/>
  <c r="AC22" s="1"/>
  <c r="AC23" s="1"/>
  <c r="AC24" s="1"/>
  <c r="AC25" s="1"/>
  <c r="AC26" s="1"/>
  <c r="AC27" s="1"/>
  <c r="AC28" s="1"/>
  <c r="AC29" s="1"/>
  <c r="AC30" s="1"/>
  <c r="AC31" s="1"/>
  <c r="AC32" s="1"/>
  <c r="AC33" s="1"/>
  <c r="AC34" s="1"/>
  <c r="AC35" s="1"/>
  <c r="AC36" s="1"/>
  <c r="AC37" s="1"/>
  <c r="AC38" s="1"/>
  <c r="AC39" s="1"/>
  <c r="AC40" s="1"/>
  <c r="AC41" s="1"/>
  <c r="AC42" s="1"/>
  <c r="AC43" s="1"/>
  <c r="AC44" s="1"/>
  <c r="AC45" s="1"/>
  <c r="AC46" s="1"/>
  <c r="AC47" s="1"/>
  <c r="AC48" s="1"/>
  <c r="AC49" s="1"/>
  <c r="AC50" s="1"/>
  <c r="AC51" s="1"/>
  <c r="AC52" s="1"/>
  <c r="AC53" s="1"/>
  <c r="AC54" s="1"/>
  <c r="AC55" s="1"/>
  <c r="AC56" s="1"/>
  <c r="AC57" s="1"/>
  <c r="AC58" s="1"/>
  <c r="AC59" s="1"/>
  <c r="AC60" s="1"/>
  <c r="AC61" s="1"/>
  <c r="AC62" s="1"/>
  <c r="AC63" s="1"/>
  <c r="AC64" s="1"/>
  <c r="AC65" s="1"/>
  <c r="AC66" s="1"/>
  <c r="AC67" s="1"/>
  <c r="AC68" s="1"/>
  <c r="AC69" s="1"/>
  <c r="AC70" s="1"/>
  <c r="AC71" s="1"/>
  <c r="AC72" s="1"/>
  <c r="AC73" s="1"/>
  <c r="AC74" s="1"/>
  <c r="AC75" s="1"/>
  <c r="AC76" s="1"/>
  <c r="AC77" s="1"/>
  <c r="AC78" s="1"/>
  <c r="AC79" s="1"/>
  <c r="AC80" s="1"/>
  <c r="AC81" s="1"/>
  <c r="AC82" s="1"/>
  <c r="AC83" s="1"/>
  <c r="AC84" s="1"/>
  <c r="AC85" s="1"/>
  <c r="AC86" s="1"/>
  <c r="AC87" s="1"/>
  <c r="AC88" s="1"/>
  <c r="AC89" s="1"/>
  <c r="AC90" s="1"/>
  <c r="AC91" s="1"/>
  <c r="AC92" s="1"/>
  <c r="AC93" s="1"/>
  <c r="AC94" s="1"/>
  <c r="AC95" s="1"/>
  <c r="AC96" s="1"/>
  <c r="AC97" s="1"/>
  <c r="AC98" s="1"/>
  <c r="AC99" s="1"/>
  <c r="AC100" s="1"/>
  <c r="AC101" s="1"/>
  <c r="AC102" s="1"/>
  <c r="AC103" s="1"/>
  <c r="AC104" s="1"/>
  <c r="AC105" s="1"/>
  <c r="AC106" s="1"/>
  <c r="AC107" s="1"/>
  <c r="AC108" s="1"/>
  <c r="AC109" s="1"/>
  <c r="AC110" s="1"/>
  <c r="AC111" s="1"/>
  <c r="AC112" s="1"/>
  <c r="AC113" s="1"/>
  <c r="AC114" s="1"/>
  <c r="AC115" s="1"/>
  <c r="AC116" s="1"/>
  <c r="AC117" s="1"/>
  <c r="AC118" s="1"/>
  <c r="AC119" s="1"/>
  <c r="AC120" s="1"/>
  <c r="AC121" s="1"/>
  <c r="AC122" s="1"/>
  <c r="AC123" s="1"/>
  <c r="AC124" s="1"/>
  <c r="AC125" s="1"/>
  <c r="AC126" s="1"/>
  <c r="AC127" s="1"/>
  <c r="AC128" s="1"/>
  <c r="AC129" s="1"/>
  <c r="AC130" s="1"/>
  <c r="AC131" s="1"/>
  <c r="AC132" s="1"/>
  <c r="AC133" s="1"/>
  <c r="AC134" s="1"/>
  <c r="AC135" s="1"/>
  <c r="AC136" s="1"/>
  <c r="AC137" s="1"/>
  <c r="AC138" s="1"/>
  <c r="AC139" s="1"/>
  <c r="AC140" s="1"/>
  <c r="AC141" s="1"/>
  <c r="AC142" s="1"/>
  <c r="AC143" s="1"/>
  <c r="AC144" s="1"/>
  <c r="AC145" s="1"/>
  <c r="AC146" s="1"/>
  <c r="AC147" s="1"/>
  <c r="AC148" s="1"/>
  <c r="AC149" s="1"/>
  <c r="AC150" s="1"/>
  <c r="AC151" s="1"/>
  <c r="AC152" s="1"/>
  <c r="AC153" s="1"/>
  <c r="AC154" s="1"/>
  <c r="AC155" s="1"/>
  <c r="AC156" s="1"/>
  <c r="AC157" s="1"/>
  <c r="AC158" s="1"/>
  <c r="AC159" s="1"/>
  <c r="AC160" s="1"/>
  <c r="AC161" s="1"/>
  <c r="AC162" s="1"/>
  <c r="AC163" s="1"/>
  <c r="AC164" s="1"/>
  <c r="AC165" s="1"/>
  <c r="AC166" s="1"/>
  <c r="AC167" s="1"/>
  <c r="AC168" s="1"/>
  <c r="AC169" s="1"/>
  <c r="AC170" s="1"/>
  <c r="AC171" s="1"/>
  <c r="AC172" s="1"/>
  <c r="AC173" s="1"/>
  <c r="AC174" s="1"/>
  <c r="AC175" s="1"/>
  <c r="AC176" s="1"/>
  <c r="AC177" s="1"/>
  <c r="AC178" s="1"/>
  <c r="AC179" s="1"/>
  <c r="AC180" s="1"/>
  <c r="AC181" s="1"/>
  <c r="AC182" s="1"/>
  <c r="AC183" s="1"/>
  <c r="AC184" s="1"/>
  <c r="AC185" s="1"/>
  <c r="AC186" s="1"/>
  <c r="AC187" s="1"/>
  <c r="AC188" s="1"/>
  <c r="AC189" s="1"/>
  <c r="AC190" s="1"/>
  <c r="AC191" s="1"/>
  <c r="AC192" s="1"/>
  <c r="AC193" s="1"/>
  <c r="AC194" s="1"/>
  <c r="AC195" s="1"/>
  <c r="AC196" s="1"/>
  <c r="AC197" s="1"/>
  <c r="AC198" s="1"/>
  <c r="AC199" s="1"/>
  <c r="AC200" s="1"/>
  <c r="AC201" s="1"/>
  <c r="AC202" s="1"/>
  <c r="AC203" s="1"/>
  <c r="AC204" s="1"/>
  <c r="AC205" s="1"/>
  <c r="AC206" s="1"/>
  <c r="AC207" s="1"/>
  <c r="AC208" s="1"/>
  <c r="AC209" s="1"/>
  <c r="AC210" s="1"/>
  <c r="AC211" s="1"/>
  <c r="AC212" s="1"/>
  <c r="AC213" s="1"/>
  <c r="AC214" s="1"/>
  <c r="AC215" s="1"/>
  <c r="AC216" s="1"/>
  <c r="AC217" s="1"/>
  <c r="AC218" s="1"/>
  <c r="AC219" s="1"/>
  <c r="AC220" s="1"/>
  <c r="AC221" s="1"/>
  <c r="AC222" s="1"/>
  <c r="AC223" s="1"/>
  <c r="AC224" s="1"/>
  <c r="AC225" s="1"/>
  <c r="AC226" s="1"/>
  <c r="AC227" s="1"/>
  <c r="AC228" s="1"/>
  <c r="AC229" s="1"/>
  <c r="AC230" s="1"/>
  <c r="AC231" s="1"/>
  <c r="AC232" s="1"/>
  <c r="AC233" s="1"/>
  <c r="AC234" s="1"/>
  <c r="AC235" s="1"/>
  <c r="AC236" s="1"/>
  <c r="AC237" s="1"/>
  <c r="AC238" s="1"/>
  <c r="AC239" s="1"/>
  <c r="AC240" s="1"/>
  <c r="AC241" s="1"/>
  <c r="AC242" s="1"/>
  <c r="AC243" s="1"/>
  <c r="AC244" s="1"/>
  <c r="AC245" s="1"/>
  <c r="AC246" s="1"/>
  <c r="AC247" s="1"/>
  <c r="AC248" s="1"/>
  <c r="AC249" s="1"/>
  <c r="AC250" s="1"/>
  <c r="AC251" s="1"/>
  <c r="AC252" s="1"/>
  <c r="AC253" s="1"/>
  <c r="AC254" s="1"/>
  <c r="AC255" s="1"/>
  <c r="AC256" s="1"/>
  <c r="AC257" s="1"/>
  <c r="AC258" s="1"/>
  <c r="AC259" s="1"/>
  <c r="AC260" s="1"/>
  <c r="AC261" s="1"/>
  <c r="AC262" s="1"/>
  <c r="AC263" s="1"/>
  <c r="AC264" s="1"/>
  <c r="AC265" s="1"/>
  <c r="AC266" s="1"/>
  <c r="AC267" s="1"/>
  <c r="AC268" s="1"/>
  <c r="AC269" s="1"/>
  <c r="AC270" s="1"/>
  <c r="AC271" s="1"/>
  <c r="AC272" s="1"/>
  <c r="AC273" s="1"/>
  <c r="AC274" s="1"/>
  <c r="AC275" s="1"/>
  <c r="AC276" s="1"/>
  <c r="AC277" s="1"/>
  <c r="AC278" s="1"/>
  <c r="AC279" s="1"/>
  <c r="AC280" s="1"/>
  <c r="AC281" s="1"/>
  <c r="AC282" s="1"/>
  <c r="AC283" s="1"/>
  <c r="AC284" s="1"/>
  <c r="AC285" s="1"/>
  <c r="AC286" s="1"/>
  <c r="AC287" s="1"/>
  <c r="AC288" s="1"/>
  <c r="AC289" s="1"/>
  <c r="AC290" s="1"/>
  <c r="AC291" s="1"/>
  <c r="AC292" s="1"/>
  <c r="AC293" s="1"/>
  <c r="AC294" s="1"/>
  <c r="AC295" s="1"/>
  <c r="AC296" s="1"/>
  <c r="AC297" s="1"/>
  <c r="AC298" s="1"/>
  <c r="AC299" s="1"/>
  <c r="AC300" s="1"/>
  <c r="AC301" s="1"/>
  <c r="AC302" s="1"/>
  <c r="AC303" s="1"/>
  <c r="AC304" s="1"/>
  <c r="AC305" s="1"/>
  <c r="AC306" s="1"/>
  <c r="AC307" s="1"/>
  <c r="AC308" s="1"/>
  <c r="AC309" s="1"/>
  <c r="AC310" s="1"/>
  <c r="AC311" s="1"/>
  <c r="AC312" s="1"/>
  <c r="AC313" s="1"/>
  <c r="AC314" s="1"/>
  <c r="AC315" s="1"/>
  <c r="AC316" s="1"/>
  <c r="AC317" s="1"/>
  <c r="AC318" s="1"/>
  <c r="AC319" s="1"/>
  <c r="AC320" s="1"/>
  <c r="AC321" s="1"/>
  <c r="AC322" s="1"/>
  <c r="AC323" s="1"/>
  <c r="AC324" s="1"/>
  <c r="AC325" s="1"/>
  <c r="AC326" s="1"/>
  <c r="AC327" s="1"/>
  <c r="AC328" s="1"/>
  <c r="AC329" s="1"/>
  <c r="AC330" s="1"/>
  <c r="AC331" s="1"/>
  <c r="AC332" s="1"/>
  <c r="AC333" s="1"/>
  <c r="AC334" s="1"/>
  <c r="AC335" s="1"/>
  <c r="AC336" s="1"/>
  <c r="AC337" s="1"/>
  <c r="AC338" s="1"/>
  <c r="AC339" s="1"/>
  <c r="AC340" s="1"/>
  <c r="AC341" s="1"/>
  <c r="AC342" s="1"/>
  <c r="AC343" s="1"/>
  <c r="AC344" s="1"/>
  <c r="AC345" s="1"/>
  <c r="AC346" s="1"/>
  <c r="AC347" s="1"/>
  <c r="AC348" s="1"/>
  <c r="AC349" s="1"/>
  <c r="AC350" s="1"/>
  <c r="AC351" s="1"/>
  <c r="AC352" s="1"/>
  <c r="AC353" s="1"/>
  <c r="AC354" s="1"/>
  <c r="AC355" s="1"/>
  <c r="AC356" s="1"/>
  <c r="AC357" s="1"/>
  <c r="AC358" s="1"/>
  <c r="AC359" s="1"/>
  <c r="AC360" s="1"/>
  <c r="AC361" s="1"/>
  <c r="AC362" s="1"/>
  <c r="AC363" s="1"/>
  <c r="AC364" s="1"/>
  <c r="AC365" s="1"/>
  <c r="AC366" s="1"/>
  <c r="AC367" s="1"/>
  <c r="AC368" s="1"/>
  <c r="AC369" s="1"/>
  <c r="AC370" s="1"/>
  <c r="AC371" s="1"/>
  <c r="AC372" s="1"/>
  <c r="AC373" s="1"/>
  <c r="AC374" s="1"/>
  <c r="AC375" s="1"/>
  <c r="AC376" s="1"/>
  <c r="AC377" s="1"/>
  <c r="AC378" s="1"/>
  <c r="AC379" s="1"/>
  <c r="AC380" s="1"/>
  <c r="AC381" s="1"/>
  <c r="AC382" s="1"/>
  <c r="AC383" s="1"/>
  <c r="AC384" s="1"/>
  <c r="AC385" s="1"/>
  <c r="AC386" s="1"/>
  <c r="AC387" s="1"/>
  <c r="AC388" s="1"/>
  <c r="AC389" s="1"/>
  <c r="AC390" s="1"/>
  <c r="AC391" s="1"/>
  <c r="AC392" s="1"/>
  <c r="AC393" s="1"/>
  <c r="AC394" s="1"/>
  <c r="AC395" s="1"/>
  <c r="AC396" s="1"/>
  <c r="AC397" s="1"/>
  <c r="AC398" s="1"/>
  <c r="AC399" s="1"/>
  <c r="AC400" s="1"/>
  <c r="AC401" s="1"/>
  <c r="AC402" s="1"/>
  <c r="AC403" s="1"/>
  <c r="AC404" s="1"/>
  <c r="AC405" s="1"/>
  <c r="AC406" s="1"/>
  <c r="AC407" s="1"/>
  <c r="AC408" s="1"/>
  <c r="AC409" s="1"/>
  <c r="AC410" s="1"/>
  <c r="AC411" s="1"/>
  <c r="AC412" s="1"/>
  <c r="AC413" s="1"/>
  <c r="AC414" s="1"/>
  <c r="AC415" s="1"/>
  <c r="AC416" s="1"/>
  <c r="AC417" s="1"/>
  <c r="AC418" s="1"/>
  <c r="AC419" s="1"/>
  <c r="AC420" s="1"/>
  <c r="AC421" s="1"/>
  <c r="AC422" s="1"/>
  <c r="AC423" s="1"/>
  <c r="AC424" s="1"/>
  <c r="AC425" s="1"/>
  <c r="AC426" s="1"/>
  <c r="AC427" s="1"/>
  <c r="AC428" s="1"/>
  <c r="AC429" s="1"/>
  <c r="AC430" s="1"/>
  <c r="AC431" s="1"/>
  <c r="AC432" s="1"/>
  <c r="AC433" s="1"/>
  <c r="AC434" s="1"/>
  <c r="AC435" s="1"/>
  <c r="AC436" s="1"/>
  <c r="AC437" s="1"/>
  <c r="AC438" s="1"/>
  <c r="AC439" s="1"/>
  <c r="AC440" s="1"/>
  <c r="AC441" s="1"/>
  <c r="AC442" s="1"/>
  <c r="AC443" s="1"/>
  <c r="AC444" s="1"/>
  <c r="AC445" s="1"/>
  <c r="AC446" s="1"/>
  <c r="AC447" s="1"/>
  <c r="AC448" s="1"/>
  <c r="AC449" s="1"/>
  <c r="AC450" s="1"/>
  <c r="AC451" s="1"/>
  <c r="AC452" s="1"/>
  <c r="AC453" s="1"/>
  <c r="AC454" s="1"/>
  <c r="AC455" s="1"/>
  <c r="AC456" s="1"/>
  <c r="AC457" s="1"/>
  <c r="AC458" s="1"/>
  <c r="AC459" s="1"/>
  <c r="AC460" s="1"/>
  <c r="AC461" s="1"/>
  <c r="AC462" s="1"/>
  <c r="AC463" s="1"/>
  <c r="AC464" s="1"/>
  <c r="AC465" s="1"/>
  <c r="AC466" s="1"/>
  <c r="AC467" s="1"/>
  <c r="AC468" s="1"/>
  <c r="AC469" s="1"/>
  <c r="AC470" s="1"/>
  <c r="AC471" s="1"/>
  <c r="AC472" s="1"/>
  <c r="AC473" s="1"/>
  <c r="AC474" s="1"/>
  <c r="AC475" s="1"/>
  <c r="AC476" s="1"/>
  <c r="AC477" s="1"/>
  <c r="AC478" s="1"/>
  <c r="AC479" s="1"/>
  <c r="AC480" s="1"/>
  <c r="AC481" s="1"/>
  <c r="AC482" s="1"/>
  <c r="AC483" s="1"/>
  <c r="AC484" s="1"/>
  <c r="AC485" s="1"/>
  <c r="AC486" s="1"/>
  <c r="AC487" s="1"/>
  <c r="AC488" s="1"/>
  <c r="AC489" s="1"/>
  <c r="AC490" s="1"/>
  <c r="AC491" s="1"/>
  <c r="AC492" s="1"/>
  <c r="AC493" s="1"/>
  <c r="AC494" s="1"/>
  <c r="AC495" s="1"/>
  <c r="AC496" s="1"/>
  <c r="AC497" s="1"/>
  <c r="AC498" s="1"/>
  <c r="AC499" s="1"/>
  <c r="AC500" s="1"/>
  <c r="AC501" s="1"/>
  <c r="AC502" s="1"/>
  <c r="AC503" s="1"/>
  <c r="AC504" s="1"/>
  <c r="AC505" s="1"/>
  <c r="AC506" s="1"/>
  <c r="AC507" s="1"/>
  <c r="AC508" s="1"/>
  <c r="AC509" s="1"/>
  <c r="AC510" s="1"/>
  <c r="AC511" s="1"/>
  <c r="AC512" s="1"/>
  <c r="AC513" s="1"/>
  <c r="AC514" s="1"/>
  <c r="AC515" s="1"/>
  <c r="AC516" s="1"/>
  <c r="AC517" s="1"/>
  <c r="AC518" s="1"/>
  <c r="AC519" s="1"/>
  <c r="AC520" s="1"/>
  <c r="AC521" s="1"/>
  <c r="AC522" s="1"/>
  <c r="AC523" s="1"/>
  <c r="AC524" s="1"/>
  <c r="AC525" s="1"/>
  <c r="AC526" s="1"/>
  <c r="AC527" s="1"/>
  <c r="AC528" s="1"/>
  <c r="AC529" s="1"/>
  <c r="AC530" s="1"/>
  <c r="AC531" s="1"/>
  <c r="AC532" s="1"/>
  <c r="AC533" s="1"/>
  <c r="AC534" s="1"/>
  <c r="AC535" s="1"/>
  <c r="AC536" s="1"/>
  <c r="AC537" s="1"/>
  <c r="AC538" s="1"/>
  <c r="AC539" s="1"/>
  <c r="AC540" s="1"/>
  <c r="AC541" s="1"/>
  <c r="AC542" s="1"/>
  <c r="AC543" s="1"/>
  <c r="AC544" s="1"/>
  <c r="AC545" s="1"/>
  <c r="AC546" s="1"/>
  <c r="AC5"/>
  <c r="AC547" l="1"/>
  <c r="AC548" s="1"/>
  <c r="AC549" s="1"/>
  <c r="AC550" s="1"/>
  <c r="AC551" s="1"/>
  <c r="AC552" s="1"/>
  <c r="AC553" s="1"/>
  <c r="AC554" s="1"/>
  <c r="AC555" s="1"/>
  <c r="AC556" s="1"/>
  <c r="O5"/>
  <c r="J7" i="8"/>
  <c r="D8"/>
  <c r="AD15" s="1"/>
  <c r="AD18" s="1"/>
  <c r="J8"/>
  <c r="J10"/>
  <c r="AD210" s="1"/>
  <c r="J11"/>
  <c r="D12"/>
  <c r="J12"/>
  <c r="W218" s="1"/>
  <c r="W222" s="1"/>
  <c r="J13"/>
  <c r="D14"/>
  <c r="G15"/>
  <c r="V19"/>
  <c r="W19"/>
  <c r="AD19"/>
  <c r="Z81"/>
  <c r="Z90"/>
  <c r="Z95"/>
  <c r="AE118"/>
  <c r="AE121"/>
  <c r="AE122"/>
  <c r="AE129"/>
  <c r="AE131" s="1"/>
  <c r="AE133"/>
  <c r="AE137"/>
  <c r="AE141"/>
  <c r="AE145"/>
  <c r="Z173"/>
  <c r="W174"/>
  <c r="Z175"/>
  <c r="AE175"/>
  <c r="AE176"/>
  <c r="V177"/>
  <c r="V178" s="1"/>
  <c r="AE177"/>
  <c r="W178"/>
  <c r="AE178"/>
  <c r="V179"/>
  <c r="AE179"/>
  <c r="AE180"/>
  <c r="AE181"/>
  <c r="AE182"/>
  <c r="AE183"/>
  <c r="AE184"/>
  <c r="AE185"/>
  <c r="AE186"/>
  <c r="AE187"/>
  <c r="AE188"/>
  <c r="AE189"/>
  <c r="AE190"/>
  <c r="AE191"/>
  <c r="AE192"/>
  <c r="W196"/>
  <c r="AD196"/>
  <c r="AD197" s="1"/>
  <c r="AD198" s="1"/>
  <c r="AD199" s="1"/>
  <c r="W197"/>
  <c r="V200"/>
  <c r="V206" s="1"/>
  <c r="V202"/>
  <c r="V203"/>
  <c r="V204"/>
  <c r="V205"/>
  <c r="V210"/>
  <c r="W210"/>
  <c r="W214" s="1"/>
  <c r="V211"/>
  <c r="V212"/>
  <c r="V213"/>
  <c r="V214"/>
  <c r="V218"/>
  <c r="V221" s="1"/>
  <c r="AD218"/>
  <c r="AD219" s="1"/>
  <c r="V219"/>
  <c r="W219"/>
  <c r="W220" s="1"/>
  <c r="V220"/>
  <c r="AD220"/>
  <c r="AD221" s="1"/>
  <c r="W221"/>
  <c r="AD222"/>
  <c r="B8" i="7"/>
  <c r="B19" i="6"/>
  <c r="B20"/>
  <c r="B22" s="1"/>
  <c r="B23"/>
  <c r="B27"/>
  <c r="B43"/>
  <c r="B45"/>
  <c r="B4" i="5"/>
  <c r="C14"/>
  <c r="B37"/>
  <c r="B50"/>
  <c r="C50"/>
  <c r="C53" s="1"/>
  <c r="B51"/>
  <c r="B53" s="1"/>
  <c r="B52"/>
  <c r="C52"/>
  <c r="F5" i="4"/>
  <c r="R6"/>
  <c r="O7"/>
  <c r="R7"/>
  <c r="F8"/>
  <c r="O8"/>
  <c r="R8"/>
  <c r="O9"/>
  <c r="R9"/>
  <c r="O10"/>
  <c r="R10"/>
  <c r="O11"/>
  <c r="R11"/>
  <c r="O12"/>
  <c r="R12"/>
  <c r="O13"/>
  <c r="R13"/>
  <c r="O14"/>
  <c r="R14"/>
  <c r="O15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O55" s="1"/>
  <c r="R15"/>
  <c r="F16"/>
  <c r="R16"/>
  <c r="R17"/>
  <c r="R18"/>
  <c r="R19"/>
  <c r="R20"/>
  <c r="R21"/>
  <c r="R22"/>
  <c r="R23"/>
  <c r="R24"/>
  <c r="R25"/>
  <c r="R26"/>
  <c r="F27"/>
  <c r="R27"/>
  <c r="R28"/>
  <c r="R29"/>
  <c r="R30"/>
  <c r="R31"/>
  <c r="R32"/>
  <c r="R33"/>
  <c r="R34"/>
  <c r="F35"/>
  <c r="R35"/>
  <c r="R36"/>
  <c r="R37"/>
  <c r="R38"/>
  <c r="R39"/>
  <c r="R40"/>
  <c r="R41"/>
  <c r="R42"/>
  <c r="R43"/>
  <c r="F44"/>
  <c r="R44"/>
  <c r="R45"/>
  <c r="R46"/>
  <c r="R47"/>
  <c r="R48"/>
  <c r="R49"/>
  <c r="R50"/>
  <c r="R51"/>
  <c r="R52"/>
  <c r="R53"/>
  <c r="R54"/>
  <c r="R55"/>
  <c r="R56"/>
  <c r="O57"/>
  <c r="R57"/>
  <c r="O58"/>
  <c r="R58"/>
  <c r="O59"/>
  <c r="R59"/>
  <c r="O60"/>
  <c r="R60"/>
  <c r="O61"/>
  <c r="R61"/>
  <c r="O62"/>
  <c r="R62"/>
  <c r="O63"/>
  <c r="R63"/>
  <c r="O64"/>
  <c r="R64"/>
  <c r="O65"/>
  <c r="R65"/>
  <c r="O66"/>
  <c r="R66"/>
  <c r="O67"/>
  <c r="R67"/>
  <c r="O68"/>
  <c r="R68"/>
  <c r="O69"/>
  <c r="R69"/>
  <c r="O70"/>
  <c r="R70"/>
  <c r="O71"/>
  <c r="R71"/>
  <c r="O72"/>
  <c r="R72"/>
  <c r="O73"/>
  <c r="R73"/>
  <c r="O74"/>
  <c r="R74"/>
  <c r="O75"/>
  <c r="R75"/>
  <c r="O76"/>
  <c r="R76"/>
  <c r="O77"/>
  <c r="R77"/>
  <c r="O78"/>
  <c r="R78"/>
  <c r="O79"/>
  <c r="R79"/>
  <c r="O80"/>
  <c r="R80"/>
  <c r="O81"/>
  <c r="R81"/>
  <c r="O82"/>
  <c r="R82"/>
  <c r="O83"/>
  <c r="R83"/>
  <c r="O84"/>
  <c r="R84"/>
  <c r="O85"/>
  <c r="R85"/>
  <c r="O86"/>
  <c r="R86"/>
  <c r="O87"/>
  <c r="R87"/>
  <c r="O88"/>
  <c r="R88"/>
  <c r="O89"/>
  <c r="R89"/>
  <c r="O90"/>
  <c r="R90"/>
  <c r="O91"/>
  <c r="R91"/>
  <c r="O92"/>
  <c r="R92"/>
  <c r="O93"/>
  <c r="R93"/>
  <c r="O94"/>
  <c r="R94"/>
  <c r="O95"/>
  <c r="R95"/>
  <c r="O96"/>
  <c r="R96"/>
  <c r="O97"/>
  <c r="R97"/>
  <c r="O98"/>
  <c r="R98"/>
  <c r="O99"/>
  <c r="R99"/>
  <c r="O100"/>
  <c r="R100"/>
  <c r="O101"/>
  <c r="R101"/>
  <c r="O102"/>
  <c r="R102"/>
  <c r="O103"/>
  <c r="R103"/>
  <c r="O104"/>
  <c r="R104"/>
  <c r="O105"/>
  <c r="R105"/>
  <c r="O106"/>
  <c r="R106"/>
  <c r="O107"/>
  <c r="R107"/>
  <c r="O108"/>
  <c r="R108"/>
  <c r="O109"/>
  <c r="R109"/>
  <c r="O110"/>
  <c r="R110"/>
  <c r="O111"/>
  <c r="R111"/>
  <c r="O112"/>
  <c r="R112"/>
  <c r="O113"/>
  <c r="R113"/>
  <c r="O114"/>
  <c r="R114"/>
  <c r="O115"/>
  <c r="R115"/>
  <c r="O116"/>
  <c r="R116"/>
  <c r="O117"/>
  <c r="R117"/>
  <c r="O118"/>
  <c r="R118"/>
  <c r="O119"/>
  <c r="R119"/>
  <c r="O120"/>
  <c r="R120"/>
  <c r="O121"/>
  <c r="R121"/>
  <c r="O122"/>
  <c r="R122"/>
  <c r="O123"/>
  <c r="R123"/>
  <c r="O124"/>
  <c r="R124"/>
  <c r="O125"/>
  <c r="R125"/>
  <c r="O126"/>
  <c r="R126"/>
  <c r="O127"/>
  <c r="R127"/>
  <c r="O128"/>
  <c r="R128"/>
  <c r="O129"/>
  <c r="R129"/>
  <c r="O130"/>
  <c r="R130"/>
  <c r="O131"/>
  <c r="R131"/>
  <c r="O132"/>
  <c r="R132"/>
  <c r="O133"/>
  <c r="R133"/>
  <c r="O134"/>
  <c r="R134"/>
  <c r="O135"/>
  <c r="R135"/>
  <c r="O136"/>
  <c r="R136"/>
  <c r="O137"/>
  <c r="R137"/>
  <c r="O138"/>
  <c r="R138"/>
  <c r="O139"/>
  <c r="R139"/>
  <c r="O140"/>
  <c r="R140"/>
  <c r="O141"/>
  <c r="R141"/>
  <c r="O142"/>
  <c r="R142"/>
  <c r="O143"/>
  <c r="R143"/>
  <c r="O144"/>
  <c r="R144"/>
  <c r="O145"/>
  <c r="R145"/>
  <c r="O146"/>
  <c r="R146"/>
  <c r="O147"/>
  <c r="R147"/>
  <c r="O148"/>
  <c r="R148"/>
  <c r="O149"/>
  <c r="R149"/>
  <c r="O150"/>
  <c r="R150"/>
  <c r="O151"/>
  <c r="R151"/>
  <c r="O152"/>
  <c r="R152"/>
  <c r="O153"/>
  <c r="R153"/>
  <c r="O154"/>
  <c r="R154"/>
  <c r="O155"/>
  <c r="R155"/>
  <c r="O156"/>
  <c r="R156"/>
  <c r="O157"/>
  <c r="R157"/>
  <c r="O158"/>
  <c r="R158"/>
  <c r="O159"/>
  <c r="R159"/>
  <c r="O160"/>
  <c r="R160"/>
  <c r="O161"/>
  <c r="R161"/>
  <c r="O162"/>
  <c r="R162"/>
  <c r="O163"/>
  <c r="R163"/>
  <c r="O164"/>
  <c r="R164"/>
  <c r="O165"/>
  <c r="R165"/>
  <c r="O166"/>
  <c r="R166"/>
  <c r="O167"/>
  <c r="R167"/>
  <c r="O168"/>
  <c r="R168"/>
  <c r="O169"/>
  <c r="R169"/>
  <c r="O170"/>
  <c r="R170"/>
  <c r="O171"/>
  <c r="R171"/>
  <c r="O172"/>
  <c r="R172"/>
  <c r="O173"/>
  <c r="R173"/>
  <c r="O174"/>
  <c r="R174"/>
  <c r="O175"/>
  <c r="R175"/>
  <c r="O176"/>
  <c r="R176"/>
  <c r="O177"/>
  <c r="R177"/>
  <c r="O178"/>
  <c r="R178"/>
  <c r="O179"/>
  <c r="R179"/>
  <c r="O180"/>
  <c r="R180"/>
  <c r="O181"/>
  <c r="R181"/>
  <c r="O182"/>
  <c r="R182"/>
  <c r="O183"/>
  <c r="R183"/>
  <c r="O184"/>
  <c r="R184"/>
  <c r="O185"/>
  <c r="R185"/>
  <c r="O186"/>
  <c r="R186"/>
  <c r="O187"/>
  <c r="R187"/>
  <c r="O188"/>
  <c r="R188"/>
  <c r="O189"/>
  <c r="R189"/>
  <c r="O190"/>
  <c r="R190"/>
  <c r="O191"/>
  <c r="R191"/>
  <c r="O192"/>
  <c r="R192"/>
  <c r="O193"/>
  <c r="R193"/>
  <c r="O194"/>
  <c r="R194"/>
  <c r="O195"/>
  <c r="R195"/>
  <c r="O196"/>
  <c r="R196"/>
  <c r="O197"/>
  <c r="R197"/>
  <c r="O198"/>
  <c r="R198"/>
  <c r="O199"/>
  <c r="R199"/>
  <c r="O200"/>
  <c r="R200"/>
  <c r="O201"/>
  <c r="R201"/>
  <c r="O202"/>
  <c r="R202"/>
  <c r="O203"/>
  <c r="R203"/>
  <c r="O204"/>
  <c r="R204"/>
  <c r="O205"/>
  <c r="R205"/>
  <c r="O206"/>
  <c r="R206"/>
  <c r="B2" i="3"/>
  <c r="D13" i="8" s="1"/>
  <c r="B3" i="3"/>
  <c r="D16" i="8" s="1"/>
  <c r="B4" i="3"/>
  <c r="B13" i="5" s="1"/>
  <c r="B5" i="3"/>
  <c r="B6"/>
  <c r="B7"/>
  <c r="B8" s="1"/>
  <c r="B10"/>
  <c r="B15"/>
  <c r="B16"/>
  <c r="B22"/>
  <c r="B23"/>
  <c r="B26"/>
  <c r="D17" i="8" s="1"/>
  <c r="B32" i="3"/>
  <c r="E43"/>
  <c r="E44"/>
  <c r="B49"/>
  <c r="D55" s="1"/>
  <c r="B55" s="1"/>
  <c r="B64" s="1"/>
  <c r="B79"/>
  <c r="J9" i="8" s="1"/>
  <c r="B83" i="3"/>
  <c r="B44" i="6" s="1"/>
  <c r="B11" i="1"/>
  <c r="B12" s="1"/>
  <c r="B18" s="1"/>
  <c r="B22" s="1"/>
  <c r="B13"/>
  <c r="B19"/>
  <c r="B18" i="10" l="1"/>
  <c r="I84"/>
  <c r="I82"/>
  <c r="I80"/>
  <c r="I78"/>
  <c r="I76"/>
  <c r="I74"/>
  <c r="I72"/>
  <c r="I70"/>
  <c r="I68"/>
  <c r="I66"/>
  <c r="I64"/>
  <c r="I62"/>
  <c r="I60"/>
  <c r="I58"/>
  <c r="I56"/>
  <c r="I54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3"/>
  <c r="I81"/>
  <c r="I79"/>
  <c r="I77"/>
  <c r="I75"/>
  <c r="I73"/>
  <c r="I71"/>
  <c r="I69"/>
  <c r="I67"/>
  <c r="I65"/>
  <c r="I63"/>
  <c r="I61"/>
  <c r="I59"/>
  <c r="I57"/>
  <c r="I55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B19"/>
  <c r="B60" i="3"/>
  <c r="B61"/>
  <c r="AC557" i="4"/>
  <c r="AC558" s="1"/>
  <c r="AC559" s="1"/>
  <c r="AC560" s="1"/>
  <c r="AC561" s="1"/>
  <c r="AC562" s="1"/>
  <c r="AC563" s="1"/>
  <c r="AC564" s="1"/>
  <c r="AC565" s="1"/>
  <c r="AC566" s="1"/>
  <c r="AC567" s="1"/>
  <c r="AC568" s="1"/>
  <c r="AC569" s="1"/>
  <c r="AC570" s="1"/>
  <c r="AC571" s="1"/>
  <c r="AC572" s="1"/>
  <c r="AC573" s="1"/>
  <c r="AC574" s="1"/>
  <c r="AC575" s="1"/>
  <c r="AC576" s="1"/>
  <c r="AC577" s="1"/>
  <c r="AC578" s="1"/>
  <c r="AC579" s="1"/>
  <c r="AC580" s="1"/>
  <c r="AC581" s="1"/>
  <c r="AC582" s="1"/>
  <c r="AC583" s="1"/>
  <c r="AC584" s="1"/>
  <c r="AC585" s="1"/>
  <c r="AC586" s="1"/>
  <c r="AC587" s="1"/>
  <c r="AC588" s="1"/>
  <c r="AC589" s="1"/>
  <c r="AC590" s="1"/>
  <c r="AC591" s="1"/>
  <c r="AC592" s="1"/>
  <c r="AC593" s="1"/>
  <c r="AC594" s="1"/>
  <c r="AC595" s="1"/>
  <c r="AC596" s="1"/>
  <c r="AC597" s="1"/>
  <c r="AC598" s="1"/>
  <c r="AC599" s="1"/>
  <c r="AC600" s="1"/>
  <c r="AC601" s="1"/>
  <c r="AC602" s="1"/>
  <c r="AC603" s="1"/>
  <c r="AC604" s="1"/>
  <c r="AC605" s="1"/>
  <c r="AC606" s="1"/>
  <c r="AC607" s="1"/>
  <c r="AC608" s="1"/>
  <c r="AC609" s="1"/>
  <c r="AC610" s="1"/>
  <c r="AC611" s="1"/>
  <c r="AC612" s="1"/>
  <c r="AC613" s="1"/>
  <c r="AC614" s="1"/>
  <c r="AC615" s="1"/>
  <c r="AC616" s="1"/>
  <c r="AC617" s="1"/>
  <c r="AC618" s="1"/>
  <c r="AC619" s="1"/>
  <c r="AC620" s="1"/>
  <c r="AC621" s="1"/>
  <c r="AC622" s="1"/>
  <c r="AC623" s="1"/>
  <c r="AC624" s="1"/>
  <c r="AC625" s="1"/>
  <c r="AC626" s="1"/>
  <c r="AC627" s="1"/>
  <c r="AC628" s="1"/>
  <c r="AC629" s="1"/>
  <c r="AC630" s="1"/>
  <c r="AC631" s="1"/>
  <c r="AC632" s="1"/>
  <c r="AC633" s="1"/>
  <c r="AC634" s="1"/>
  <c r="AC635" s="1"/>
  <c r="AC636" s="1"/>
  <c r="AC637" s="1"/>
  <c r="AC638" s="1"/>
  <c r="AC639" s="1"/>
  <c r="AC640" s="1"/>
  <c r="AC641" s="1"/>
  <c r="AC642" s="1"/>
  <c r="AC643" s="1"/>
  <c r="AC644" s="1"/>
  <c r="AC645" s="1"/>
  <c r="AC646" s="1"/>
  <c r="AC647" s="1"/>
  <c r="AC648" s="1"/>
  <c r="AC649" s="1"/>
  <c r="AC650" s="1"/>
  <c r="AC651" s="1"/>
  <c r="AC652" s="1"/>
  <c r="AC653" s="1"/>
  <c r="AC654" s="1"/>
  <c r="AC655" s="1"/>
  <c r="AC656" s="1"/>
  <c r="AC657" s="1"/>
  <c r="AC658" s="1"/>
  <c r="AC659" s="1"/>
  <c r="AC660" s="1"/>
  <c r="AC661" s="1"/>
  <c r="AC662" s="1"/>
  <c r="AC663" s="1"/>
  <c r="AC664" s="1"/>
  <c r="AC665" s="1"/>
  <c r="AC666" s="1"/>
  <c r="AC667" s="1"/>
  <c r="AC668" s="1"/>
  <c r="AC669" s="1"/>
  <c r="AC670" s="1"/>
  <c r="AC671" s="1"/>
  <c r="AC672" s="1"/>
  <c r="AC673" s="1"/>
  <c r="AC674" s="1"/>
  <c r="AC675" s="1"/>
  <c r="AC676" s="1"/>
  <c r="AC677" s="1"/>
  <c r="AC678" s="1"/>
  <c r="AC679" s="1"/>
  <c r="AC680" s="1"/>
  <c r="AC681" s="1"/>
  <c r="AC682" s="1"/>
  <c r="AC683" s="1"/>
  <c r="AC684" s="1"/>
  <c r="AC685" s="1"/>
  <c r="AC686" s="1"/>
  <c r="AC687" s="1"/>
  <c r="AC688" s="1"/>
  <c r="AC689" s="1"/>
  <c r="AC690" s="1"/>
  <c r="AC691" s="1"/>
  <c r="AC692" s="1"/>
  <c r="AC693" s="1"/>
  <c r="AC694" s="1"/>
  <c r="AC695" s="1"/>
  <c r="AC696" s="1"/>
  <c r="AC697" s="1"/>
  <c r="AC698" s="1"/>
  <c r="AC699" s="1"/>
  <c r="AC700" s="1"/>
  <c r="AC701" s="1"/>
  <c r="AC702" s="1"/>
  <c r="AC703" s="1"/>
  <c r="AC704" s="1"/>
  <c r="AC705" s="1"/>
  <c r="AC706" s="1"/>
  <c r="AC707" s="1"/>
  <c r="AC708" s="1"/>
  <c r="AC709" s="1"/>
  <c r="AC710" s="1"/>
  <c r="AC711" s="1"/>
  <c r="AC712" s="1"/>
  <c r="AC713" s="1"/>
  <c r="AC714" s="1"/>
  <c r="AC715" s="1"/>
  <c r="AC716" s="1"/>
  <c r="AC717" s="1"/>
  <c r="AC718" s="1"/>
  <c r="AC719" s="1"/>
  <c r="AC720" s="1"/>
  <c r="AC721" s="1"/>
  <c r="AC722" s="1"/>
  <c r="AC723" s="1"/>
  <c r="AC724" s="1"/>
  <c r="AC725" s="1"/>
  <c r="AC726" s="1"/>
  <c r="AC727" s="1"/>
  <c r="AC728" s="1"/>
  <c r="AC729" s="1"/>
  <c r="AC730" s="1"/>
  <c r="AC731" s="1"/>
  <c r="AC732" s="1"/>
  <c r="AC733" s="1"/>
  <c r="AC734" s="1"/>
  <c r="AC735" s="1"/>
  <c r="AC736" s="1"/>
  <c r="AC737" s="1"/>
  <c r="AC738" s="1"/>
  <c r="AC739" s="1"/>
  <c r="AC740" s="1"/>
  <c r="AC741" s="1"/>
  <c r="AC742" s="1"/>
  <c r="AC743" s="1"/>
  <c r="AC744" s="1"/>
  <c r="AC745" s="1"/>
  <c r="AC746" s="1"/>
  <c r="AC747" s="1"/>
  <c r="AC748" s="1"/>
  <c r="AC749" s="1"/>
  <c r="AC750" s="1"/>
  <c r="AC751" s="1"/>
  <c r="AC752" s="1"/>
  <c r="AC753" s="1"/>
  <c r="AC754" s="1"/>
  <c r="AC755" s="1"/>
  <c r="AC756" s="1"/>
  <c r="AC757" s="1"/>
  <c r="AC758" s="1"/>
  <c r="AC759" s="1"/>
  <c r="AC760" s="1"/>
  <c r="AC761" s="1"/>
  <c r="AC762" s="1"/>
  <c r="AC763" s="1"/>
  <c r="AC764" s="1"/>
  <c r="AC765" s="1"/>
  <c r="AC766" s="1"/>
  <c r="AC767" s="1"/>
  <c r="AC768" s="1"/>
  <c r="AC769" s="1"/>
  <c r="AC770" s="1"/>
  <c r="AC771" s="1"/>
  <c r="AC772" s="1"/>
  <c r="AC773" s="1"/>
  <c r="AC774" s="1"/>
  <c r="AC775" s="1"/>
  <c r="AC776" s="1"/>
  <c r="AC777" s="1"/>
  <c r="AC778" s="1"/>
  <c r="AC779" s="1"/>
  <c r="AC780" s="1"/>
  <c r="AC781" s="1"/>
  <c r="AC782" s="1"/>
  <c r="AC783" s="1"/>
  <c r="AC784" s="1"/>
  <c r="AC785" s="1"/>
  <c r="AC786" s="1"/>
  <c r="AC787" s="1"/>
  <c r="AC788" s="1"/>
  <c r="AC789" s="1"/>
  <c r="AC790" s="1"/>
  <c r="AC791" s="1"/>
  <c r="AC792" s="1"/>
  <c r="AC793" s="1"/>
  <c r="AC794" s="1"/>
  <c r="AC795" s="1"/>
  <c r="AC796" s="1"/>
  <c r="AC797" s="1"/>
  <c r="AC798" s="1"/>
  <c r="AC799" s="1"/>
  <c r="AC800" s="1"/>
  <c r="AC801" s="1"/>
  <c r="AC802" s="1"/>
  <c r="AC803" s="1"/>
  <c r="AC804" s="1"/>
  <c r="AC805" s="1"/>
  <c r="AC806" s="1"/>
  <c r="AC807" s="1"/>
  <c r="AC808" s="1"/>
  <c r="AC809" s="1"/>
  <c r="AC810" s="1"/>
  <c r="AC811" s="1"/>
  <c r="AC812" s="1"/>
  <c r="AC813" s="1"/>
  <c r="AC814" s="1"/>
  <c r="AC815" s="1"/>
  <c r="AC816" s="1"/>
  <c r="AC817" s="1"/>
  <c r="AC818" s="1"/>
  <c r="AC819" s="1"/>
  <c r="AC820" s="1"/>
  <c r="AC821" s="1"/>
  <c r="AC822" s="1"/>
  <c r="AC823" s="1"/>
  <c r="AC824" s="1"/>
  <c r="AC825" s="1"/>
  <c r="AC826" s="1"/>
  <c r="AC827" s="1"/>
  <c r="AC828" s="1"/>
  <c r="AC829" s="1"/>
  <c r="AC830" s="1"/>
  <c r="AC831" s="1"/>
  <c r="AC832" s="1"/>
  <c r="AC833" s="1"/>
  <c r="AC834" s="1"/>
  <c r="AC835" s="1"/>
  <c r="AC836" s="1"/>
  <c r="AC837" s="1"/>
  <c r="AC838" s="1"/>
  <c r="AC839" s="1"/>
  <c r="AC840" s="1"/>
  <c r="AC841" s="1"/>
  <c r="AC842" s="1"/>
  <c r="AC843" s="1"/>
  <c r="AC844" s="1"/>
  <c r="AC845" s="1"/>
  <c r="AC846" s="1"/>
  <c r="AC847" s="1"/>
  <c r="AC848" s="1"/>
  <c r="AC849" s="1"/>
  <c r="AC850" s="1"/>
  <c r="AC851" s="1"/>
  <c r="AC852" s="1"/>
  <c r="AC853" s="1"/>
  <c r="AC854" s="1"/>
  <c r="AC855" s="1"/>
  <c r="AC856" s="1"/>
  <c r="AC857" s="1"/>
  <c r="AC858" s="1"/>
  <c r="AC859" s="1"/>
  <c r="AC860" s="1"/>
  <c r="AC861" s="1"/>
  <c r="AC862" s="1"/>
  <c r="AC863" s="1"/>
  <c r="AC864" s="1"/>
  <c r="AC865" s="1"/>
  <c r="AC866" s="1"/>
  <c r="AC867" s="1"/>
  <c r="AC868" s="1"/>
  <c r="AC869" s="1"/>
  <c r="AC870" s="1"/>
  <c r="AC871" s="1"/>
  <c r="AC872" s="1"/>
  <c r="AC873" s="1"/>
  <c r="AC874" s="1"/>
  <c r="AC875" s="1"/>
  <c r="AC876" s="1"/>
  <c r="AC877" s="1"/>
  <c r="AC878" s="1"/>
  <c r="AC879" s="1"/>
  <c r="AC880" s="1"/>
  <c r="AC881" s="1"/>
  <c r="AC882" s="1"/>
  <c r="AC883" s="1"/>
  <c r="AC884" s="1"/>
  <c r="AC885" s="1"/>
  <c r="AC886" s="1"/>
  <c r="AC887" s="1"/>
  <c r="AC888" s="1"/>
  <c r="AC889" s="1"/>
  <c r="AC890" s="1"/>
  <c r="AC891" s="1"/>
  <c r="AC892" s="1"/>
  <c r="AC893" s="1"/>
  <c r="AC894" s="1"/>
  <c r="AC895" s="1"/>
  <c r="AC896" s="1"/>
  <c r="AC897" s="1"/>
  <c r="AC898" s="1"/>
  <c r="AC899" s="1"/>
  <c r="AC900" s="1"/>
  <c r="AC901" s="1"/>
  <c r="AC902" s="1"/>
  <c r="AC903" s="1"/>
  <c r="AC904" s="1"/>
  <c r="AC905" s="1"/>
  <c r="AC906" s="1"/>
  <c r="AC907" s="1"/>
  <c r="AC908" s="1"/>
  <c r="AC909" s="1"/>
  <c r="AC910" s="1"/>
  <c r="AC911" s="1"/>
  <c r="AC912" s="1"/>
  <c r="AC913" s="1"/>
  <c r="AC914" s="1"/>
  <c r="AC915" s="1"/>
  <c r="AC916" s="1"/>
  <c r="AC917" s="1"/>
  <c r="AC918" s="1"/>
  <c r="AC919" s="1"/>
  <c r="AC920" s="1"/>
  <c r="AC921" s="1"/>
  <c r="AC922" s="1"/>
  <c r="AC923" s="1"/>
  <c r="AC924" s="1"/>
  <c r="AC925" s="1"/>
  <c r="AC926" s="1"/>
  <c r="AC927" s="1"/>
  <c r="AC928" s="1"/>
  <c r="AC929" s="1"/>
  <c r="AC930" s="1"/>
  <c r="AC931" s="1"/>
  <c r="AC932" s="1"/>
  <c r="AC933" s="1"/>
  <c r="AC934" s="1"/>
  <c r="AC935" s="1"/>
  <c r="AC936" s="1"/>
  <c r="AC937" s="1"/>
  <c r="AC938" s="1"/>
  <c r="AC939" s="1"/>
  <c r="AC940" s="1"/>
  <c r="AC941" s="1"/>
  <c r="AC942" s="1"/>
  <c r="AC943" s="1"/>
  <c r="AC944" s="1"/>
  <c r="AC945" s="1"/>
  <c r="AC946" s="1"/>
  <c r="AC947" s="1"/>
  <c r="AC948" s="1"/>
  <c r="AC949" s="1"/>
  <c r="AC950" s="1"/>
  <c r="AC951" s="1"/>
  <c r="AC952" s="1"/>
  <c r="AC953" s="1"/>
  <c r="AC954" s="1"/>
  <c r="AC955" s="1"/>
  <c r="AC956" s="1"/>
  <c r="AC957" s="1"/>
  <c r="AC958" s="1"/>
  <c r="AC959" s="1"/>
  <c r="AC960" s="1"/>
  <c r="AC961" s="1"/>
  <c r="AC962" s="1"/>
  <c r="AC963" s="1"/>
  <c r="AC964" s="1"/>
  <c r="AC965" s="1"/>
  <c r="AC966" s="1"/>
  <c r="AC967" s="1"/>
  <c r="AC968" s="1"/>
  <c r="AC969" s="1"/>
  <c r="AC970" s="1"/>
  <c r="AC971" s="1"/>
  <c r="AC972" s="1"/>
  <c r="AC973" s="1"/>
  <c r="AC974" s="1"/>
  <c r="AC975" s="1"/>
  <c r="AC976" s="1"/>
  <c r="AC977" s="1"/>
  <c r="AC978" s="1"/>
  <c r="AC979" s="1"/>
  <c r="AC980" s="1"/>
  <c r="AC981" s="1"/>
  <c r="AC982" s="1"/>
  <c r="AC983" s="1"/>
  <c r="AC984" s="1"/>
  <c r="AC985" s="1"/>
  <c r="AC986" s="1"/>
  <c r="AC987" s="1"/>
  <c r="AC988" s="1"/>
  <c r="AC989" s="1"/>
  <c r="AC990" s="1"/>
  <c r="AC991" s="1"/>
  <c r="AC992" s="1"/>
  <c r="AC993" s="1"/>
  <c r="AC994" s="1"/>
  <c r="AC995" s="1"/>
  <c r="AC996" s="1"/>
  <c r="AC997" s="1"/>
  <c r="AC998" s="1"/>
  <c r="AC999" s="1"/>
  <c r="AC1000" s="1"/>
  <c r="AC1001" s="1"/>
  <c r="AC1002" s="1"/>
  <c r="AC1003" s="1"/>
  <c r="AC1004" s="1"/>
  <c r="AC1005" s="1"/>
  <c r="AC1006" s="1"/>
  <c r="AD211" i="8"/>
  <c r="AD212"/>
  <c r="AD213" s="1"/>
  <c r="AD214"/>
  <c r="W15"/>
  <c r="B37" i="3"/>
  <c r="B28"/>
  <c r="H56" i="5"/>
  <c r="W198" i="8"/>
  <c r="W204" s="1"/>
  <c r="W203"/>
  <c r="W199"/>
  <c r="W205" s="1"/>
  <c r="W200"/>
  <c r="W206" s="1"/>
  <c r="W202"/>
  <c r="W175"/>
  <c r="W176" s="1"/>
  <c r="W177" s="1"/>
  <c r="W179"/>
  <c r="V222"/>
  <c r="AE147"/>
  <c r="AE143"/>
  <c r="AE139"/>
  <c r="AE135"/>
  <c r="W18"/>
  <c r="W211"/>
  <c r="W212" s="1"/>
  <c r="W213"/>
  <c r="AE130"/>
  <c r="AE132"/>
  <c r="AE134"/>
  <c r="AE136"/>
  <c r="AE138"/>
  <c r="AE140"/>
  <c r="AE142"/>
  <c r="AE144"/>
  <c r="AE146"/>
  <c r="B23" i="1"/>
  <c r="B14"/>
  <c r="B20"/>
  <c r="B14" i="3" s="1"/>
  <c r="B17" s="1"/>
  <c r="B20" i="5"/>
  <c r="B9" i="3"/>
  <c r="C57" i="5"/>
  <c r="B57" s="1"/>
  <c r="B18"/>
  <c r="B46" i="6"/>
  <c r="AD200" i="8"/>
  <c r="G10"/>
  <c r="B16" i="1"/>
  <c r="B44" i="3"/>
  <c r="F45" i="4" s="1"/>
  <c r="B19" i="5"/>
  <c r="AE508" i="4" l="1"/>
  <c r="AE510"/>
  <c r="AE512"/>
  <c r="AE514"/>
  <c r="AE516"/>
  <c r="AE518"/>
  <c r="AE520"/>
  <c r="AE522"/>
  <c r="AE524"/>
  <c r="AE526"/>
  <c r="AE528"/>
  <c r="AE530"/>
  <c r="AE532"/>
  <c r="AE534"/>
  <c r="AE536"/>
  <c r="AE538"/>
  <c r="AE540"/>
  <c r="AE542"/>
  <c r="AE544"/>
  <c r="AE546"/>
  <c r="AE548"/>
  <c r="AE550"/>
  <c r="AE552"/>
  <c r="AE554"/>
  <c r="AE556"/>
  <c r="AE558"/>
  <c r="AE560"/>
  <c r="AE562"/>
  <c r="AE564"/>
  <c r="AE566"/>
  <c r="AE568"/>
  <c r="AE570"/>
  <c r="AE572"/>
  <c r="AE574"/>
  <c r="AE576"/>
  <c r="AE578"/>
  <c r="AE580"/>
  <c r="AE582"/>
  <c r="AE584"/>
  <c r="AE586"/>
  <c r="AE588"/>
  <c r="AE590"/>
  <c r="AE592"/>
  <c r="AE594"/>
  <c r="AE596"/>
  <c r="AE598"/>
  <c r="AE600"/>
  <c r="AE602"/>
  <c r="AE604"/>
  <c r="AE606"/>
  <c r="AE608"/>
  <c r="AE610"/>
  <c r="AE612"/>
  <c r="AE614"/>
  <c r="AE616"/>
  <c r="AE618"/>
  <c r="AE620"/>
  <c r="AE622"/>
  <c r="AE624"/>
  <c r="AE626"/>
  <c r="AE628"/>
  <c r="AE630"/>
  <c r="AE632"/>
  <c r="AE634"/>
  <c r="AE636"/>
  <c r="AE638"/>
  <c r="AE640"/>
  <c r="AE642"/>
  <c r="AE644"/>
  <c r="AE646"/>
  <c r="AE648"/>
  <c r="AE650"/>
  <c r="AE652"/>
  <c r="AE654"/>
  <c r="AE656"/>
  <c r="AE658"/>
  <c r="AE660"/>
  <c r="AE662"/>
  <c r="AE664"/>
  <c r="AE666"/>
  <c r="AE668"/>
  <c r="AE670"/>
  <c r="AE672"/>
  <c r="AE674"/>
  <c r="AE676"/>
  <c r="AE678"/>
  <c r="AE680"/>
  <c r="AE682"/>
  <c r="AE684"/>
  <c r="AE686"/>
  <c r="AE688"/>
  <c r="AE690"/>
  <c r="AE692"/>
  <c r="AE694"/>
  <c r="AE696"/>
  <c r="AE698"/>
  <c r="AE700"/>
  <c r="AE702"/>
  <c r="AE704"/>
  <c r="AE706"/>
  <c r="AE708"/>
  <c r="AE710"/>
  <c r="AE712"/>
  <c r="AE714"/>
  <c r="AE716"/>
  <c r="AE718"/>
  <c r="AE720"/>
  <c r="AE722"/>
  <c r="AE724"/>
  <c r="AE726"/>
  <c r="AE728"/>
  <c r="AE730"/>
  <c r="AE732"/>
  <c r="AE734"/>
  <c r="AE736"/>
  <c r="AE738"/>
  <c r="AE740"/>
  <c r="AE742"/>
  <c r="AE744"/>
  <c r="AE746"/>
  <c r="AE748"/>
  <c r="AE750"/>
  <c r="AE752"/>
  <c r="AE754"/>
  <c r="AE756"/>
  <c r="AE758"/>
  <c r="AE760"/>
  <c r="AE762"/>
  <c r="AE764"/>
  <c r="AE766"/>
  <c r="AE768"/>
  <c r="AE770"/>
  <c r="AE772"/>
  <c r="AE774"/>
  <c r="AE776"/>
  <c r="AE778"/>
  <c r="AE780"/>
  <c r="AE782"/>
  <c r="AE784"/>
  <c r="AE786"/>
  <c r="AE788"/>
  <c r="AE790"/>
  <c r="AE792"/>
  <c r="AE794"/>
  <c r="AE796"/>
  <c r="AE798"/>
  <c r="AE800"/>
  <c r="AE802"/>
  <c r="AE804"/>
  <c r="AE806"/>
  <c r="AE808"/>
  <c r="AE810"/>
  <c r="AE812"/>
  <c r="AE814"/>
  <c r="AE816"/>
  <c r="AE818"/>
  <c r="AE820"/>
  <c r="AE822"/>
  <c r="AE824"/>
  <c r="AE826"/>
  <c r="AE828"/>
  <c r="AE830"/>
  <c r="AE832"/>
  <c r="AE834"/>
  <c r="AE836"/>
  <c r="AE838"/>
  <c r="AE840"/>
  <c r="AE842"/>
  <c r="AE844"/>
  <c r="AE846"/>
  <c r="AE848"/>
  <c r="AE850"/>
  <c r="AE852"/>
  <c r="AE854"/>
  <c r="AE856"/>
  <c r="AE858"/>
  <c r="AE860"/>
  <c r="AE862"/>
  <c r="AE864"/>
  <c r="AE866"/>
  <c r="AE868"/>
  <c r="AE870"/>
  <c r="AE872"/>
  <c r="AE874"/>
  <c r="AE876"/>
  <c r="AE878"/>
  <c r="AE880"/>
  <c r="AE882"/>
  <c r="AE884"/>
  <c r="AE886"/>
  <c r="AE888"/>
  <c r="AE890"/>
  <c r="AE892"/>
  <c r="AE894"/>
  <c r="AE896"/>
  <c r="AE898"/>
  <c r="AE900"/>
  <c r="AE902"/>
  <c r="AE904"/>
  <c r="AE906"/>
  <c r="AE908"/>
  <c r="AE910"/>
  <c r="AE912"/>
  <c r="AE914"/>
  <c r="AE916"/>
  <c r="AE918"/>
  <c r="AE920"/>
  <c r="AE922"/>
  <c r="AE924"/>
  <c r="AE926"/>
  <c r="AE928"/>
  <c r="AE930"/>
  <c r="AE932"/>
  <c r="AE934"/>
  <c r="AE936"/>
  <c r="AE938"/>
  <c r="AE940"/>
  <c r="AE942"/>
  <c r="AE944"/>
  <c r="AE946"/>
  <c r="AE948"/>
  <c r="AE950"/>
  <c r="AE952"/>
  <c r="AE954"/>
  <c r="AE956"/>
  <c r="AE958"/>
  <c r="AE960"/>
  <c r="AE962"/>
  <c r="AE964"/>
  <c r="AE966"/>
  <c r="AE968"/>
  <c r="AE970"/>
  <c r="AE972"/>
  <c r="AE974"/>
  <c r="AE976"/>
  <c r="AE978"/>
  <c r="AE980"/>
  <c r="AE982"/>
  <c r="AE984"/>
  <c r="AE986"/>
  <c r="AE988"/>
  <c r="AE990"/>
  <c r="AE992"/>
  <c r="AE994"/>
  <c r="AE996"/>
  <c r="AE998"/>
  <c r="AE1000"/>
  <c r="AE1002"/>
  <c r="AE1004"/>
  <c r="AE1006"/>
  <c r="AE505"/>
  <c r="AE307"/>
  <c r="AE309"/>
  <c r="AE311"/>
  <c r="AE313"/>
  <c r="AE315"/>
  <c r="AE509"/>
  <c r="AE513"/>
  <c r="AE517"/>
  <c r="AE521"/>
  <c r="AE525"/>
  <c r="AE529"/>
  <c r="AE533"/>
  <c r="AE537"/>
  <c r="AE541"/>
  <c r="AE545"/>
  <c r="AE549"/>
  <c r="AE553"/>
  <c r="AE557"/>
  <c r="AE561"/>
  <c r="AE565"/>
  <c r="AE569"/>
  <c r="AE573"/>
  <c r="AE577"/>
  <c r="AE581"/>
  <c r="AE585"/>
  <c r="AE589"/>
  <c r="AE593"/>
  <c r="AE597"/>
  <c r="AE601"/>
  <c r="AE605"/>
  <c r="AE609"/>
  <c r="AE613"/>
  <c r="AE617"/>
  <c r="AE621"/>
  <c r="AE625"/>
  <c r="AE629"/>
  <c r="AE633"/>
  <c r="AE637"/>
  <c r="AE641"/>
  <c r="AE645"/>
  <c r="AE649"/>
  <c r="AE653"/>
  <c r="AE657"/>
  <c r="AE661"/>
  <c r="AE665"/>
  <c r="AE669"/>
  <c r="AE673"/>
  <c r="AE677"/>
  <c r="AE681"/>
  <c r="AE685"/>
  <c r="AE689"/>
  <c r="AE693"/>
  <c r="AE697"/>
  <c r="AE701"/>
  <c r="AE705"/>
  <c r="AE709"/>
  <c r="AE713"/>
  <c r="AE717"/>
  <c r="AE721"/>
  <c r="AE725"/>
  <c r="AE729"/>
  <c r="AE733"/>
  <c r="AE737"/>
  <c r="AE741"/>
  <c r="AE745"/>
  <c r="AE749"/>
  <c r="AE753"/>
  <c r="AE757"/>
  <c r="AE761"/>
  <c r="AE765"/>
  <c r="AE769"/>
  <c r="AE773"/>
  <c r="AE777"/>
  <c r="AE781"/>
  <c r="AE785"/>
  <c r="AE789"/>
  <c r="AE793"/>
  <c r="AE797"/>
  <c r="AE801"/>
  <c r="AE805"/>
  <c r="AE809"/>
  <c r="AE813"/>
  <c r="AE817"/>
  <c r="AE821"/>
  <c r="AE825"/>
  <c r="AE829"/>
  <c r="AE833"/>
  <c r="AE837"/>
  <c r="AE841"/>
  <c r="AE845"/>
  <c r="AE849"/>
  <c r="AE853"/>
  <c r="AE857"/>
  <c r="AE861"/>
  <c r="AE865"/>
  <c r="AE869"/>
  <c r="AE873"/>
  <c r="AE877"/>
  <c r="AE881"/>
  <c r="AE885"/>
  <c r="AE889"/>
  <c r="AE893"/>
  <c r="AE897"/>
  <c r="AE901"/>
  <c r="AE905"/>
  <c r="AE909"/>
  <c r="AE913"/>
  <c r="AE917"/>
  <c r="AE921"/>
  <c r="AE925"/>
  <c r="AE929"/>
  <c r="AE933"/>
  <c r="AE937"/>
  <c r="AE941"/>
  <c r="AE945"/>
  <c r="AE949"/>
  <c r="AE953"/>
  <c r="AE957"/>
  <c r="AE961"/>
  <c r="AE965"/>
  <c r="AE969"/>
  <c r="AE973"/>
  <c r="AE977"/>
  <c r="AE981"/>
  <c r="AE985"/>
  <c r="AE989"/>
  <c r="AE993"/>
  <c r="AE997"/>
  <c r="AE1001"/>
  <c r="AE1005"/>
  <c r="AE506"/>
  <c r="AE310"/>
  <c r="AE314"/>
  <c r="AE317"/>
  <c r="AE319"/>
  <c r="AE321"/>
  <c r="AE323"/>
  <c r="AE325"/>
  <c r="AE327"/>
  <c r="AE329"/>
  <c r="AE331"/>
  <c r="AE333"/>
  <c r="AE335"/>
  <c r="AE337"/>
  <c r="AE339"/>
  <c r="AE341"/>
  <c r="AE343"/>
  <c r="AE345"/>
  <c r="AE347"/>
  <c r="AE349"/>
  <c r="AE351"/>
  <c r="AE353"/>
  <c r="AE355"/>
  <c r="AE357"/>
  <c r="AE359"/>
  <c r="AE361"/>
  <c r="AE363"/>
  <c r="AE365"/>
  <c r="AE367"/>
  <c r="AE369"/>
  <c r="AE371"/>
  <c r="AE373"/>
  <c r="AE375"/>
  <c r="AE377"/>
  <c r="AE379"/>
  <c r="AE381"/>
  <c r="AE383"/>
  <c r="AE385"/>
  <c r="AE387"/>
  <c r="AE389"/>
  <c r="AE391"/>
  <c r="AE393"/>
  <c r="AE395"/>
  <c r="AE397"/>
  <c r="AE399"/>
  <c r="AE401"/>
  <c r="AE403"/>
  <c r="AE405"/>
  <c r="AE407"/>
  <c r="AE409"/>
  <c r="AE411"/>
  <c r="AE413"/>
  <c r="AE415"/>
  <c r="AE417"/>
  <c r="AE419"/>
  <c r="AE421"/>
  <c r="AE423"/>
  <c r="AE425"/>
  <c r="AE427"/>
  <c r="AE429"/>
  <c r="AE431"/>
  <c r="AE433"/>
  <c r="AE435"/>
  <c r="AE437"/>
  <c r="AE439"/>
  <c r="AE441"/>
  <c r="AE443"/>
  <c r="AE445"/>
  <c r="AE447"/>
  <c r="AE449"/>
  <c r="AE451"/>
  <c r="AE453"/>
  <c r="AE455"/>
  <c r="AE457"/>
  <c r="AE459"/>
  <c r="AE461"/>
  <c r="AE463"/>
  <c r="AE465"/>
  <c r="AE467"/>
  <c r="AE469"/>
  <c r="AE471"/>
  <c r="AE473"/>
  <c r="AE475"/>
  <c r="AE477"/>
  <c r="AE479"/>
  <c r="AE481"/>
  <c r="AE483"/>
  <c r="AE485"/>
  <c r="AE487"/>
  <c r="AE489"/>
  <c r="AE491"/>
  <c r="AE493"/>
  <c r="AE495"/>
  <c r="AE497"/>
  <c r="AE499"/>
  <c r="AE501"/>
  <c r="AE503"/>
  <c r="AE270"/>
  <c r="AE272"/>
  <c r="AE274"/>
  <c r="AE276"/>
  <c r="AE278"/>
  <c r="AE280"/>
  <c r="AE282"/>
  <c r="AE284"/>
  <c r="AE286"/>
  <c r="AE288"/>
  <c r="AE290"/>
  <c r="AE292"/>
  <c r="AE294"/>
  <c r="AE296"/>
  <c r="AE298"/>
  <c r="AE300"/>
  <c r="AE302"/>
  <c r="AE304"/>
  <c r="AE306"/>
  <c r="AE258"/>
  <c r="AE260"/>
  <c r="AE262"/>
  <c r="AE264"/>
  <c r="AE266"/>
  <c r="AE268"/>
  <c r="AE507"/>
  <c r="AE511"/>
  <c r="AE515"/>
  <c r="AE519"/>
  <c r="AE523"/>
  <c r="AE527"/>
  <c r="AE531"/>
  <c r="AE535"/>
  <c r="AE539"/>
  <c r="AE543"/>
  <c r="AE547"/>
  <c r="AE551"/>
  <c r="AE555"/>
  <c r="AE559"/>
  <c r="AE563"/>
  <c r="AE567"/>
  <c r="AE571"/>
  <c r="AE575"/>
  <c r="AE579"/>
  <c r="AE583"/>
  <c r="AE587"/>
  <c r="AE591"/>
  <c r="AE595"/>
  <c r="AE599"/>
  <c r="AE603"/>
  <c r="AE607"/>
  <c r="AE611"/>
  <c r="AE615"/>
  <c r="AE619"/>
  <c r="AE623"/>
  <c r="AE627"/>
  <c r="AE631"/>
  <c r="AE635"/>
  <c r="AE639"/>
  <c r="AE643"/>
  <c r="AE647"/>
  <c r="AE651"/>
  <c r="AE655"/>
  <c r="AE659"/>
  <c r="AE663"/>
  <c r="AE667"/>
  <c r="AE671"/>
  <c r="AE675"/>
  <c r="AE679"/>
  <c r="AE683"/>
  <c r="AE687"/>
  <c r="AE691"/>
  <c r="AE695"/>
  <c r="AE699"/>
  <c r="AE703"/>
  <c r="AE707"/>
  <c r="AE711"/>
  <c r="AE715"/>
  <c r="AE719"/>
  <c r="AE723"/>
  <c r="AE727"/>
  <c r="AE731"/>
  <c r="AE735"/>
  <c r="AE739"/>
  <c r="AE743"/>
  <c r="AE747"/>
  <c r="AE751"/>
  <c r="AE755"/>
  <c r="AE759"/>
  <c r="AE763"/>
  <c r="AE767"/>
  <c r="AE771"/>
  <c r="AE775"/>
  <c r="AE779"/>
  <c r="AE783"/>
  <c r="AE787"/>
  <c r="AE791"/>
  <c r="AE795"/>
  <c r="AE799"/>
  <c r="AE803"/>
  <c r="AE807"/>
  <c r="AE811"/>
  <c r="AE815"/>
  <c r="AE819"/>
  <c r="AE823"/>
  <c r="AE827"/>
  <c r="AE831"/>
  <c r="AE835"/>
  <c r="AE839"/>
  <c r="AE843"/>
  <c r="AE847"/>
  <c r="AE851"/>
  <c r="AE855"/>
  <c r="AE859"/>
  <c r="AE863"/>
  <c r="AE867"/>
  <c r="AE871"/>
  <c r="AE875"/>
  <c r="AE879"/>
  <c r="AE883"/>
  <c r="AE887"/>
  <c r="AE891"/>
  <c r="AE895"/>
  <c r="AE899"/>
  <c r="AE903"/>
  <c r="AE907"/>
  <c r="AE911"/>
  <c r="AE915"/>
  <c r="AE919"/>
  <c r="AE923"/>
  <c r="AE927"/>
  <c r="AE931"/>
  <c r="AE935"/>
  <c r="AE939"/>
  <c r="AE943"/>
  <c r="AE947"/>
  <c r="AE951"/>
  <c r="AE955"/>
  <c r="AE959"/>
  <c r="AE963"/>
  <c r="AE967"/>
  <c r="AE971"/>
  <c r="AE975"/>
  <c r="AE979"/>
  <c r="AE983"/>
  <c r="AE987"/>
  <c r="AE991"/>
  <c r="AE995"/>
  <c r="AE999"/>
  <c r="AE1003"/>
  <c r="AE504"/>
  <c r="AE308"/>
  <c r="AE312"/>
  <c r="AE316"/>
  <c r="AE318"/>
  <c r="AE320"/>
  <c r="AE322"/>
  <c r="AE324"/>
  <c r="AE326"/>
  <c r="AE328"/>
  <c r="AE330"/>
  <c r="AE332"/>
  <c r="AE334"/>
  <c r="AE336"/>
  <c r="AE338"/>
  <c r="AE340"/>
  <c r="AE342"/>
  <c r="AE344"/>
  <c r="AE346"/>
  <c r="AE348"/>
  <c r="AE350"/>
  <c r="AE352"/>
  <c r="AE354"/>
  <c r="AE356"/>
  <c r="AE358"/>
  <c r="AE360"/>
  <c r="AE362"/>
  <c r="AE364"/>
  <c r="AE366"/>
  <c r="AE368"/>
  <c r="AE370"/>
  <c r="AE372"/>
  <c r="AE374"/>
  <c r="AE376"/>
  <c r="AE378"/>
  <c r="AE380"/>
  <c r="AE382"/>
  <c r="AE384"/>
  <c r="AE386"/>
  <c r="AE388"/>
  <c r="AE390"/>
  <c r="AE392"/>
  <c r="AE394"/>
  <c r="AE396"/>
  <c r="AE398"/>
  <c r="AE400"/>
  <c r="AE402"/>
  <c r="AE404"/>
  <c r="AE406"/>
  <c r="AE408"/>
  <c r="AE410"/>
  <c r="AE412"/>
  <c r="AE414"/>
  <c r="AE416"/>
  <c r="AE418"/>
  <c r="AE420"/>
  <c r="AE422"/>
  <c r="AE424"/>
  <c r="AE426"/>
  <c r="AE428"/>
  <c r="AE430"/>
  <c r="AE432"/>
  <c r="AE434"/>
  <c r="AE436"/>
  <c r="AE438"/>
  <c r="AE440"/>
  <c r="AE442"/>
  <c r="AE444"/>
  <c r="AE446"/>
  <c r="AE448"/>
  <c r="AE450"/>
  <c r="AE452"/>
  <c r="AE454"/>
  <c r="AE456"/>
  <c r="AE458"/>
  <c r="AE460"/>
  <c r="AE462"/>
  <c r="AE464"/>
  <c r="AE466"/>
  <c r="AE468"/>
  <c r="AE470"/>
  <c r="AE472"/>
  <c r="AE474"/>
  <c r="AE476"/>
  <c r="AE478"/>
  <c r="AE480"/>
  <c r="AE482"/>
  <c r="AE484"/>
  <c r="AE486"/>
  <c r="AE488"/>
  <c r="AE490"/>
  <c r="AE492"/>
  <c r="AE494"/>
  <c r="AE496"/>
  <c r="AE498"/>
  <c r="AE500"/>
  <c r="AE502"/>
  <c r="AE269"/>
  <c r="AE271"/>
  <c r="AE273"/>
  <c r="AE275"/>
  <c r="AE277"/>
  <c r="AE279"/>
  <c r="AE281"/>
  <c r="AE283"/>
  <c r="AE285"/>
  <c r="AE287"/>
  <c r="AE289"/>
  <c r="AE291"/>
  <c r="AE293"/>
  <c r="AE295"/>
  <c r="AE297"/>
  <c r="AE299"/>
  <c r="AE301"/>
  <c r="AE303"/>
  <c r="AE305"/>
  <c r="AE257"/>
  <c r="AE259"/>
  <c r="AE261"/>
  <c r="AE263"/>
  <c r="AE265"/>
  <c r="AE267"/>
  <c r="B6" i="10"/>
  <c r="AJ8" i="4"/>
  <c r="AJ10"/>
  <c r="AJ12"/>
  <c r="AJ14"/>
  <c r="AJ16"/>
  <c r="AJ18"/>
  <c r="AJ20"/>
  <c r="AJ22"/>
  <c r="AJ24"/>
  <c r="AJ26"/>
  <c r="AJ28"/>
  <c r="AJ30"/>
  <c r="AJ32"/>
  <c r="AJ34"/>
  <c r="AJ36"/>
  <c r="AJ38"/>
  <c r="AJ40"/>
  <c r="AJ42"/>
  <c r="AJ44"/>
  <c r="AJ46"/>
  <c r="AJ48"/>
  <c r="AJ50"/>
  <c r="AJ52"/>
  <c r="AJ54"/>
  <c r="AJ56"/>
  <c r="AJ58"/>
  <c r="AJ60"/>
  <c r="AJ62"/>
  <c r="AJ64"/>
  <c r="AJ66"/>
  <c r="AJ68"/>
  <c r="AJ70"/>
  <c r="AJ72"/>
  <c r="AJ74"/>
  <c r="AJ76"/>
  <c r="AJ78"/>
  <c r="AJ80"/>
  <c r="AJ82"/>
  <c r="AJ84"/>
  <c r="AJ86"/>
  <c r="AJ88"/>
  <c r="AJ90"/>
  <c r="AJ92"/>
  <c r="AJ94"/>
  <c r="AJ96"/>
  <c r="AJ98"/>
  <c r="AJ100"/>
  <c r="AJ102"/>
  <c r="AJ104"/>
  <c r="AJ106"/>
  <c r="AJ108"/>
  <c r="AJ110"/>
  <c r="AJ112"/>
  <c r="AJ114"/>
  <c r="AJ116"/>
  <c r="AJ118"/>
  <c r="AJ120"/>
  <c r="AJ122"/>
  <c r="AJ124"/>
  <c r="AJ126"/>
  <c r="AJ128"/>
  <c r="AJ130"/>
  <c r="AJ132"/>
  <c r="AJ134"/>
  <c r="AJ136"/>
  <c r="AJ138"/>
  <c r="AJ140"/>
  <c r="AJ142"/>
  <c r="AJ144"/>
  <c r="AJ146"/>
  <c r="AJ148"/>
  <c r="AJ150"/>
  <c r="AJ152"/>
  <c r="AJ154"/>
  <c r="AJ156"/>
  <c r="AJ158"/>
  <c r="AJ160"/>
  <c r="AJ162"/>
  <c r="AJ164"/>
  <c r="AJ166"/>
  <c r="AJ168"/>
  <c r="AJ170"/>
  <c r="AJ172"/>
  <c r="AJ174"/>
  <c r="AJ176"/>
  <c r="AJ178"/>
  <c r="AJ180"/>
  <c r="AJ182"/>
  <c r="AJ184"/>
  <c r="AJ186"/>
  <c r="AJ188"/>
  <c r="AJ190"/>
  <c r="AJ192"/>
  <c r="AJ194"/>
  <c r="AJ196"/>
  <c r="AJ198"/>
  <c r="AJ200"/>
  <c r="AJ202"/>
  <c r="AJ204"/>
  <c r="AJ206"/>
  <c r="AJ208"/>
  <c r="AJ210"/>
  <c r="AJ212"/>
  <c r="AJ214"/>
  <c r="AJ216"/>
  <c r="AJ218"/>
  <c r="AJ220"/>
  <c r="AJ222"/>
  <c r="AJ224"/>
  <c r="AJ226"/>
  <c r="AJ228"/>
  <c r="AJ230"/>
  <c r="AJ232"/>
  <c r="AJ234"/>
  <c r="AJ236"/>
  <c r="AJ238"/>
  <c r="AJ240"/>
  <c r="AJ242"/>
  <c r="AJ244"/>
  <c r="AJ246"/>
  <c r="AJ248"/>
  <c r="AJ250"/>
  <c r="AJ252"/>
  <c r="AJ254"/>
  <c r="AJ256"/>
  <c r="AJ258"/>
  <c r="AJ260"/>
  <c r="AJ262"/>
  <c r="AJ264"/>
  <c r="AJ266"/>
  <c r="AJ268"/>
  <c r="AJ270"/>
  <c r="AJ272"/>
  <c r="AJ274"/>
  <c r="AJ276"/>
  <c r="AJ278"/>
  <c r="AJ280"/>
  <c r="AJ282"/>
  <c r="AJ284"/>
  <c r="AJ286"/>
  <c r="AJ288"/>
  <c r="AJ290"/>
  <c r="AJ292"/>
  <c r="AJ294"/>
  <c r="AJ296"/>
  <c r="AJ298"/>
  <c r="AJ300"/>
  <c r="AJ302"/>
  <c r="AJ304"/>
  <c r="AJ306"/>
  <c r="AJ308"/>
  <c r="AJ310"/>
  <c r="AJ312"/>
  <c r="AJ314"/>
  <c r="AJ316"/>
  <c r="AJ318"/>
  <c r="AJ320"/>
  <c r="AJ322"/>
  <c r="AJ324"/>
  <c r="AJ326"/>
  <c r="AJ328"/>
  <c r="AJ330"/>
  <c r="AJ332"/>
  <c r="AJ334"/>
  <c r="AJ336"/>
  <c r="AJ338"/>
  <c r="AJ340"/>
  <c r="AJ342"/>
  <c r="AJ344"/>
  <c r="AJ346"/>
  <c r="AJ348"/>
  <c r="AJ350"/>
  <c r="AJ352"/>
  <c r="AJ354"/>
  <c r="AJ356"/>
  <c r="AJ358"/>
  <c r="AJ360"/>
  <c r="AJ362"/>
  <c r="AJ364"/>
  <c r="AJ366"/>
  <c r="AJ368"/>
  <c r="AJ370"/>
  <c r="AJ372"/>
  <c r="AJ374"/>
  <c r="AJ376"/>
  <c r="AJ378"/>
  <c r="AJ380"/>
  <c r="AJ382"/>
  <c r="AJ384"/>
  <c r="AJ386"/>
  <c r="AJ388"/>
  <c r="AJ390"/>
  <c r="AJ392"/>
  <c r="AJ394"/>
  <c r="AJ396"/>
  <c r="AJ398"/>
  <c r="AJ400"/>
  <c r="AJ402"/>
  <c r="AJ404"/>
  <c r="AJ406"/>
  <c r="AJ408"/>
  <c r="AJ410"/>
  <c r="AJ412"/>
  <c r="AJ414"/>
  <c r="AJ416"/>
  <c r="AJ418"/>
  <c r="AJ420"/>
  <c r="AJ422"/>
  <c r="AJ424"/>
  <c r="AJ426"/>
  <c r="AJ428"/>
  <c r="AJ430"/>
  <c r="AJ432"/>
  <c r="AJ434"/>
  <c r="AJ436"/>
  <c r="AJ438"/>
  <c r="AJ440"/>
  <c r="AJ442"/>
  <c r="AJ444"/>
  <c r="AJ446"/>
  <c r="AJ448"/>
  <c r="AJ450"/>
  <c r="AJ452"/>
  <c r="AJ454"/>
  <c r="AJ456"/>
  <c r="AJ458"/>
  <c r="AJ460"/>
  <c r="AJ462"/>
  <c r="AJ464"/>
  <c r="AJ466"/>
  <c r="AJ468"/>
  <c r="AJ470"/>
  <c r="AJ472"/>
  <c r="AJ474"/>
  <c r="AJ476"/>
  <c r="AJ478"/>
  <c r="AJ480"/>
  <c r="AJ482"/>
  <c r="AJ484"/>
  <c r="AJ486"/>
  <c r="AJ488"/>
  <c r="AJ490"/>
  <c r="AJ492"/>
  <c r="AJ494"/>
  <c r="AJ496"/>
  <c r="AJ498"/>
  <c r="AJ500"/>
  <c r="AJ502"/>
  <c r="AJ504"/>
  <c r="AJ506"/>
  <c r="AE20"/>
  <c r="AE22"/>
  <c r="AE24"/>
  <c r="AE26"/>
  <c r="AE28"/>
  <c r="AE30"/>
  <c r="AJ7"/>
  <c r="AJ9"/>
  <c r="AJ11"/>
  <c r="AJ13"/>
  <c r="AJ15"/>
  <c r="AJ17"/>
  <c r="AJ19"/>
  <c r="AJ21"/>
  <c r="AJ23"/>
  <c r="AJ25"/>
  <c r="AJ27"/>
  <c r="AJ29"/>
  <c r="AJ31"/>
  <c r="AJ33"/>
  <c r="AJ35"/>
  <c r="AJ37"/>
  <c r="AJ39"/>
  <c r="AJ41"/>
  <c r="AJ43"/>
  <c r="AJ45"/>
  <c r="AJ47"/>
  <c r="AJ49"/>
  <c r="AJ51"/>
  <c r="AJ53"/>
  <c r="AJ55"/>
  <c r="AJ57"/>
  <c r="AJ59"/>
  <c r="AJ61"/>
  <c r="AJ63"/>
  <c r="AJ65"/>
  <c r="AJ67"/>
  <c r="AJ69"/>
  <c r="AJ71"/>
  <c r="AJ73"/>
  <c r="AJ75"/>
  <c r="AJ77"/>
  <c r="AJ79"/>
  <c r="AJ81"/>
  <c r="AJ83"/>
  <c r="AJ85"/>
  <c r="AJ87"/>
  <c r="AJ89"/>
  <c r="AJ91"/>
  <c r="AJ93"/>
  <c r="AJ95"/>
  <c r="AJ97"/>
  <c r="AJ99"/>
  <c r="AJ101"/>
  <c r="AJ103"/>
  <c r="AJ105"/>
  <c r="AJ107"/>
  <c r="AJ109"/>
  <c r="AJ111"/>
  <c r="AJ113"/>
  <c r="AJ115"/>
  <c r="AJ117"/>
  <c r="AJ119"/>
  <c r="AJ121"/>
  <c r="AJ123"/>
  <c r="AJ125"/>
  <c r="AJ127"/>
  <c r="AJ129"/>
  <c r="AJ131"/>
  <c r="AJ133"/>
  <c r="AJ135"/>
  <c r="AJ137"/>
  <c r="AJ139"/>
  <c r="AJ141"/>
  <c r="AJ143"/>
  <c r="AJ145"/>
  <c r="AJ147"/>
  <c r="AJ149"/>
  <c r="AJ151"/>
  <c r="AJ153"/>
  <c r="AJ155"/>
  <c r="AJ157"/>
  <c r="AJ159"/>
  <c r="AJ161"/>
  <c r="AJ163"/>
  <c r="AJ165"/>
  <c r="AJ167"/>
  <c r="AJ169"/>
  <c r="AJ171"/>
  <c r="AJ173"/>
  <c r="AJ175"/>
  <c r="AJ177"/>
  <c r="AJ179"/>
  <c r="AJ181"/>
  <c r="AJ183"/>
  <c r="AJ185"/>
  <c r="AJ187"/>
  <c r="AJ189"/>
  <c r="AJ191"/>
  <c r="AJ193"/>
  <c r="AJ195"/>
  <c r="AJ197"/>
  <c r="AJ199"/>
  <c r="AJ201"/>
  <c r="AJ203"/>
  <c r="AJ205"/>
  <c r="AJ207"/>
  <c r="AJ209"/>
  <c r="AJ211"/>
  <c r="AJ213"/>
  <c r="AJ215"/>
  <c r="AJ217"/>
  <c r="AJ219"/>
  <c r="AJ221"/>
  <c r="AJ223"/>
  <c r="AJ225"/>
  <c r="AJ227"/>
  <c r="AJ229"/>
  <c r="AJ231"/>
  <c r="AJ233"/>
  <c r="AJ235"/>
  <c r="AJ237"/>
  <c r="AJ239"/>
  <c r="AJ241"/>
  <c r="AJ243"/>
  <c r="AJ245"/>
  <c r="AJ247"/>
  <c r="AJ249"/>
  <c r="AJ251"/>
  <c r="AJ253"/>
  <c r="AJ255"/>
  <c r="AJ257"/>
  <c r="AJ259"/>
  <c r="AJ261"/>
  <c r="AJ263"/>
  <c r="AJ265"/>
  <c r="AJ267"/>
  <c r="AJ269"/>
  <c r="AJ271"/>
  <c r="AJ273"/>
  <c r="AJ275"/>
  <c r="AJ277"/>
  <c r="AJ279"/>
  <c r="AJ281"/>
  <c r="AJ283"/>
  <c r="AJ285"/>
  <c r="AJ287"/>
  <c r="AJ289"/>
  <c r="AJ291"/>
  <c r="AJ293"/>
  <c r="AJ295"/>
  <c r="AJ297"/>
  <c r="AJ299"/>
  <c r="AJ301"/>
  <c r="AJ303"/>
  <c r="AJ305"/>
  <c r="AJ307"/>
  <c r="AJ309"/>
  <c r="AJ311"/>
  <c r="AJ313"/>
  <c r="AJ315"/>
  <c r="AJ317"/>
  <c r="AJ319"/>
  <c r="AJ321"/>
  <c r="AJ323"/>
  <c r="AJ325"/>
  <c r="AJ327"/>
  <c r="AJ329"/>
  <c r="AJ331"/>
  <c r="AJ333"/>
  <c r="AJ335"/>
  <c r="AJ337"/>
  <c r="AJ339"/>
  <c r="AJ341"/>
  <c r="AJ343"/>
  <c r="AJ345"/>
  <c r="AJ347"/>
  <c r="AJ349"/>
  <c r="AJ351"/>
  <c r="AJ353"/>
  <c r="AJ355"/>
  <c r="AJ357"/>
  <c r="AJ359"/>
  <c r="AJ361"/>
  <c r="AJ363"/>
  <c r="AJ365"/>
  <c r="AJ367"/>
  <c r="AJ369"/>
  <c r="AJ371"/>
  <c r="AJ373"/>
  <c r="AJ375"/>
  <c r="AJ377"/>
  <c r="AJ379"/>
  <c r="AJ381"/>
  <c r="AJ383"/>
  <c r="AJ385"/>
  <c r="AJ387"/>
  <c r="AJ389"/>
  <c r="AJ391"/>
  <c r="AJ393"/>
  <c r="AJ395"/>
  <c r="AJ397"/>
  <c r="AJ399"/>
  <c r="AJ401"/>
  <c r="AJ403"/>
  <c r="AJ405"/>
  <c r="AJ407"/>
  <c r="AJ409"/>
  <c r="AJ411"/>
  <c r="AJ413"/>
  <c r="AJ415"/>
  <c r="AJ417"/>
  <c r="AJ419"/>
  <c r="AJ421"/>
  <c r="AJ423"/>
  <c r="AJ425"/>
  <c r="AJ427"/>
  <c r="AJ429"/>
  <c r="AJ431"/>
  <c r="AJ433"/>
  <c r="AJ435"/>
  <c r="AJ437"/>
  <c r="AJ439"/>
  <c r="AJ441"/>
  <c r="AJ443"/>
  <c r="AJ445"/>
  <c r="AJ447"/>
  <c r="AJ449"/>
  <c r="AJ451"/>
  <c r="AJ453"/>
  <c r="AJ455"/>
  <c r="AJ457"/>
  <c r="AJ459"/>
  <c r="AJ461"/>
  <c r="AJ463"/>
  <c r="AJ465"/>
  <c r="AJ467"/>
  <c r="AJ469"/>
  <c r="AJ471"/>
  <c r="AJ473"/>
  <c r="AJ475"/>
  <c r="AJ477"/>
  <c r="AJ479"/>
  <c r="AJ481"/>
  <c r="AJ483"/>
  <c r="AJ485"/>
  <c r="AJ487"/>
  <c r="AJ489"/>
  <c r="AJ491"/>
  <c r="AJ493"/>
  <c r="AJ495"/>
  <c r="AJ497"/>
  <c r="AJ499"/>
  <c r="AJ501"/>
  <c r="AJ503"/>
  <c r="AJ505"/>
  <c r="AJ6"/>
  <c r="AE21"/>
  <c r="AE23"/>
  <c r="AE25"/>
  <c r="AE27"/>
  <c r="AE29"/>
  <c r="AE31"/>
  <c r="AE33"/>
  <c r="AE35"/>
  <c r="AE37"/>
  <c r="AE34"/>
  <c r="AE38"/>
  <c r="AE40"/>
  <c r="AE42"/>
  <c r="AE44"/>
  <c r="AE46"/>
  <c r="AE48"/>
  <c r="AE50"/>
  <c r="AE52"/>
  <c r="AE54"/>
  <c r="AE56"/>
  <c r="AE58"/>
  <c r="AE60"/>
  <c r="AE62"/>
  <c r="AE64"/>
  <c r="AE66"/>
  <c r="AE68"/>
  <c r="AE70"/>
  <c r="AE72"/>
  <c r="AE74"/>
  <c r="AE76"/>
  <c r="AE78"/>
  <c r="AE80"/>
  <c r="AE82"/>
  <c r="AE84"/>
  <c r="AE86"/>
  <c r="AE88"/>
  <c r="AE90"/>
  <c r="AE92"/>
  <c r="AE94"/>
  <c r="AE96"/>
  <c r="AE98"/>
  <c r="AE100"/>
  <c r="AE102"/>
  <c r="AE104"/>
  <c r="AE106"/>
  <c r="AE108"/>
  <c r="AE110"/>
  <c r="AE112"/>
  <c r="AE114"/>
  <c r="AE116"/>
  <c r="AE118"/>
  <c r="AE120"/>
  <c r="AE122"/>
  <c r="AE124"/>
  <c r="AE126"/>
  <c r="AE128"/>
  <c r="AE130"/>
  <c r="AE132"/>
  <c r="AE134"/>
  <c r="AE136"/>
  <c r="AE138"/>
  <c r="AE140"/>
  <c r="AE142"/>
  <c r="AE144"/>
  <c r="AE146"/>
  <c r="AE148"/>
  <c r="AE150"/>
  <c r="AE152"/>
  <c r="AE154"/>
  <c r="AE156"/>
  <c r="AE158"/>
  <c r="AE160"/>
  <c r="AE162"/>
  <c r="AE164"/>
  <c r="AE166"/>
  <c r="AE168"/>
  <c r="AE170"/>
  <c r="AE172"/>
  <c r="AE174"/>
  <c r="AE176"/>
  <c r="AE178"/>
  <c r="AE180"/>
  <c r="AE182"/>
  <c r="AE184"/>
  <c r="AE186"/>
  <c r="AE188"/>
  <c r="AE190"/>
  <c r="AE192"/>
  <c r="AE194"/>
  <c r="AE196"/>
  <c r="AE198"/>
  <c r="AE200"/>
  <c r="AE202"/>
  <c r="AE204"/>
  <c r="AE206"/>
  <c r="AE208"/>
  <c r="AE210"/>
  <c r="AE212"/>
  <c r="AE214"/>
  <c r="AE216"/>
  <c r="AE218"/>
  <c r="AE220"/>
  <c r="AE222"/>
  <c r="AE224"/>
  <c r="AE226"/>
  <c r="AE228"/>
  <c r="AE230"/>
  <c r="AE232"/>
  <c r="AE234"/>
  <c r="AE236"/>
  <c r="AE238"/>
  <c r="AE240"/>
  <c r="AE242"/>
  <c r="AE244"/>
  <c r="AE246"/>
  <c r="AE248"/>
  <c r="AE250"/>
  <c r="AE252"/>
  <c r="AE254"/>
  <c r="AE256"/>
  <c r="AE8"/>
  <c r="AE10"/>
  <c r="AE12"/>
  <c r="AE14"/>
  <c r="AE16"/>
  <c r="AE18"/>
  <c r="AE6"/>
  <c r="AE32"/>
  <c r="AE36"/>
  <c r="AE39"/>
  <c r="AE41"/>
  <c r="AE43"/>
  <c r="AE45"/>
  <c r="AE47"/>
  <c r="AE49"/>
  <c r="AE51"/>
  <c r="AE53"/>
  <c r="AE55"/>
  <c r="AE57"/>
  <c r="AE59"/>
  <c r="AE61"/>
  <c r="AE63"/>
  <c r="AE65"/>
  <c r="AE67"/>
  <c r="AE69"/>
  <c r="AE71"/>
  <c r="AE73"/>
  <c r="AE75"/>
  <c r="AE77"/>
  <c r="AE79"/>
  <c r="AE81"/>
  <c r="AE83"/>
  <c r="AE85"/>
  <c r="AE87"/>
  <c r="AE89"/>
  <c r="AE91"/>
  <c r="AE93"/>
  <c r="AE95"/>
  <c r="AE97"/>
  <c r="AE99"/>
  <c r="AE101"/>
  <c r="AE103"/>
  <c r="AE105"/>
  <c r="AE107"/>
  <c r="AE109"/>
  <c r="AE111"/>
  <c r="AE113"/>
  <c r="AE115"/>
  <c r="AE117"/>
  <c r="AE119"/>
  <c r="AE121"/>
  <c r="AE123"/>
  <c r="AE125"/>
  <c r="AE127"/>
  <c r="AE129"/>
  <c r="AE131"/>
  <c r="AE133"/>
  <c r="AE135"/>
  <c r="AE137"/>
  <c r="AE139"/>
  <c r="AE141"/>
  <c r="AE143"/>
  <c r="AE145"/>
  <c r="AE147"/>
  <c r="AE149"/>
  <c r="AE151"/>
  <c r="AE153"/>
  <c r="AE155"/>
  <c r="AE157"/>
  <c r="AE159"/>
  <c r="AE161"/>
  <c r="AE163"/>
  <c r="AE165"/>
  <c r="AE167"/>
  <c r="AE169"/>
  <c r="AE171"/>
  <c r="AE173"/>
  <c r="AE175"/>
  <c r="AE177"/>
  <c r="AE179"/>
  <c r="AE181"/>
  <c r="AE183"/>
  <c r="AE185"/>
  <c r="AE187"/>
  <c r="AE189"/>
  <c r="AE191"/>
  <c r="AE193"/>
  <c r="AE195"/>
  <c r="AE197"/>
  <c r="AE199"/>
  <c r="AE201"/>
  <c r="AE203"/>
  <c r="AE205"/>
  <c r="AE207"/>
  <c r="AE209"/>
  <c r="AE211"/>
  <c r="AE213"/>
  <c r="AE215"/>
  <c r="AE217"/>
  <c r="AE219"/>
  <c r="AE221"/>
  <c r="AE223"/>
  <c r="AE225"/>
  <c r="AE227"/>
  <c r="AE229"/>
  <c r="AE231"/>
  <c r="AE233"/>
  <c r="AE235"/>
  <c r="AE237"/>
  <c r="AE239"/>
  <c r="AE241"/>
  <c r="AE243"/>
  <c r="AE245"/>
  <c r="AE247"/>
  <c r="AE249"/>
  <c r="AE251"/>
  <c r="AE253"/>
  <c r="AE255"/>
  <c r="AE7"/>
  <c r="AE9"/>
  <c r="AE11"/>
  <c r="AE13"/>
  <c r="AE15"/>
  <c r="AE17"/>
  <c r="AE19"/>
  <c r="B3" i="12"/>
  <c r="G14" i="8"/>
  <c r="G13"/>
  <c r="AA81" s="1"/>
  <c r="G16"/>
  <c r="D7"/>
  <c r="B38" i="3"/>
  <c r="B45"/>
  <c r="B40"/>
  <c r="B18"/>
  <c r="F34" i="4"/>
  <c r="F37" s="1"/>
  <c r="C56"/>
  <c r="F51"/>
  <c r="F52" s="1"/>
  <c r="F53" s="1"/>
  <c r="B40" i="10" s="1"/>
  <c r="V91" i="8"/>
  <c r="V96" s="1"/>
  <c r="Z91"/>
  <c r="Z92" s="1"/>
  <c r="Z93" s="1"/>
  <c r="Z94" s="1"/>
  <c r="V92"/>
  <c r="V97" s="1"/>
  <c r="B17" i="1"/>
  <c r="B15"/>
  <c r="B58" i="3" l="1"/>
  <c r="B62" s="1"/>
  <c r="C6" i="4" s="1"/>
  <c r="B63" i="3"/>
  <c r="B54"/>
  <c r="C10" i="4" s="1"/>
  <c r="AA79" i="8"/>
  <c r="Z79"/>
  <c r="C61" i="5"/>
  <c r="F15" i="4"/>
  <c r="F18" s="1"/>
  <c r="C16"/>
  <c r="B11" i="5" s="1"/>
  <c r="B66" i="3"/>
  <c r="B71"/>
  <c r="J14" i="8" s="1"/>
  <c r="B70" i="3"/>
  <c r="D6" i="8"/>
  <c r="B11" i="3"/>
  <c r="C18" i="4"/>
  <c r="C17" s="1"/>
  <c r="B47" i="3"/>
  <c r="B46"/>
  <c r="C44" i="4"/>
  <c r="F46" s="1"/>
  <c r="E56" i="5"/>
  <c r="G7" i="8"/>
  <c r="AA90" s="1"/>
  <c r="AA95" s="1"/>
  <c r="AA14"/>
  <c r="AE15"/>
  <c r="Z16"/>
  <c r="AA18"/>
  <c r="Z20"/>
  <c r="Z22"/>
  <c r="Z24"/>
  <c r="Z26"/>
  <c r="Z28"/>
  <c r="Z30"/>
  <c r="Z32"/>
  <c r="V93"/>
  <c r="V98" s="1"/>
  <c r="AA128"/>
  <c r="AE218"/>
  <c r="AE14"/>
  <c r="AE19" s="1"/>
  <c r="Z15"/>
  <c r="AE16"/>
  <c r="Z17"/>
  <c r="Z18"/>
  <c r="AA20"/>
  <c r="AA22"/>
  <c r="AA24"/>
  <c r="AA26"/>
  <c r="AA28"/>
  <c r="AA30"/>
  <c r="AA32"/>
  <c r="AE81"/>
  <c r="AA92"/>
  <c r="AA93" s="1"/>
  <c r="V118"/>
  <c r="Z128"/>
  <c r="D18"/>
  <c r="V79"/>
  <c r="AA15"/>
  <c r="V16"/>
  <c r="AA17"/>
  <c r="Z19"/>
  <c r="Z21"/>
  <c r="Z23"/>
  <c r="Z25"/>
  <c r="Z27"/>
  <c r="Z29"/>
  <c r="Z31"/>
  <c r="V78"/>
  <c r="AE119"/>
  <c r="AE120" s="1"/>
  <c r="AE210"/>
  <c r="Z14"/>
  <c r="V15"/>
  <c r="AA16"/>
  <c r="V17"/>
  <c r="V18"/>
  <c r="AA19"/>
  <c r="AA21"/>
  <c r="AA23"/>
  <c r="AA25"/>
  <c r="AA27"/>
  <c r="AA29"/>
  <c r="AA31"/>
  <c r="AE78"/>
  <c r="AE82" s="1"/>
  <c r="V90"/>
  <c r="V95" s="1"/>
  <c r="V104"/>
  <c r="V128"/>
  <c r="AE196"/>
  <c r="AE79"/>
  <c r="AE80" s="1"/>
  <c r="D15"/>
  <c r="B33" i="3"/>
  <c r="B19"/>
  <c r="C14" i="4"/>
  <c r="C15" s="1"/>
  <c r="C19" s="1"/>
  <c r="C34"/>
  <c r="C35" s="1"/>
  <c r="F21"/>
  <c r="B20" i="7"/>
  <c r="F38" i="4"/>
  <c r="B59" i="3" l="1"/>
  <c r="B56" s="1"/>
  <c r="H6" i="6" s="1"/>
  <c r="C7" i="4"/>
  <c r="C8" s="1"/>
  <c r="F6"/>
  <c r="AA83" i="8"/>
  <c r="AA80"/>
  <c r="AA82" s="1"/>
  <c r="Z82"/>
  <c r="Z83" s="1"/>
  <c r="Z80"/>
  <c r="D51" i="3"/>
  <c r="D50"/>
  <c r="C43" i="4"/>
  <c r="AE199" i="8"/>
  <c r="AE197"/>
  <c r="AE198" s="1"/>
  <c r="AE200"/>
  <c r="V105"/>
  <c r="V110"/>
  <c r="V107"/>
  <c r="V113" s="1"/>
  <c r="V108"/>
  <c r="V114" s="1"/>
  <c r="V84"/>
  <c r="V80"/>
  <c r="V85" s="1"/>
  <c r="Z129"/>
  <c r="Z150"/>
  <c r="AE219"/>
  <c r="AE220" s="1"/>
  <c r="AE222"/>
  <c r="AE221"/>
  <c r="G8"/>
  <c r="AA91" s="1"/>
  <c r="AA94" s="1"/>
  <c r="F56" i="5"/>
  <c r="G56" s="1"/>
  <c r="AD16" i="8"/>
  <c r="W16"/>
  <c r="W17"/>
  <c r="AD17"/>
  <c r="W128"/>
  <c r="AD128"/>
  <c r="AD129" s="1"/>
  <c r="V129"/>
  <c r="V150"/>
  <c r="AE213"/>
  <c r="AE211"/>
  <c r="AE212" s="1"/>
  <c r="AE214"/>
  <c r="V81"/>
  <c r="V86" s="1"/>
  <c r="V83"/>
  <c r="AA54"/>
  <c r="AA74" s="1"/>
  <c r="AA50"/>
  <c r="AA70" s="1"/>
  <c r="AA46"/>
  <c r="AA66" s="1"/>
  <c r="AA42"/>
  <c r="AA62" s="1"/>
  <c r="AA38"/>
  <c r="AA58" s="1"/>
  <c r="Z53"/>
  <c r="Z73" s="1"/>
  <c r="Z49"/>
  <c r="Z69" s="1"/>
  <c r="Z45"/>
  <c r="Z65" s="1"/>
  <c r="Z42"/>
  <c r="Z62" s="1"/>
  <c r="V40"/>
  <c r="V60" s="1"/>
  <c r="Z37"/>
  <c r="Z57" s="1"/>
  <c r="AA51"/>
  <c r="AA71" s="1"/>
  <c r="AA47"/>
  <c r="AA67" s="1"/>
  <c r="AA43"/>
  <c r="AA63" s="1"/>
  <c r="AA39"/>
  <c r="AA59" s="1"/>
  <c r="AA36"/>
  <c r="AA56" s="1"/>
  <c r="Z52"/>
  <c r="Z72" s="1"/>
  <c r="Z48"/>
  <c r="Z68" s="1"/>
  <c r="Z44"/>
  <c r="Z64" s="1"/>
  <c r="Z40"/>
  <c r="Z60" s="1"/>
  <c r="Z38"/>
  <c r="Z58" s="1"/>
  <c r="AA52"/>
  <c r="AA72" s="1"/>
  <c r="AA48"/>
  <c r="AA68" s="1"/>
  <c r="AA44"/>
  <c r="AA64" s="1"/>
  <c r="AA40"/>
  <c r="AA60" s="1"/>
  <c r="AA37"/>
  <c r="AA57" s="1"/>
  <c r="Z51"/>
  <c r="Z71" s="1"/>
  <c r="Z47"/>
  <c r="Z67" s="1"/>
  <c r="Z43"/>
  <c r="Z63" s="1"/>
  <c r="V41"/>
  <c r="V39"/>
  <c r="V59" s="1"/>
  <c r="Z36"/>
  <c r="Z56" s="1"/>
  <c r="AA53"/>
  <c r="AA73" s="1"/>
  <c r="AA49"/>
  <c r="AA69" s="1"/>
  <c r="AA45"/>
  <c r="AA65" s="1"/>
  <c r="AA41"/>
  <c r="AA61" s="1"/>
  <c r="AE37"/>
  <c r="Z54"/>
  <c r="Z74" s="1"/>
  <c r="Z50"/>
  <c r="Z70" s="1"/>
  <c r="Z46"/>
  <c r="Z66" s="1"/>
  <c r="Z41"/>
  <c r="Z61" s="1"/>
  <c r="Z39"/>
  <c r="Z59" s="1"/>
  <c r="V37"/>
  <c r="V119"/>
  <c r="V122"/>
  <c r="V120"/>
  <c r="V121" s="1"/>
  <c r="AA129"/>
  <c r="AA173"/>
  <c r="AA150"/>
  <c r="C47" i="4"/>
  <c r="B10" i="5"/>
  <c r="F20" i="4"/>
  <c r="F23" s="1"/>
  <c r="C45"/>
  <c r="C12" i="6"/>
  <c r="D11" i="8"/>
  <c r="B7" i="6"/>
  <c r="B12"/>
  <c r="C7"/>
  <c r="B29" i="3"/>
  <c r="B21" i="7"/>
  <c r="E7" i="6"/>
  <c r="J15" i="8"/>
  <c r="B8" i="6"/>
  <c r="G12" i="8"/>
  <c r="B3" i="7"/>
  <c r="B6" i="6"/>
  <c r="C6"/>
  <c r="K3" i="7"/>
  <c r="G6" i="6"/>
  <c r="B14" i="7"/>
  <c r="B7"/>
  <c r="B48" i="3"/>
  <c r="B51" s="1"/>
  <c r="B74" s="1"/>
  <c r="B24" i="7"/>
  <c r="I42" i="4"/>
  <c r="I43" s="1"/>
  <c r="I44" s="1"/>
  <c r="I45" s="1"/>
  <c r="I59" s="1"/>
  <c r="F47"/>
  <c r="V43" i="8"/>
  <c r="V63" s="1"/>
  <c r="V36"/>
  <c r="B34" i="3"/>
  <c r="C38" i="4" s="1"/>
  <c r="C37" s="1"/>
  <c r="C36"/>
  <c r="B10" i="7" l="1"/>
  <c r="U5" i="4"/>
  <c r="AI5"/>
  <c r="L3" i="7"/>
  <c r="B28" i="5"/>
  <c r="C28" s="1"/>
  <c r="F25" i="4"/>
  <c r="C51"/>
  <c r="C52" s="1"/>
  <c r="C60" s="1"/>
  <c r="L59" s="1"/>
  <c r="F26"/>
  <c r="F28" s="1"/>
  <c r="F7"/>
  <c r="I5"/>
  <c r="C39"/>
  <c r="B25" i="7"/>
  <c r="C4" i="6"/>
  <c r="K25" i="7"/>
  <c r="G4" i="6"/>
  <c r="B11" i="7"/>
  <c r="L25"/>
  <c r="H4" i="6"/>
  <c r="G6" i="8"/>
  <c r="B4" i="6"/>
  <c r="B5"/>
  <c r="C13"/>
  <c r="B13"/>
  <c r="AD37" i="8"/>
  <c r="W37"/>
  <c r="W39"/>
  <c r="AD36"/>
  <c r="W36"/>
  <c r="W38"/>
  <c r="V42"/>
  <c r="V62" s="1"/>
  <c r="V61"/>
  <c r="V130"/>
  <c r="V152" s="1"/>
  <c r="V132"/>
  <c r="V154" s="1"/>
  <c r="V134"/>
  <c r="V156" s="1"/>
  <c r="V136"/>
  <c r="V158" s="1"/>
  <c r="V138"/>
  <c r="V160" s="1"/>
  <c r="V140"/>
  <c r="V162" s="1"/>
  <c r="V142"/>
  <c r="V164" s="1"/>
  <c r="V144"/>
  <c r="V166" s="1"/>
  <c r="V146"/>
  <c r="V168" s="1"/>
  <c r="V151"/>
  <c r="V131"/>
  <c r="V153" s="1"/>
  <c r="V133"/>
  <c r="V155" s="1"/>
  <c r="V135"/>
  <c r="V157" s="1"/>
  <c r="V137"/>
  <c r="V159" s="1"/>
  <c r="V139"/>
  <c r="V161" s="1"/>
  <c r="V141"/>
  <c r="V163" s="1"/>
  <c r="V143"/>
  <c r="V165" s="1"/>
  <c r="V145"/>
  <c r="V167" s="1"/>
  <c r="V147"/>
  <c r="V169" s="1"/>
  <c r="W129"/>
  <c r="W150"/>
  <c r="AD78"/>
  <c r="W79"/>
  <c r="W78"/>
  <c r="W83" s="1"/>
  <c r="W81"/>
  <c r="W86" s="1"/>
  <c r="W173"/>
  <c r="AD173"/>
  <c r="AD174" s="1"/>
  <c r="AA130"/>
  <c r="AA133"/>
  <c r="AA151"/>
  <c r="AA131"/>
  <c r="AA134"/>
  <c r="AA174"/>
  <c r="V38"/>
  <c r="V58" s="1"/>
  <c r="V57"/>
  <c r="AE38"/>
  <c r="AE39" s="1"/>
  <c r="AE40" s="1"/>
  <c r="AE36"/>
  <c r="AE41"/>
  <c r="AE42" s="1"/>
  <c r="AD131"/>
  <c r="AD133"/>
  <c r="AD135"/>
  <c r="AD137"/>
  <c r="AD139"/>
  <c r="AD141"/>
  <c r="AD143"/>
  <c r="AD145"/>
  <c r="AD147"/>
  <c r="AD130"/>
  <c r="AD132"/>
  <c r="AD134"/>
  <c r="AD136"/>
  <c r="AD138"/>
  <c r="AD140"/>
  <c r="AD142"/>
  <c r="AD144"/>
  <c r="AD146"/>
  <c r="E49" i="6"/>
  <c r="B49" s="1"/>
  <c r="C56" i="5"/>
  <c r="Z130" i="8"/>
  <c r="Z151"/>
  <c r="Z134"/>
  <c r="Z156" s="1"/>
  <c r="V106"/>
  <c r="V112" s="1"/>
  <c r="V111"/>
  <c r="V44"/>
  <c r="V56"/>
  <c r="V64" s="1"/>
  <c r="F59" i="4"/>
  <c r="F11" l="1"/>
  <c r="B13" i="7"/>
  <c r="B16" s="1"/>
  <c r="I6" i="4"/>
  <c r="I7" s="1"/>
  <c r="I8" s="1"/>
  <c r="B21" i="6"/>
  <c r="C59" i="4"/>
  <c r="C61" s="1"/>
  <c r="F30"/>
  <c r="H25" s="1"/>
  <c r="AD5"/>
  <c r="B2" i="7"/>
  <c r="Z131" i="8"/>
  <c r="Z152"/>
  <c r="AE43"/>
  <c r="AE44"/>
  <c r="AA153"/>
  <c r="AA132"/>
  <c r="AA176"/>
  <c r="AA155"/>
  <c r="AA178"/>
  <c r="AD175"/>
  <c r="AD178"/>
  <c r="AD179"/>
  <c r="AD181"/>
  <c r="AD183"/>
  <c r="AD185"/>
  <c r="AD187"/>
  <c r="AD189"/>
  <c r="AD191"/>
  <c r="AD176"/>
  <c r="AD177"/>
  <c r="AD180"/>
  <c r="AD182"/>
  <c r="AD184"/>
  <c r="AD186"/>
  <c r="AD188"/>
  <c r="AD190"/>
  <c r="AD192"/>
  <c r="W80"/>
  <c r="W85" s="1"/>
  <c r="W84"/>
  <c r="W131"/>
  <c r="W153" s="1"/>
  <c r="W133"/>
  <c r="W155" s="1"/>
  <c r="W135"/>
  <c r="W157" s="1"/>
  <c r="W137"/>
  <c r="W159" s="1"/>
  <c r="W139"/>
  <c r="W161" s="1"/>
  <c r="W141"/>
  <c r="W163" s="1"/>
  <c r="W143"/>
  <c r="W165" s="1"/>
  <c r="W145"/>
  <c r="W167" s="1"/>
  <c r="W147"/>
  <c r="W169" s="1"/>
  <c r="W130"/>
  <c r="W152" s="1"/>
  <c r="W132"/>
  <c r="W154" s="1"/>
  <c r="W134"/>
  <c r="W156" s="1"/>
  <c r="W136"/>
  <c r="W158" s="1"/>
  <c r="W138"/>
  <c r="W160" s="1"/>
  <c r="W140"/>
  <c r="W162" s="1"/>
  <c r="W142"/>
  <c r="W164" s="1"/>
  <c r="W144"/>
  <c r="W166" s="1"/>
  <c r="W146"/>
  <c r="W168" s="1"/>
  <c r="W151"/>
  <c r="W41"/>
  <c r="W61" s="1"/>
  <c r="W58"/>
  <c r="AD44"/>
  <c r="AD43"/>
  <c r="W42"/>
  <c r="W62" s="1"/>
  <c r="W57"/>
  <c r="B28" i="6"/>
  <c r="B29"/>
  <c r="W90" i="8"/>
  <c r="W95" s="1"/>
  <c r="W93"/>
  <c r="W98" s="1"/>
  <c r="W105"/>
  <c r="W104"/>
  <c r="W107"/>
  <c r="W113" s="1"/>
  <c r="W91"/>
  <c r="B50" i="6"/>
  <c r="J6" i="8"/>
  <c r="C58" i="5"/>
  <c r="B56"/>
  <c r="B58" s="1"/>
  <c r="AA156" i="8"/>
  <c r="AA179"/>
  <c r="AA152"/>
  <c r="AA175"/>
  <c r="AD79"/>
  <c r="AD80" s="1"/>
  <c r="AD82"/>
  <c r="AD81"/>
  <c r="W43"/>
  <c r="W63" s="1"/>
  <c r="W56"/>
  <c r="W64" s="1"/>
  <c r="W44"/>
  <c r="W40"/>
  <c r="W60" s="1"/>
  <c r="W59"/>
  <c r="AD38"/>
  <c r="AD42"/>
  <c r="C67" i="4"/>
  <c r="B17" i="7" l="1"/>
  <c r="B27"/>
  <c r="B28" s="1"/>
  <c r="I14" i="4"/>
  <c r="I58" s="1"/>
  <c r="F31"/>
  <c r="AD39" i="8"/>
  <c r="AD40" s="1"/>
  <c r="AD41"/>
  <c r="W111"/>
  <c r="W106"/>
  <c r="W112" s="1"/>
  <c r="Z132"/>
  <c r="Z153"/>
  <c r="B30" i="6"/>
  <c r="B22" i="5"/>
  <c r="G47"/>
  <c r="B14"/>
  <c r="B21"/>
  <c r="AD118" i="8"/>
  <c r="W118"/>
  <c r="W92"/>
  <c r="W97" s="1"/>
  <c r="W96"/>
  <c r="W108"/>
  <c r="W114" s="1"/>
  <c r="W110"/>
  <c r="AA154"/>
  <c r="AA177"/>
  <c r="B51" i="6"/>
  <c r="F58" i="4" l="1"/>
  <c r="F60" s="1"/>
  <c r="P5" s="1"/>
  <c r="V5"/>
  <c r="L58"/>
  <c r="I60"/>
  <c r="L60" s="1"/>
  <c r="B15" i="6"/>
  <c r="B14"/>
  <c r="AD119" i="8"/>
  <c r="AD120" s="1"/>
  <c r="AD121" s="1"/>
  <c r="AD122"/>
  <c r="W121"/>
  <c r="W119"/>
  <c r="W120" s="1"/>
  <c r="W122"/>
  <c r="B26" i="5"/>
  <c r="B12"/>
  <c r="Z154" i="8"/>
  <c r="Z133"/>
  <c r="Z155" s="1"/>
  <c r="B23" i="5"/>
  <c r="B9" i="9" l="1"/>
  <c r="C66" i="4"/>
  <c r="C68"/>
  <c r="L62"/>
  <c r="L63" s="1"/>
  <c r="Q5"/>
  <c r="B16" i="6"/>
  <c r="B31" i="5"/>
  <c r="B24" i="6" s="1"/>
  <c r="C26" i="5"/>
  <c r="C62" s="1"/>
  <c r="C63" s="1"/>
  <c r="B15"/>
  <c r="B9" i="6" s="1"/>
  <c r="C69" i="4" l="1"/>
  <c r="B39" i="5"/>
  <c r="B43" l="1"/>
  <c r="B47" s="1"/>
  <c r="B32" i="6"/>
  <c r="B10" i="13" l="1"/>
  <c r="D66" i="5"/>
  <c r="B68"/>
  <c r="B67"/>
  <c r="B36" i="6"/>
  <c r="B40"/>
  <c r="B71" i="5"/>
  <c r="B65"/>
  <c r="F47"/>
  <c r="N9" i="10" l="1"/>
  <c r="L9" s="1"/>
  <c r="M9" s="1"/>
  <c r="B21"/>
  <c r="B27"/>
  <c r="B10" i="9"/>
  <c r="B56" i="6"/>
  <c r="B55"/>
  <c r="B30" i="7" s="1"/>
  <c r="B58" i="6"/>
  <c r="B32" i="7" s="1"/>
  <c r="B53" i="6"/>
  <c r="W12" i="4" l="1"/>
  <c r="X12" s="1"/>
  <c r="W14"/>
  <c r="W16"/>
  <c r="X16" s="1"/>
  <c r="W18"/>
  <c r="W20"/>
  <c r="X20" s="1"/>
  <c r="W22"/>
  <c r="W24"/>
  <c r="X24" s="1"/>
  <c r="W26"/>
  <c r="W28"/>
  <c r="X28" s="1"/>
  <c r="W30"/>
  <c r="W32"/>
  <c r="X32" s="1"/>
  <c r="W34"/>
  <c r="W36"/>
  <c r="X36" s="1"/>
  <c r="W38"/>
  <c r="W40"/>
  <c r="X40" s="1"/>
  <c r="W42"/>
  <c r="W44"/>
  <c r="X44" s="1"/>
  <c r="W46"/>
  <c r="W48"/>
  <c r="X48" s="1"/>
  <c r="W50"/>
  <c r="W52"/>
  <c r="X52" s="1"/>
  <c r="W54"/>
  <c r="W56"/>
  <c r="X56" s="1"/>
  <c r="W58"/>
  <c r="W60"/>
  <c r="X60" s="1"/>
  <c r="W62"/>
  <c r="W64"/>
  <c r="X64" s="1"/>
  <c r="W66"/>
  <c r="W68"/>
  <c r="X68" s="1"/>
  <c r="W70"/>
  <c r="W72"/>
  <c r="X72" s="1"/>
  <c r="W74"/>
  <c r="W76"/>
  <c r="X76" s="1"/>
  <c r="W78"/>
  <c r="W80"/>
  <c r="X80" s="1"/>
  <c r="W82"/>
  <c r="W84"/>
  <c r="X84" s="1"/>
  <c r="W86"/>
  <c r="W88"/>
  <c r="X88" s="1"/>
  <c r="W90"/>
  <c r="W92"/>
  <c r="X92" s="1"/>
  <c r="W94"/>
  <c r="W96"/>
  <c r="X96" s="1"/>
  <c r="W98"/>
  <c r="W100"/>
  <c r="X100" s="1"/>
  <c r="W102"/>
  <c r="W104"/>
  <c r="X104" s="1"/>
  <c r="W106"/>
  <c r="W108"/>
  <c r="X108" s="1"/>
  <c r="W110"/>
  <c r="W112"/>
  <c r="X112" s="1"/>
  <c r="W114"/>
  <c r="W116"/>
  <c r="X116" s="1"/>
  <c r="W118"/>
  <c r="W120"/>
  <c r="W122"/>
  <c r="W124"/>
  <c r="X124" s="1"/>
  <c r="W126"/>
  <c r="W128"/>
  <c r="X128" s="1"/>
  <c r="W130"/>
  <c r="W132"/>
  <c r="X132" s="1"/>
  <c r="W134"/>
  <c r="W136"/>
  <c r="X136" s="1"/>
  <c r="W138"/>
  <c r="W140"/>
  <c r="X140" s="1"/>
  <c r="W142"/>
  <c r="W144"/>
  <c r="X144" s="1"/>
  <c r="W146"/>
  <c r="W148"/>
  <c r="X148" s="1"/>
  <c r="W150"/>
  <c r="W152"/>
  <c r="X152" s="1"/>
  <c r="W154"/>
  <c r="W156"/>
  <c r="X156" s="1"/>
  <c r="W158"/>
  <c r="W160"/>
  <c r="X160" s="1"/>
  <c r="W162"/>
  <c r="W164"/>
  <c r="X164" s="1"/>
  <c r="W166"/>
  <c r="W168"/>
  <c r="X168" s="1"/>
  <c r="W170"/>
  <c r="W172"/>
  <c r="X172" s="1"/>
  <c r="W174"/>
  <c r="W176"/>
  <c r="X176" s="1"/>
  <c r="W178"/>
  <c r="W180"/>
  <c r="X180" s="1"/>
  <c r="W182"/>
  <c r="W184"/>
  <c r="X184" s="1"/>
  <c r="W186"/>
  <c r="W188"/>
  <c r="W190"/>
  <c r="W192"/>
  <c r="X192" s="1"/>
  <c r="W194"/>
  <c r="W196"/>
  <c r="X196" s="1"/>
  <c r="W198"/>
  <c r="W200"/>
  <c r="X200" s="1"/>
  <c r="W202"/>
  <c r="W204"/>
  <c r="X204" s="1"/>
  <c r="W206"/>
  <c r="W208"/>
  <c r="X208" s="1"/>
  <c r="W210"/>
  <c r="W212"/>
  <c r="X212" s="1"/>
  <c r="W214"/>
  <c r="W216"/>
  <c r="X216" s="1"/>
  <c r="W218"/>
  <c r="W220"/>
  <c r="X220" s="1"/>
  <c r="W222"/>
  <c r="W224"/>
  <c r="X224" s="1"/>
  <c r="W226"/>
  <c r="W228"/>
  <c r="X228" s="1"/>
  <c r="W230"/>
  <c r="W232"/>
  <c r="X232" s="1"/>
  <c r="W234"/>
  <c r="W236"/>
  <c r="X236" s="1"/>
  <c r="W238"/>
  <c r="W240"/>
  <c r="X240" s="1"/>
  <c r="W242"/>
  <c r="W244"/>
  <c r="X244" s="1"/>
  <c r="W246"/>
  <c r="W248"/>
  <c r="X248" s="1"/>
  <c r="W250"/>
  <c r="W252"/>
  <c r="X252" s="1"/>
  <c r="W254"/>
  <c r="W256"/>
  <c r="X256" s="1"/>
  <c r="W258"/>
  <c r="W260"/>
  <c r="X260" s="1"/>
  <c r="W262"/>
  <c r="W264"/>
  <c r="X264" s="1"/>
  <c r="W266"/>
  <c r="W268"/>
  <c r="X268" s="1"/>
  <c r="W270"/>
  <c r="W272"/>
  <c r="X272" s="1"/>
  <c r="W274"/>
  <c r="W276"/>
  <c r="X276" s="1"/>
  <c r="W278"/>
  <c r="W280"/>
  <c r="X280" s="1"/>
  <c r="W282"/>
  <c r="W284"/>
  <c r="X284" s="1"/>
  <c r="W286"/>
  <c r="W288"/>
  <c r="X288" s="1"/>
  <c r="W290"/>
  <c r="W292"/>
  <c r="X292" s="1"/>
  <c r="W294"/>
  <c r="W296"/>
  <c r="X296" s="1"/>
  <c r="W298"/>
  <c r="W300"/>
  <c r="X300" s="1"/>
  <c r="W302"/>
  <c r="W304"/>
  <c r="X304" s="1"/>
  <c r="W306"/>
  <c r="W308"/>
  <c r="X308" s="1"/>
  <c r="W310"/>
  <c r="W312"/>
  <c r="X312" s="1"/>
  <c r="W314"/>
  <c r="W316"/>
  <c r="X316" s="1"/>
  <c r="W318"/>
  <c r="W320"/>
  <c r="X320" s="1"/>
  <c r="W322"/>
  <c r="W324"/>
  <c r="X324" s="1"/>
  <c r="W326"/>
  <c r="W328"/>
  <c r="X328" s="1"/>
  <c r="W330"/>
  <c r="W332"/>
  <c r="X332" s="1"/>
  <c r="W334"/>
  <c r="W336"/>
  <c r="X336" s="1"/>
  <c r="W338"/>
  <c r="W340"/>
  <c r="X340" s="1"/>
  <c r="W342"/>
  <c r="W344"/>
  <c r="X344" s="1"/>
  <c r="W346"/>
  <c r="W348"/>
  <c r="X348" s="1"/>
  <c r="W350"/>
  <c r="W352"/>
  <c r="X352" s="1"/>
  <c r="W354"/>
  <c r="W356"/>
  <c r="X356" s="1"/>
  <c r="W358"/>
  <c r="W360"/>
  <c r="X360" s="1"/>
  <c r="W362"/>
  <c r="W364"/>
  <c r="X364" s="1"/>
  <c r="W366"/>
  <c r="W368"/>
  <c r="X368" s="1"/>
  <c r="W370"/>
  <c r="W372"/>
  <c r="X372" s="1"/>
  <c r="W374"/>
  <c r="W376"/>
  <c r="X376" s="1"/>
  <c r="W378"/>
  <c r="W380"/>
  <c r="X380" s="1"/>
  <c r="W382"/>
  <c r="W384"/>
  <c r="X384" s="1"/>
  <c r="W386"/>
  <c r="W388"/>
  <c r="X388" s="1"/>
  <c r="W390"/>
  <c r="W392"/>
  <c r="X392" s="1"/>
  <c r="W394"/>
  <c r="W396"/>
  <c r="X396" s="1"/>
  <c r="W398"/>
  <c r="W400"/>
  <c r="X400" s="1"/>
  <c r="W402"/>
  <c r="W404"/>
  <c r="X404" s="1"/>
  <c r="W406"/>
  <c r="W408"/>
  <c r="X408" s="1"/>
  <c r="W410"/>
  <c r="W412"/>
  <c r="X412" s="1"/>
  <c r="W414"/>
  <c r="W416"/>
  <c r="X416" s="1"/>
  <c r="W418"/>
  <c r="W420"/>
  <c r="X420" s="1"/>
  <c r="W422"/>
  <c r="W424"/>
  <c r="X424" s="1"/>
  <c r="W426"/>
  <c r="W428"/>
  <c r="X428" s="1"/>
  <c r="W430"/>
  <c r="W432"/>
  <c r="X432" s="1"/>
  <c r="W434"/>
  <c r="W436"/>
  <c r="X436" s="1"/>
  <c r="W438"/>
  <c r="W440"/>
  <c r="X440" s="1"/>
  <c r="W442"/>
  <c r="W444"/>
  <c r="X444" s="1"/>
  <c r="W446"/>
  <c r="W448"/>
  <c r="X448" s="1"/>
  <c r="W450"/>
  <c r="W452"/>
  <c r="X452" s="1"/>
  <c r="W454"/>
  <c r="W456"/>
  <c r="X456" s="1"/>
  <c r="W458"/>
  <c r="W460"/>
  <c r="X460" s="1"/>
  <c r="W462"/>
  <c r="W464"/>
  <c r="X464" s="1"/>
  <c r="W466"/>
  <c r="W468"/>
  <c r="X468" s="1"/>
  <c r="W470"/>
  <c r="W472"/>
  <c r="X472" s="1"/>
  <c r="W474"/>
  <c r="W476"/>
  <c r="X476" s="1"/>
  <c r="W478"/>
  <c r="W480"/>
  <c r="X480" s="1"/>
  <c r="W482"/>
  <c r="W484"/>
  <c r="X484" s="1"/>
  <c r="W486"/>
  <c r="W488"/>
  <c r="X488" s="1"/>
  <c r="W490"/>
  <c r="W492"/>
  <c r="X492" s="1"/>
  <c r="W494"/>
  <c r="W496"/>
  <c r="X496" s="1"/>
  <c r="W498"/>
  <c r="W500"/>
  <c r="X500" s="1"/>
  <c r="W502"/>
  <c r="W504"/>
  <c r="X504" s="1"/>
  <c r="W506"/>
  <c r="W508"/>
  <c r="X508" s="1"/>
  <c r="W510"/>
  <c r="W512"/>
  <c r="X512" s="1"/>
  <c r="W11"/>
  <c r="W13"/>
  <c r="X13" s="1"/>
  <c r="W15"/>
  <c r="W17"/>
  <c r="X17" s="1"/>
  <c r="W19"/>
  <c r="W21"/>
  <c r="X21" s="1"/>
  <c r="W23"/>
  <c r="W25"/>
  <c r="X25" s="1"/>
  <c r="W27"/>
  <c r="W29"/>
  <c r="X29" s="1"/>
  <c r="W31"/>
  <c r="W33"/>
  <c r="X33" s="1"/>
  <c r="W35"/>
  <c r="W37"/>
  <c r="X37" s="1"/>
  <c r="W39"/>
  <c r="W41"/>
  <c r="X41" s="1"/>
  <c r="W43"/>
  <c r="W45"/>
  <c r="X45" s="1"/>
  <c r="W47"/>
  <c r="W49"/>
  <c r="X49" s="1"/>
  <c r="W51"/>
  <c r="W53"/>
  <c r="X53" s="1"/>
  <c r="W55"/>
  <c r="W57"/>
  <c r="X57" s="1"/>
  <c r="W59"/>
  <c r="W61"/>
  <c r="X61" s="1"/>
  <c r="W63"/>
  <c r="W65"/>
  <c r="X65" s="1"/>
  <c r="W67"/>
  <c r="W69"/>
  <c r="X69" s="1"/>
  <c r="W71"/>
  <c r="W73"/>
  <c r="X73" s="1"/>
  <c r="W75"/>
  <c r="W77"/>
  <c r="X77" s="1"/>
  <c r="W79"/>
  <c r="W81"/>
  <c r="X81" s="1"/>
  <c r="W83"/>
  <c r="W85"/>
  <c r="X85" s="1"/>
  <c r="W87"/>
  <c r="W89"/>
  <c r="X89" s="1"/>
  <c r="W91"/>
  <c r="W93"/>
  <c r="X93" s="1"/>
  <c r="W95"/>
  <c r="W97"/>
  <c r="X97" s="1"/>
  <c r="W99"/>
  <c r="W101"/>
  <c r="X101" s="1"/>
  <c r="W103"/>
  <c r="W105"/>
  <c r="X105" s="1"/>
  <c r="W107"/>
  <c r="W109"/>
  <c r="X109" s="1"/>
  <c r="W111"/>
  <c r="W113"/>
  <c r="X113" s="1"/>
  <c r="W115"/>
  <c r="W117"/>
  <c r="X117" s="1"/>
  <c r="W119"/>
  <c r="W121"/>
  <c r="X121" s="1"/>
  <c r="W123"/>
  <c r="W125"/>
  <c r="X125" s="1"/>
  <c r="W127"/>
  <c r="W129"/>
  <c r="X129" s="1"/>
  <c r="W131"/>
  <c r="W133"/>
  <c r="X133" s="1"/>
  <c r="W135"/>
  <c r="W137"/>
  <c r="X137" s="1"/>
  <c r="W139"/>
  <c r="W141"/>
  <c r="X141" s="1"/>
  <c r="W143"/>
  <c r="W145"/>
  <c r="X145" s="1"/>
  <c r="W147"/>
  <c r="W149"/>
  <c r="X149" s="1"/>
  <c r="W151"/>
  <c r="W153"/>
  <c r="X153" s="1"/>
  <c r="W155"/>
  <c r="W157"/>
  <c r="X157" s="1"/>
  <c r="W159"/>
  <c r="W161"/>
  <c r="X161" s="1"/>
  <c r="W163"/>
  <c r="W165"/>
  <c r="X165" s="1"/>
  <c r="W167"/>
  <c r="W169"/>
  <c r="X169" s="1"/>
  <c r="W171"/>
  <c r="W173"/>
  <c r="X173" s="1"/>
  <c r="W175"/>
  <c r="W177"/>
  <c r="X177" s="1"/>
  <c r="W179"/>
  <c r="W181"/>
  <c r="X181" s="1"/>
  <c r="W183"/>
  <c r="W185"/>
  <c r="X185" s="1"/>
  <c r="W187"/>
  <c r="W189"/>
  <c r="X189" s="1"/>
  <c r="W191"/>
  <c r="W193"/>
  <c r="X193" s="1"/>
  <c r="W195"/>
  <c r="W197"/>
  <c r="X197" s="1"/>
  <c r="W199"/>
  <c r="W201"/>
  <c r="X201" s="1"/>
  <c r="W203"/>
  <c r="W205"/>
  <c r="X205" s="1"/>
  <c r="W207"/>
  <c r="W209"/>
  <c r="X209" s="1"/>
  <c r="W211"/>
  <c r="W213"/>
  <c r="X213" s="1"/>
  <c r="W215"/>
  <c r="W217"/>
  <c r="X217" s="1"/>
  <c r="W219"/>
  <c r="W221"/>
  <c r="X221" s="1"/>
  <c r="W223"/>
  <c r="W225"/>
  <c r="X225" s="1"/>
  <c r="W227"/>
  <c r="W229"/>
  <c r="X229" s="1"/>
  <c r="W231"/>
  <c r="W233"/>
  <c r="X233" s="1"/>
  <c r="W235"/>
  <c r="W237"/>
  <c r="X237" s="1"/>
  <c r="W239"/>
  <c r="W241"/>
  <c r="X241" s="1"/>
  <c r="W243"/>
  <c r="W245"/>
  <c r="X245" s="1"/>
  <c r="W247"/>
  <c r="W249"/>
  <c r="X249" s="1"/>
  <c r="W251"/>
  <c r="W253"/>
  <c r="X253" s="1"/>
  <c r="W255"/>
  <c r="W257"/>
  <c r="X257" s="1"/>
  <c r="W259"/>
  <c r="W261"/>
  <c r="X261" s="1"/>
  <c r="W263"/>
  <c r="W265"/>
  <c r="X265" s="1"/>
  <c r="W267"/>
  <c r="W269"/>
  <c r="X269" s="1"/>
  <c r="W271"/>
  <c r="W273"/>
  <c r="X273" s="1"/>
  <c r="W275"/>
  <c r="W277"/>
  <c r="X277" s="1"/>
  <c r="W279"/>
  <c r="W281"/>
  <c r="X281" s="1"/>
  <c r="W283"/>
  <c r="W285"/>
  <c r="X285" s="1"/>
  <c r="W287"/>
  <c r="W289"/>
  <c r="X289" s="1"/>
  <c r="W291"/>
  <c r="W293"/>
  <c r="X293" s="1"/>
  <c r="W295"/>
  <c r="W297"/>
  <c r="X297" s="1"/>
  <c r="W299"/>
  <c r="W301"/>
  <c r="X301" s="1"/>
  <c r="W303"/>
  <c r="W305"/>
  <c r="X305" s="1"/>
  <c r="W307"/>
  <c r="W309"/>
  <c r="X309" s="1"/>
  <c r="W311"/>
  <c r="W313"/>
  <c r="X313" s="1"/>
  <c r="W315"/>
  <c r="W317"/>
  <c r="X317" s="1"/>
  <c r="W319"/>
  <c r="W321"/>
  <c r="X321" s="1"/>
  <c r="W323"/>
  <c r="W325"/>
  <c r="X325" s="1"/>
  <c r="W327"/>
  <c r="W329"/>
  <c r="X329" s="1"/>
  <c r="W331"/>
  <c r="W333"/>
  <c r="X333" s="1"/>
  <c r="W335"/>
  <c r="W337"/>
  <c r="X337" s="1"/>
  <c r="W339"/>
  <c r="W341"/>
  <c r="X341" s="1"/>
  <c r="W343"/>
  <c r="W345"/>
  <c r="X345" s="1"/>
  <c r="W347"/>
  <c r="W349"/>
  <c r="X349" s="1"/>
  <c r="W351"/>
  <c r="W353"/>
  <c r="X353" s="1"/>
  <c r="W355"/>
  <c r="W357"/>
  <c r="X357" s="1"/>
  <c r="W359"/>
  <c r="W361"/>
  <c r="X361" s="1"/>
  <c r="W363"/>
  <c r="W365"/>
  <c r="X365" s="1"/>
  <c r="W367"/>
  <c r="W369"/>
  <c r="X369" s="1"/>
  <c r="W371"/>
  <c r="W373"/>
  <c r="X373" s="1"/>
  <c r="W375"/>
  <c r="W377"/>
  <c r="X377" s="1"/>
  <c r="W379"/>
  <c r="W381"/>
  <c r="X381" s="1"/>
  <c r="W383"/>
  <c r="W385"/>
  <c r="X385" s="1"/>
  <c r="W387"/>
  <c r="W389"/>
  <c r="X389" s="1"/>
  <c r="W391"/>
  <c r="W393"/>
  <c r="X393" s="1"/>
  <c r="W395"/>
  <c r="W397"/>
  <c r="X397" s="1"/>
  <c r="W399"/>
  <c r="W401"/>
  <c r="X401" s="1"/>
  <c r="W403"/>
  <c r="W405"/>
  <c r="X405" s="1"/>
  <c r="W407"/>
  <c r="W409"/>
  <c r="X409" s="1"/>
  <c r="W411"/>
  <c r="W413"/>
  <c r="X413" s="1"/>
  <c r="W415"/>
  <c r="W417"/>
  <c r="X417" s="1"/>
  <c r="W419"/>
  <c r="W421"/>
  <c r="X421" s="1"/>
  <c r="W423"/>
  <c r="W425"/>
  <c r="X425" s="1"/>
  <c r="W427"/>
  <c r="W429"/>
  <c r="X429" s="1"/>
  <c r="W431"/>
  <c r="W433"/>
  <c r="X433" s="1"/>
  <c r="W435"/>
  <c r="W437"/>
  <c r="X437" s="1"/>
  <c r="W439"/>
  <c r="W441"/>
  <c r="X441" s="1"/>
  <c r="W443"/>
  <c r="W445"/>
  <c r="X445" s="1"/>
  <c r="W447"/>
  <c r="W449"/>
  <c r="X449" s="1"/>
  <c r="W451"/>
  <c r="W453"/>
  <c r="X453" s="1"/>
  <c r="W455"/>
  <c r="W457"/>
  <c r="X457" s="1"/>
  <c r="W459"/>
  <c r="W461"/>
  <c r="X461" s="1"/>
  <c r="W463"/>
  <c r="W465"/>
  <c r="X465" s="1"/>
  <c r="W467"/>
  <c r="W469"/>
  <c r="X469" s="1"/>
  <c r="W471"/>
  <c r="W473"/>
  <c r="X473" s="1"/>
  <c r="W475"/>
  <c r="W477"/>
  <c r="X477" s="1"/>
  <c r="W479"/>
  <c r="W481"/>
  <c r="X481" s="1"/>
  <c r="W483"/>
  <c r="W485"/>
  <c r="X485" s="1"/>
  <c r="W487"/>
  <c r="W489"/>
  <c r="X489" s="1"/>
  <c r="W491"/>
  <c r="W493"/>
  <c r="X493" s="1"/>
  <c r="W495"/>
  <c r="W497"/>
  <c r="X497" s="1"/>
  <c r="W499"/>
  <c r="W501"/>
  <c r="X501" s="1"/>
  <c r="W503"/>
  <c r="W505"/>
  <c r="X505" s="1"/>
  <c r="W507"/>
  <c r="W509"/>
  <c r="X509" s="1"/>
  <c r="W511"/>
  <c r="W513"/>
  <c r="X513" s="1"/>
  <c r="W515"/>
  <c r="W517"/>
  <c r="X517" s="1"/>
  <c r="W519"/>
  <c r="W521"/>
  <c r="X521" s="1"/>
  <c r="W516"/>
  <c r="W520"/>
  <c r="X520" s="1"/>
  <c r="W523"/>
  <c r="W525"/>
  <c r="X525" s="1"/>
  <c r="W527"/>
  <c r="W529"/>
  <c r="X529" s="1"/>
  <c r="W531"/>
  <c r="W533"/>
  <c r="X533" s="1"/>
  <c r="W535"/>
  <c r="W537"/>
  <c r="X537" s="1"/>
  <c r="W539"/>
  <c r="W541"/>
  <c r="X541" s="1"/>
  <c r="W543"/>
  <c r="W545"/>
  <c r="X545" s="1"/>
  <c r="W6"/>
  <c r="W8"/>
  <c r="X8" s="1"/>
  <c r="W10"/>
  <c r="W514"/>
  <c r="X514" s="1"/>
  <c r="W518"/>
  <c r="W522"/>
  <c r="X522" s="1"/>
  <c r="W524"/>
  <c r="W526"/>
  <c r="X526" s="1"/>
  <c r="W528"/>
  <c r="W530"/>
  <c r="X530" s="1"/>
  <c r="W532"/>
  <c r="W534"/>
  <c r="X534" s="1"/>
  <c r="W536"/>
  <c r="W538"/>
  <c r="X538" s="1"/>
  <c r="W540"/>
  <c r="W542"/>
  <c r="X542" s="1"/>
  <c r="W544"/>
  <c r="W546"/>
  <c r="X546" s="1"/>
  <c r="W7"/>
  <c r="W9"/>
  <c r="X9" s="1"/>
  <c r="W5"/>
  <c r="Z5" s="1"/>
  <c r="X310"/>
  <c r="X314"/>
  <c r="X318"/>
  <c r="X322"/>
  <c r="X326"/>
  <c r="X330"/>
  <c r="X334"/>
  <c r="X338"/>
  <c r="X342"/>
  <c r="X346"/>
  <c r="X350"/>
  <c r="X354"/>
  <c r="X358"/>
  <c r="X362"/>
  <c r="X366"/>
  <c r="X370"/>
  <c r="X374"/>
  <c r="X378"/>
  <c r="X382"/>
  <c r="X386"/>
  <c r="X390"/>
  <c r="X394"/>
  <c r="X398"/>
  <c r="X402"/>
  <c r="X406"/>
  <c r="X410"/>
  <c r="X414"/>
  <c r="X418"/>
  <c r="X422"/>
  <c r="X426"/>
  <c r="X430"/>
  <c r="X434"/>
  <c r="X516"/>
  <c r="X524"/>
  <c r="X528"/>
  <c r="X532"/>
  <c r="X536"/>
  <c r="X540"/>
  <c r="X544"/>
  <c r="X307"/>
  <c r="X311"/>
  <c r="X315"/>
  <c r="X319"/>
  <c r="X323"/>
  <c r="X327"/>
  <c r="X331"/>
  <c r="X335"/>
  <c r="X339"/>
  <c r="X343"/>
  <c r="X347"/>
  <c r="X351"/>
  <c r="X355"/>
  <c r="X359"/>
  <c r="X363"/>
  <c r="X367"/>
  <c r="X371"/>
  <c r="X375"/>
  <c r="X379"/>
  <c r="X383"/>
  <c r="X387"/>
  <c r="X391"/>
  <c r="X395"/>
  <c r="X399"/>
  <c r="X403"/>
  <c r="X407"/>
  <c r="X411"/>
  <c r="X415"/>
  <c r="X419"/>
  <c r="X423"/>
  <c r="X427"/>
  <c r="X431"/>
  <c r="X435"/>
  <c r="X439"/>
  <c r="X443"/>
  <c r="X447"/>
  <c r="X451"/>
  <c r="X455"/>
  <c r="X459"/>
  <c r="X463"/>
  <c r="X467"/>
  <c r="X471"/>
  <c r="X475"/>
  <c r="X479"/>
  <c r="X483"/>
  <c r="X487"/>
  <c r="X491"/>
  <c r="X495"/>
  <c r="X499"/>
  <c r="X503"/>
  <c r="X507"/>
  <c r="X511"/>
  <c r="X515"/>
  <c r="X519"/>
  <c r="X523"/>
  <c r="X527"/>
  <c r="X531"/>
  <c r="X535"/>
  <c r="X539"/>
  <c r="X543"/>
  <c r="X470"/>
  <c r="X474"/>
  <c r="X478"/>
  <c r="X482"/>
  <c r="X486"/>
  <c r="X490"/>
  <c r="X494"/>
  <c r="X498"/>
  <c r="X502"/>
  <c r="X506"/>
  <c r="X438"/>
  <c r="X442"/>
  <c r="X446"/>
  <c r="X450"/>
  <c r="X454"/>
  <c r="X458"/>
  <c r="X462"/>
  <c r="X466"/>
  <c r="X510"/>
  <c r="X518"/>
  <c r="S9" i="10"/>
  <c r="O9"/>
  <c r="X302" i="4"/>
  <c r="X294"/>
  <c r="X286"/>
  <c r="X278"/>
  <c r="X270"/>
  <c r="X262"/>
  <c r="X254"/>
  <c r="X246"/>
  <c r="X238"/>
  <c r="X230"/>
  <c r="X222"/>
  <c r="X214"/>
  <c r="X206"/>
  <c r="X198"/>
  <c r="X190"/>
  <c r="X182"/>
  <c r="X174"/>
  <c r="X166"/>
  <c r="X158"/>
  <c r="X150"/>
  <c r="X142"/>
  <c r="X134"/>
  <c r="X126"/>
  <c r="X118"/>
  <c r="X110"/>
  <c r="X102"/>
  <c r="X94"/>
  <c r="X86"/>
  <c r="X78"/>
  <c r="X70"/>
  <c r="X62"/>
  <c r="X54"/>
  <c r="X46"/>
  <c r="X38"/>
  <c r="X30"/>
  <c r="X22"/>
  <c r="X14"/>
  <c r="X10"/>
  <c r="X6"/>
  <c r="X299"/>
  <c r="X291"/>
  <c r="X283"/>
  <c r="X275"/>
  <c r="X267"/>
  <c r="X259"/>
  <c r="X251"/>
  <c r="X243"/>
  <c r="X235"/>
  <c r="X227"/>
  <c r="X219"/>
  <c r="X211"/>
  <c r="X203"/>
  <c r="X195"/>
  <c r="X187"/>
  <c r="X179"/>
  <c r="X171"/>
  <c r="X163"/>
  <c r="X155"/>
  <c r="X147"/>
  <c r="X139"/>
  <c r="X131"/>
  <c r="X123"/>
  <c r="X115"/>
  <c r="X107"/>
  <c r="X99"/>
  <c r="X91"/>
  <c r="X83"/>
  <c r="X75"/>
  <c r="X67"/>
  <c r="X59"/>
  <c r="X51"/>
  <c r="X43"/>
  <c r="X35"/>
  <c r="X27"/>
  <c r="X19"/>
  <c r="X120"/>
  <c r="X11"/>
  <c r="X7"/>
  <c r="X306"/>
  <c r="X298"/>
  <c r="X290"/>
  <c r="X282"/>
  <c r="X274"/>
  <c r="X266"/>
  <c r="X258"/>
  <c r="X250"/>
  <c r="X242"/>
  <c r="X234"/>
  <c r="X226"/>
  <c r="X218"/>
  <c r="X210"/>
  <c r="X202"/>
  <c r="X194"/>
  <c r="X186"/>
  <c r="X178"/>
  <c r="X170"/>
  <c r="X162"/>
  <c r="X154"/>
  <c r="X146"/>
  <c r="X138"/>
  <c r="X130"/>
  <c r="X122"/>
  <c r="X114"/>
  <c r="X106"/>
  <c r="X98"/>
  <c r="X90"/>
  <c r="X82"/>
  <c r="X74"/>
  <c r="X66"/>
  <c r="X58"/>
  <c r="X50"/>
  <c r="X42"/>
  <c r="X34"/>
  <c r="X26"/>
  <c r="X18"/>
  <c r="X303"/>
  <c r="X295"/>
  <c r="X287"/>
  <c r="X279"/>
  <c r="X271"/>
  <c r="X263"/>
  <c r="X255"/>
  <c r="X247"/>
  <c r="X239"/>
  <c r="X231"/>
  <c r="X223"/>
  <c r="X215"/>
  <c r="X207"/>
  <c r="X199"/>
  <c r="X191"/>
  <c r="X183"/>
  <c r="X175"/>
  <c r="X167"/>
  <c r="X159"/>
  <c r="X151"/>
  <c r="X143"/>
  <c r="X135"/>
  <c r="X127"/>
  <c r="X119"/>
  <c r="X111"/>
  <c r="X103"/>
  <c r="X95"/>
  <c r="X87"/>
  <c r="X79"/>
  <c r="X71"/>
  <c r="X63"/>
  <c r="X55"/>
  <c r="X47"/>
  <c r="X39"/>
  <c r="X31"/>
  <c r="X23"/>
  <c r="X15"/>
  <c r="X188"/>
  <c r="F53" i="6"/>
  <c r="B29" i="7"/>
  <c r="Y5" i="4" l="1"/>
  <c r="AA5" s="1"/>
  <c r="Z542"/>
  <c r="Y542"/>
  <c r="Z526"/>
  <c r="Y526"/>
  <c r="Z510"/>
  <c r="Y510"/>
  <c r="Z462"/>
  <c r="Y462"/>
  <c r="Z454"/>
  <c r="Y454"/>
  <c r="Z446"/>
  <c r="Y446"/>
  <c r="Z438"/>
  <c r="Y438"/>
  <c r="Z429"/>
  <c r="Y429"/>
  <c r="Z421"/>
  <c r="Y421"/>
  <c r="Z413"/>
  <c r="Y413"/>
  <c r="Z405"/>
  <c r="Y405"/>
  <c r="Z397"/>
  <c r="Y397"/>
  <c r="Z389"/>
  <c r="Y389"/>
  <c r="Z381"/>
  <c r="Y381"/>
  <c r="Y373"/>
  <c r="Z373"/>
  <c r="Z365"/>
  <c r="Y365"/>
  <c r="Z357"/>
  <c r="Y357"/>
  <c r="Z349"/>
  <c r="Y349"/>
  <c r="Z341"/>
  <c r="Y341"/>
  <c r="Z333"/>
  <c r="Y333"/>
  <c r="Z325"/>
  <c r="Y325"/>
  <c r="Z317"/>
  <c r="Y317"/>
  <c r="Z309"/>
  <c r="Y309"/>
  <c r="Z537"/>
  <c r="Y537"/>
  <c r="Z521"/>
  <c r="Y521"/>
  <c r="Z506"/>
  <c r="Y506"/>
  <c r="Z498"/>
  <c r="Y498"/>
  <c r="Z490"/>
  <c r="Y490"/>
  <c r="Z482"/>
  <c r="Y482"/>
  <c r="Z474"/>
  <c r="Y474"/>
  <c r="Z543"/>
  <c r="Y543"/>
  <c r="Y535"/>
  <c r="Z535"/>
  <c r="Y527"/>
  <c r="Z527"/>
  <c r="Y519"/>
  <c r="Z519"/>
  <c r="Y511"/>
  <c r="Z511"/>
  <c r="Y503"/>
  <c r="Z503"/>
  <c r="Y495"/>
  <c r="Z495"/>
  <c r="Y487"/>
  <c r="Z487"/>
  <c r="Y479"/>
  <c r="Z479"/>
  <c r="Y471"/>
  <c r="Z471"/>
  <c r="Y463"/>
  <c r="Z463"/>
  <c r="Y455"/>
  <c r="Z455"/>
  <c r="Y447"/>
  <c r="Z447"/>
  <c r="Y439"/>
  <c r="Z439"/>
  <c r="Y431"/>
  <c r="Z431"/>
  <c r="Y423"/>
  <c r="Z423"/>
  <c r="Y415"/>
  <c r="Z415"/>
  <c r="Y407"/>
  <c r="Z407"/>
  <c r="Y399"/>
  <c r="Z399"/>
  <c r="Y391"/>
  <c r="Z391"/>
  <c r="Y383"/>
  <c r="Z383"/>
  <c r="Y375"/>
  <c r="Z375"/>
  <c r="Y367"/>
  <c r="Z367"/>
  <c r="Y359"/>
  <c r="Z359"/>
  <c r="Y351"/>
  <c r="Z351"/>
  <c r="Y343"/>
  <c r="Z343"/>
  <c r="Y335"/>
  <c r="Z335"/>
  <c r="Y327"/>
  <c r="Z327"/>
  <c r="Y319"/>
  <c r="Z319"/>
  <c r="Y311"/>
  <c r="Z311"/>
  <c r="Y546"/>
  <c r="Z546"/>
  <c r="Y530"/>
  <c r="Z530"/>
  <c r="Y514"/>
  <c r="Z514"/>
  <c r="Y465"/>
  <c r="Z465"/>
  <c r="Y457"/>
  <c r="Z457"/>
  <c r="Y449"/>
  <c r="Z449"/>
  <c r="Y441"/>
  <c r="Z441"/>
  <c r="Y432"/>
  <c r="Z432"/>
  <c r="Y424"/>
  <c r="Z424"/>
  <c r="Y416"/>
  <c r="Z416"/>
  <c r="Y408"/>
  <c r="Z408"/>
  <c r="Y400"/>
  <c r="Z400"/>
  <c r="Y392"/>
  <c r="Z392"/>
  <c r="Y384"/>
  <c r="Z384"/>
  <c r="Y376"/>
  <c r="Z376"/>
  <c r="Y368"/>
  <c r="Z368"/>
  <c r="Y360"/>
  <c r="Z360"/>
  <c r="Y352"/>
  <c r="Z352"/>
  <c r="Y344"/>
  <c r="Z344"/>
  <c r="Y336"/>
  <c r="Z336"/>
  <c r="Y328"/>
  <c r="Z328"/>
  <c r="Y320"/>
  <c r="Z320"/>
  <c r="Y312"/>
  <c r="Z312"/>
  <c r="Y541"/>
  <c r="Z541"/>
  <c r="Y525"/>
  <c r="Z525"/>
  <c r="Y509"/>
  <c r="Z509"/>
  <c r="Y501"/>
  <c r="Z501"/>
  <c r="Y493"/>
  <c r="Z493"/>
  <c r="Y485"/>
  <c r="Z485"/>
  <c r="Y477"/>
  <c r="Z477"/>
  <c r="Y544"/>
  <c r="Z544"/>
  <c r="Y536"/>
  <c r="Z536"/>
  <c r="Y528"/>
  <c r="Z528"/>
  <c r="Y520"/>
  <c r="Z520"/>
  <c r="Y512"/>
  <c r="Z512"/>
  <c r="Y504"/>
  <c r="Z504"/>
  <c r="Y496"/>
  <c r="Z496"/>
  <c r="Y488"/>
  <c r="Z488"/>
  <c r="Y480"/>
  <c r="Z480"/>
  <c r="Y472"/>
  <c r="Z472"/>
  <c r="Y464"/>
  <c r="Z464"/>
  <c r="Y456"/>
  <c r="Z456"/>
  <c r="Y448"/>
  <c r="Z448"/>
  <c r="Y440"/>
  <c r="Z440"/>
  <c r="Y434"/>
  <c r="Z434"/>
  <c r="Y426"/>
  <c r="Z426"/>
  <c r="Y418"/>
  <c r="Z418"/>
  <c r="Y410"/>
  <c r="Z410"/>
  <c r="Y402"/>
  <c r="Z402"/>
  <c r="Y394"/>
  <c r="Z394"/>
  <c r="Y386"/>
  <c r="Z386"/>
  <c r="Y378"/>
  <c r="Z378"/>
  <c r="Y370"/>
  <c r="Z370"/>
  <c r="Y362"/>
  <c r="Z362"/>
  <c r="Y354"/>
  <c r="Z354"/>
  <c r="Y346"/>
  <c r="Z346"/>
  <c r="Y338"/>
  <c r="Z338"/>
  <c r="Y330"/>
  <c r="Z330"/>
  <c r="Y322"/>
  <c r="Z322"/>
  <c r="Y314"/>
  <c r="Z314"/>
  <c r="Z534"/>
  <c r="Y534"/>
  <c r="Z518"/>
  <c r="Y518"/>
  <c r="Z466"/>
  <c r="Y466"/>
  <c r="Z458"/>
  <c r="Y458"/>
  <c r="Z450"/>
  <c r="Y450"/>
  <c r="Z442"/>
  <c r="Y442"/>
  <c r="Z433"/>
  <c r="Y433"/>
  <c r="Z425"/>
  <c r="Y425"/>
  <c r="Z417"/>
  <c r="Y417"/>
  <c r="Z409"/>
  <c r="Y409"/>
  <c r="Z401"/>
  <c r="Y401"/>
  <c r="Z393"/>
  <c r="Y393"/>
  <c r="Z385"/>
  <c r="Y385"/>
  <c r="Z377"/>
  <c r="Y377"/>
  <c r="Z369"/>
  <c r="Y369"/>
  <c r="Y361"/>
  <c r="Z361"/>
  <c r="Y353"/>
  <c r="Z353"/>
  <c r="Y345"/>
  <c r="Z345"/>
  <c r="Y337"/>
  <c r="Z337"/>
  <c r="Y329"/>
  <c r="Z329"/>
  <c r="Y321"/>
  <c r="Z321"/>
  <c r="Y313"/>
  <c r="Z313"/>
  <c r="Y545"/>
  <c r="Z545"/>
  <c r="Y529"/>
  <c r="Z529"/>
  <c r="Y513"/>
  <c r="Z513"/>
  <c r="Y502"/>
  <c r="Z502"/>
  <c r="Y494"/>
  <c r="Z494"/>
  <c r="Y486"/>
  <c r="Z486"/>
  <c r="Y478"/>
  <c r="Z478"/>
  <c r="Y470"/>
  <c r="Z470"/>
  <c r="Y539"/>
  <c r="Z539"/>
  <c r="Y531"/>
  <c r="Z531"/>
  <c r="Y523"/>
  <c r="Z523"/>
  <c r="Y515"/>
  <c r="Z515"/>
  <c r="Y507"/>
  <c r="Z507"/>
  <c r="Y499"/>
  <c r="Z499"/>
  <c r="Y491"/>
  <c r="Z491"/>
  <c r="Y483"/>
  <c r="Z483"/>
  <c r="Y475"/>
  <c r="Z475"/>
  <c r="Y467"/>
  <c r="Z467"/>
  <c r="Y459"/>
  <c r="Z459"/>
  <c r="Y451"/>
  <c r="Z451"/>
  <c r="Y443"/>
  <c r="Z443"/>
  <c r="Y435"/>
  <c r="Z435"/>
  <c r="Y427"/>
  <c r="Z427"/>
  <c r="Y419"/>
  <c r="Z419"/>
  <c r="Y411"/>
  <c r="Z411"/>
  <c r="Y403"/>
  <c r="Z403"/>
  <c r="Y395"/>
  <c r="Z395"/>
  <c r="Y387"/>
  <c r="Z387"/>
  <c r="Y379"/>
  <c r="Z379"/>
  <c r="Y371"/>
  <c r="Z371"/>
  <c r="Y363"/>
  <c r="Z363"/>
  <c r="Y355"/>
  <c r="Z355"/>
  <c r="Y347"/>
  <c r="Z347"/>
  <c r="Y339"/>
  <c r="Z339"/>
  <c r="Y331"/>
  <c r="Z331"/>
  <c r="Y323"/>
  <c r="Z323"/>
  <c r="Y315"/>
  <c r="Z315"/>
  <c r="Y307"/>
  <c r="Z307"/>
  <c r="Z538"/>
  <c r="Y538"/>
  <c r="Z522"/>
  <c r="Y522"/>
  <c r="Z469"/>
  <c r="Y469"/>
  <c r="Z461"/>
  <c r="Y461"/>
  <c r="Z453"/>
  <c r="Y453"/>
  <c r="Z445"/>
  <c r="Y445"/>
  <c r="Z437"/>
  <c r="Y437"/>
  <c r="Y428"/>
  <c r="Z428"/>
  <c r="Y420"/>
  <c r="Z420"/>
  <c r="Y412"/>
  <c r="Z412"/>
  <c r="Y404"/>
  <c r="Z404"/>
  <c r="Y396"/>
  <c r="Z396"/>
  <c r="Y388"/>
  <c r="Z388"/>
  <c r="Y380"/>
  <c r="Z380"/>
  <c r="Y372"/>
  <c r="Z372"/>
  <c r="Y364"/>
  <c r="Z364"/>
  <c r="Y356"/>
  <c r="Z356"/>
  <c r="Y348"/>
  <c r="Z348"/>
  <c r="Y340"/>
  <c r="Z340"/>
  <c r="Y332"/>
  <c r="Z332"/>
  <c r="Y324"/>
  <c r="Z324"/>
  <c r="Y316"/>
  <c r="Z316"/>
  <c r="Y308"/>
  <c r="Z308"/>
  <c r="Y533"/>
  <c r="Z533"/>
  <c r="Y517"/>
  <c r="Z517"/>
  <c r="Y505"/>
  <c r="Z505"/>
  <c r="Y497"/>
  <c r="Z497"/>
  <c r="Y489"/>
  <c r="Z489"/>
  <c r="Y481"/>
  <c r="Z481"/>
  <c r="Y473"/>
  <c r="Z473"/>
  <c r="Y540"/>
  <c r="Z540"/>
  <c r="Y532"/>
  <c r="Z532"/>
  <c r="Y524"/>
  <c r="Z524"/>
  <c r="Y516"/>
  <c r="Z516"/>
  <c r="Y508"/>
  <c r="Z508"/>
  <c r="Y500"/>
  <c r="Z500"/>
  <c r="Y492"/>
  <c r="Z492"/>
  <c r="Y484"/>
  <c r="Z484"/>
  <c r="Y476"/>
  <c r="Z476"/>
  <c r="Y468"/>
  <c r="Z468"/>
  <c r="Y460"/>
  <c r="Z460"/>
  <c r="Y452"/>
  <c r="Z452"/>
  <c r="Y444"/>
  <c r="Z444"/>
  <c r="Y436"/>
  <c r="Z436"/>
  <c r="Y430"/>
  <c r="Z430"/>
  <c r="Y422"/>
  <c r="Z422"/>
  <c r="Y414"/>
  <c r="Z414"/>
  <c r="Y406"/>
  <c r="Z406"/>
  <c r="Y398"/>
  <c r="Z398"/>
  <c r="Y390"/>
  <c r="Z390"/>
  <c r="Y382"/>
  <c r="Z382"/>
  <c r="Y374"/>
  <c r="Z374"/>
  <c r="Y366"/>
  <c r="Z366"/>
  <c r="Y358"/>
  <c r="Z358"/>
  <c r="Y350"/>
  <c r="Z350"/>
  <c r="Y342"/>
  <c r="Z342"/>
  <c r="Y334"/>
  <c r="Z334"/>
  <c r="Y326"/>
  <c r="Z326"/>
  <c r="Y318"/>
  <c r="Z318"/>
  <c r="Y310"/>
  <c r="Z310"/>
  <c r="T10" i="10"/>
  <c r="Y13" i="4"/>
  <c r="Z13"/>
  <c r="Y28"/>
  <c r="Z28"/>
  <c r="Y44"/>
  <c r="Z44"/>
  <c r="Y60"/>
  <c r="Z60"/>
  <c r="Y76"/>
  <c r="Z76"/>
  <c r="Y92"/>
  <c r="Z92"/>
  <c r="Y108"/>
  <c r="Z108"/>
  <c r="Y124"/>
  <c r="Z124"/>
  <c r="Y140"/>
  <c r="Z140"/>
  <c r="Y156"/>
  <c r="Z156"/>
  <c r="Y172"/>
  <c r="Z172"/>
  <c r="Y188"/>
  <c r="Z188"/>
  <c r="Y204"/>
  <c r="Z204"/>
  <c r="Y220"/>
  <c r="Z220"/>
  <c r="Y236"/>
  <c r="Z236"/>
  <c r="Y252"/>
  <c r="Z252"/>
  <c r="Y268"/>
  <c r="Z268"/>
  <c r="Y284"/>
  <c r="Z284"/>
  <c r="Y300"/>
  <c r="Z300"/>
  <c r="Y23"/>
  <c r="Z23"/>
  <c r="Y39"/>
  <c r="Z39"/>
  <c r="Y55"/>
  <c r="Z55"/>
  <c r="Y71"/>
  <c r="Z71"/>
  <c r="Y87"/>
  <c r="Z87"/>
  <c r="Y103"/>
  <c r="Z103"/>
  <c r="Y119"/>
  <c r="Z119"/>
  <c r="Y135"/>
  <c r="Z135"/>
  <c r="Y151"/>
  <c r="Z151"/>
  <c r="Y167"/>
  <c r="Z167"/>
  <c r="Y183"/>
  <c r="Z183"/>
  <c r="Y199"/>
  <c r="Z199"/>
  <c r="Y215"/>
  <c r="Z215"/>
  <c r="Y231"/>
  <c r="Z231"/>
  <c r="Y247"/>
  <c r="Z247"/>
  <c r="Z263"/>
  <c r="Y263"/>
  <c r="Z279"/>
  <c r="Y279"/>
  <c r="Z295"/>
  <c r="Y295"/>
  <c r="Y8"/>
  <c r="Z8"/>
  <c r="Y18"/>
  <c r="Z18"/>
  <c r="Y34"/>
  <c r="Z34"/>
  <c r="Y50"/>
  <c r="Z50"/>
  <c r="Y66"/>
  <c r="Z66"/>
  <c r="Y82"/>
  <c r="Z82"/>
  <c r="Y98"/>
  <c r="Z98"/>
  <c r="Y114"/>
  <c r="Z114"/>
  <c r="Y130"/>
  <c r="Z130"/>
  <c r="Y146"/>
  <c r="Z146"/>
  <c r="Y162"/>
  <c r="Z162"/>
  <c r="Y178"/>
  <c r="Z178"/>
  <c r="Y194"/>
  <c r="Z194"/>
  <c r="Y210"/>
  <c r="Z210"/>
  <c r="Y226"/>
  <c r="Z226"/>
  <c r="Y242"/>
  <c r="Z242"/>
  <c r="Y258"/>
  <c r="Z258"/>
  <c r="Y274"/>
  <c r="Z274"/>
  <c r="Y290"/>
  <c r="Z290"/>
  <c r="Y306"/>
  <c r="Z306"/>
  <c r="Y29"/>
  <c r="Z29"/>
  <c r="Y45"/>
  <c r="Z45"/>
  <c r="Y61"/>
  <c r="Z61"/>
  <c r="Y77"/>
  <c r="Z77"/>
  <c r="Y93"/>
  <c r="Z93"/>
  <c r="Y109"/>
  <c r="Z109"/>
  <c r="Y125"/>
  <c r="Z125"/>
  <c r="Y141"/>
  <c r="Z141"/>
  <c r="Y157"/>
  <c r="Z157"/>
  <c r="Y173"/>
  <c r="Z173"/>
  <c r="Y189"/>
  <c r="Z189"/>
  <c r="Y205"/>
  <c r="Z205"/>
  <c r="Z221"/>
  <c r="Y221"/>
  <c r="Z237"/>
  <c r="Y237"/>
  <c r="Z253"/>
  <c r="Y253"/>
  <c r="Z269"/>
  <c r="Y269"/>
  <c r="Z285"/>
  <c r="Y285"/>
  <c r="Z301"/>
  <c r="Y301"/>
  <c r="Y7"/>
  <c r="Z7"/>
  <c r="Y16"/>
  <c r="Z16"/>
  <c r="Y32"/>
  <c r="Z32"/>
  <c r="Y48"/>
  <c r="Z48"/>
  <c r="Y64"/>
  <c r="Z64"/>
  <c r="Y80"/>
  <c r="Z80"/>
  <c r="Y96"/>
  <c r="Z96"/>
  <c r="Y112"/>
  <c r="Z112"/>
  <c r="Y128"/>
  <c r="Z128"/>
  <c r="Y144"/>
  <c r="Z144"/>
  <c r="Y160"/>
  <c r="Z160"/>
  <c r="Y176"/>
  <c r="Z176"/>
  <c r="Y192"/>
  <c r="Z192"/>
  <c r="Y208"/>
  <c r="Z208"/>
  <c r="Y224"/>
  <c r="Z224"/>
  <c r="Y240"/>
  <c r="Z240"/>
  <c r="Y256"/>
  <c r="Z256"/>
  <c r="Y272"/>
  <c r="Z272"/>
  <c r="Y288"/>
  <c r="Z288"/>
  <c r="Y304"/>
  <c r="Z304"/>
  <c r="Y27"/>
  <c r="Z27"/>
  <c r="Y43"/>
  <c r="Z43"/>
  <c r="Y59"/>
  <c r="Z59"/>
  <c r="Y75"/>
  <c r="Z75"/>
  <c r="Y91"/>
  <c r="Z91"/>
  <c r="Y107"/>
  <c r="Z107"/>
  <c r="Y123"/>
  <c r="Z123"/>
  <c r="Y139"/>
  <c r="Z139"/>
  <c r="Y155"/>
  <c r="Z155"/>
  <c r="Y171"/>
  <c r="Z171"/>
  <c r="Y187"/>
  <c r="Z187"/>
  <c r="Y203"/>
  <c r="Z203"/>
  <c r="Y219"/>
  <c r="Z219"/>
  <c r="Y235"/>
  <c r="Z235"/>
  <c r="Y251"/>
  <c r="Z251"/>
  <c r="Y267"/>
  <c r="Z267"/>
  <c r="Y283"/>
  <c r="Z283"/>
  <c r="Y299"/>
  <c r="Z299"/>
  <c r="Y10"/>
  <c r="Z10"/>
  <c r="Y22"/>
  <c r="Z22"/>
  <c r="Y38"/>
  <c r="Z38"/>
  <c r="Y54"/>
  <c r="Z54"/>
  <c r="Y70"/>
  <c r="Z70"/>
  <c r="Y86"/>
  <c r="Z86"/>
  <c r="Y102"/>
  <c r="Z102"/>
  <c r="Y118"/>
  <c r="Z118"/>
  <c r="Y134"/>
  <c r="Z134"/>
  <c r="Y150"/>
  <c r="Z150"/>
  <c r="Y166"/>
  <c r="Z166"/>
  <c r="Y182"/>
  <c r="Z182"/>
  <c r="Y198"/>
  <c r="Z198"/>
  <c r="Y214"/>
  <c r="Z214"/>
  <c r="Y230"/>
  <c r="Z230"/>
  <c r="Y246"/>
  <c r="Z246"/>
  <c r="Y262"/>
  <c r="Z262"/>
  <c r="Y278"/>
  <c r="Z278"/>
  <c r="Y294"/>
  <c r="Z294"/>
  <c r="Y17"/>
  <c r="Z17"/>
  <c r="Y33"/>
  <c r="Z33"/>
  <c r="Y49"/>
  <c r="Z49"/>
  <c r="Y65"/>
  <c r="Z65"/>
  <c r="Y81"/>
  <c r="Z81"/>
  <c r="Y97"/>
  <c r="Z97"/>
  <c r="Y113"/>
  <c r="Z113"/>
  <c r="Y129"/>
  <c r="Z129"/>
  <c r="Y145"/>
  <c r="Z145"/>
  <c r="Y161"/>
  <c r="Z161"/>
  <c r="Y177"/>
  <c r="Z177"/>
  <c r="Y193"/>
  <c r="Z193"/>
  <c r="Z209"/>
  <c r="Y209"/>
  <c r="Z225"/>
  <c r="Y225"/>
  <c r="Z241"/>
  <c r="Y241"/>
  <c r="Z257"/>
  <c r="Y257"/>
  <c r="Z273"/>
  <c r="Y273"/>
  <c r="Z289"/>
  <c r="Y289"/>
  <c r="Z305"/>
  <c r="Y305"/>
  <c r="Y9"/>
  <c r="Z9"/>
  <c r="Y20"/>
  <c r="Z20"/>
  <c r="Y36"/>
  <c r="Z36"/>
  <c r="Y52"/>
  <c r="Z52"/>
  <c r="Y68"/>
  <c r="Z68"/>
  <c r="Y84"/>
  <c r="Z84"/>
  <c r="Y100"/>
  <c r="Z100"/>
  <c r="Y116"/>
  <c r="Z116"/>
  <c r="Y132"/>
  <c r="Z132"/>
  <c r="Y148"/>
  <c r="Z148"/>
  <c r="Y164"/>
  <c r="Z164"/>
  <c r="Y180"/>
  <c r="Z180"/>
  <c r="Y196"/>
  <c r="Z196"/>
  <c r="Y212"/>
  <c r="Z212"/>
  <c r="Y228"/>
  <c r="Z228"/>
  <c r="Y244"/>
  <c r="Z244"/>
  <c r="Y260"/>
  <c r="Z260"/>
  <c r="Y276"/>
  <c r="Z276"/>
  <c r="Y292"/>
  <c r="Z292"/>
  <c r="Y15"/>
  <c r="Z15"/>
  <c r="Y31"/>
  <c r="Z31"/>
  <c r="Y47"/>
  <c r="Z47"/>
  <c r="Y63"/>
  <c r="Z63"/>
  <c r="Y79"/>
  <c r="Z79"/>
  <c r="Y95"/>
  <c r="Z95"/>
  <c r="Y111"/>
  <c r="Z111"/>
  <c r="Y127"/>
  <c r="Z127"/>
  <c r="Y143"/>
  <c r="Z143"/>
  <c r="Y159"/>
  <c r="Z159"/>
  <c r="Y175"/>
  <c r="Z175"/>
  <c r="Y191"/>
  <c r="Z191"/>
  <c r="Y207"/>
  <c r="Z207"/>
  <c r="Y223"/>
  <c r="Z223"/>
  <c r="Y239"/>
  <c r="Z239"/>
  <c r="Y255"/>
  <c r="Z255"/>
  <c r="Z271"/>
  <c r="Y271"/>
  <c r="Z287"/>
  <c r="Y287"/>
  <c r="Z303"/>
  <c r="Y303"/>
  <c r="Y12"/>
  <c r="Z12"/>
  <c r="Y26"/>
  <c r="Z26"/>
  <c r="Y42"/>
  <c r="Z42"/>
  <c r="Y58"/>
  <c r="Z58"/>
  <c r="Y74"/>
  <c r="Z74"/>
  <c r="Y90"/>
  <c r="Z90"/>
  <c r="Y106"/>
  <c r="Z106"/>
  <c r="Y122"/>
  <c r="Z122"/>
  <c r="Y138"/>
  <c r="Z138"/>
  <c r="Y154"/>
  <c r="Z154"/>
  <c r="Y170"/>
  <c r="Z170"/>
  <c r="Y186"/>
  <c r="Z186"/>
  <c r="Y202"/>
  <c r="Z202"/>
  <c r="Y218"/>
  <c r="Z218"/>
  <c r="Y234"/>
  <c r="Z234"/>
  <c r="Y250"/>
  <c r="Z250"/>
  <c r="Y266"/>
  <c r="Z266"/>
  <c r="Y282"/>
  <c r="Z282"/>
  <c r="Y298"/>
  <c r="Z298"/>
  <c r="Y21"/>
  <c r="Z21"/>
  <c r="Y37"/>
  <c r="Z37"/>
  <c r="Y53"/>
  <c r="Z53"/>
  <c r="Y69"/>
  <c r="Z69"/>
  <c r="Y85"/>
  <c r="Z85"/>
  <c r="Y101"/>
  <c r="Z101"/>
  <c r="Y117"/>
  <c r="Z117"/>
  <c r="Y133"/>
  <c r="Z133"/>
  <c r="Y149"/>
  <c r="Z149"/>
  <c r="Y165"/>
  <c r="Z165"/>
  <c r="Y181"/>
  <c r="Z181"/>
  <c r="Y197"/>
  <c r="Z197"/>
  <c r="Z213"/>
  <c r="Y213"/>
  <c r="Z229"/>
  <c r="Y229"/>
  <c r="Z245"/>
  <c r="Y245"/>
  <c r="Z261"/>
  <c r="Y261"/>
  <c r="Z277"/>
  <c r="Y277"/>
  <c r="Z293"/>
  <c r="Y293"/>
  <c r="Y11"/>
  <c r="Z11"/>
  <c r="Y24"/>
  <c r="Z24"/>
  <c r="Y40"/>
  <c r="Z40"/>
  <c r="Y56"/>
  <c r="Z56"/>
  <c r="Y72"/>
  <c r="Z72"/>
  <c r="Y88"/>
  <c r="Z88"/>
  <c r="Y104"/>
  <c r="Z104"/>
  <c r="Y120"/>
  <c r="Z120"/>
  <c r="Y136"/>
  <c r="Z136"/>
  <c r="Y152"/>
  <c r="Z152"/>
  <c r="Y168"/>
  <c r="Z168"/>
  <c r="Y184"/>
  <c r="Z184"/>
  <c r="Y200"/>
  <c r="Z200"/>
  <c r="Y216"/>
  <c r="Z216"/>
  <c r="Y232"/>
  <c r="Z232"/>
  <c r="Y248"/>
  <c r="Z248"/>
  <c r="Y264"/>
  <c r="Z264"/>
  <c r="Y280"/>
  <c r="Z280"/>
  <c r="Y296"/>
  <c r="Z296"/>
  <c r="Y19"/>
  <c r="Z19"/>
  <c r="Y35"/>
  <c r="Z35"/>
  <c r="Y51"/>
  <c r="Z51"/>
  <c r="Y67"/>
  <c r="Z67"/>
  <c r="Y83"/>
  <c r="Z83"/>
  <c r="Y99"/>
  <c r="Z99"/>
  <c r="Y115"/>
  <c r="Z115"/>
  <c r="Y131"/>
  <c r="Z131"/>
  <c r="Y147"/>
  <c r="Z147"/>
  <c r="Y163"/>
  <c r="Z163"/>
  <c r="Y179"/>
  <c r="Z179"/>
  <c r="Y195"/>
  <c r="Z195"/>
  <c r="Y211"/>
  <c r="Z211"/>
  <c r="Y227"/>
  <c r="Z227"/>
  <c r="Y243"/>
  <c r="Z243"/>
  <c r="Y259"/>
  <c r="Z259"/>
  <c r="Y275"/>
  <c r="Z275"/>
  <c r="Y291"/>
  <c r="Z291"/>
  <c r="Y6"/>
  <c r="Z6"/>
  <c r="Y14"/>
  <c r="Z14"/>
  <c r="Y30"/>
  <c r="Z30"/>
  <c r="Y46"/>
  <c r="Z46"/>
  <c r="Y62"/>
  <c r="Z62"/>
  <c r="Y78"/>
  <c r="Z78"/>
  <c r="Y94"/>
  <c r="Z94"/>
  <c r="Y110"/>
  <c r="Z110"/>
  <c r="Y126"/>
  <c r="Z126"/>
  <c r="Y142"/>
  <c r="Z142"/>
  <c r="Y158"/>
  <c r="Z158"/>
  <c r="Y174"/>
  <c r="Z174"/>
  <c r="Y190"/>
  <c r="Z190"/>
  <c r="Y206"/>
  <c r="Z206"/>
  <c r="Y222"/>
  <c r="Z222"/>
  <c r="Y238"/>
  <c r="Z238"/>
  <c r="Y254"/>
  <c r="Z254"/>
  <c r="Y270"/>
  <c r="Z270"/>
  <c r="Y286"/>
  <c r="Z286"/>
  <c r="Y302"/>
  <c r="Z302"/>
  <c r="Y25"/>
  <c r="Z25"/>
  <c r="Y41"/>
  <c r="Z41"/>
  <c r="Y57"/>
  <c r="Z57"/>
  <c r="Y73"/>
  <c r="Z73"/>
  <c r="Y89"/>
  <c r="Z89"/>
  <c r="Y105"/>
  <c r="Z105"/>
  <c r="Y121"/>
  <c r="Z121"/>
  <c r="Y137"/>
  <c r="Z137"/>
  <c r="Y153"/>
  <c r="Z153"/>
  <c r="Y169"/>
  <c r="Z169"/>
  <c r="Y185"/>
  <c r="Z185"/>
  <c r="Y201"/>
  <c r="Z201"/>
  <c r="Z217"/>
  <c r="Y217"/>
  <c r="Z233"/>
  <c r="Y233"/>
  <c r="Z249"/>
  <c r="Y249"/>
  <c r="Z265"/>
  <c r="Y265"/>
  <c r="Z281"/>
  <c r="Y281"/>
  <c r="Z297"/>
  <c r="Y297"/>
  <c r="P9" i="10" l="1"/>
  <c r="Q9"/>
  <c r="AA543" i="4"/>
  <c r="AA474"/>
  <c r="AA482"/>
  <c r="AA490"/>
  <c r="AA498"/>
  <c r="AA506"/>
  <c r="AA521"/>
  <c r="AA537"/>
  <c r="AA309"/>
  <c r="AA317"/>
  <c r="AA325"/>
  <c r="AA333"/>
  <c r="AA341"/>
  <c r="AA349"/>
  <c r="AA357"/>
  <c r="AA365"/>
  <c r="AA381"/>
  <c r="AA389"/>
  <c r="AA397"/>
  <c r="AA405"/>
  <c r="AA413"/>
  <c r="AA421"/>
  <c r="AA429"/>
  <c r="AA438"/>
  <c r="AA446"/>
  <c r="AA454"/>
  <c r="AA462"/>
  <c r="AA510"/>
  <c r="AA526"/>
  <c r="AA542"/>
  <c r="AA310"/>
  <c r="AA318"/>
  <c r="AA326"/>
  <c r="AA334"/>
  <c r="AA342"/>
  <c r="AA350"/>
  <c r="AA358"/>
  <c r="AA366"/>
  <c r="AA374"/>
  <c r="AA382"/>
  <c r="AA390"/>
  <c r="AA398"/>
  <c r="AA406"/>
  <c r="AA414"/>
  <c r="AA422"/>
  <c r="AA430"/>
  <c r="AA436"/>
  <c r="AA444"/>
  <c r="AA452"/>
  <c r="AA460"/>
  <c r="AA468"/>
  <c r="AA476"/>
  <c r="AA484"/>
  <c r="AA492"/>
  <c r="AA500"/>
  <c r="AA508"/>
  <c r="AA516"/>
  <c r="AA524"/>
  <c r="AA532"/>
  <c r="AA540"/>
  <c r="AA473"/>
  <c r="AA481"/>
  <c r="AA489"/>
  <c r="AA497"/>
  <c r="AA505"/>
  <c r="AA517"/>
  <c r="AA533"/>
  <c r="AA308"/>
  <c r="AA316"/>
  <c r="AA324"/>
  <c r="AA332"/>
  <c r="AA340"/>
  <c r="AA348"/>
  <c r="AA356"/>
  <c r="AA364"/>
  <c r="AA372"/>
  <c r="AA380"/>
  <c r="AA388"/>
  <c r="AA396"/>
  <c r="AA404"/>
  <c r="AA412"/>
  <c r="AA420"/>
  <c r="AA428"/>
  <c r="AA315"/>
  <c r="AA323"/>
  <c r="AA331"/>
  <c r="AA339"/>
  <c r="AA347"/>
  <c r="AA355"/>
  <c r="AA363"/>
  <c r="AA371"/>
  <c r="AA379"/>
  <c r="AA387"/>
  <c r="AA395"/>
  <c r="AA403"/>
  <c r="AA411"/>
  <c r="AA419"/>
  <c r="AA427"/>
  <c r="AA435"/>
  <c r="AA443"/>
  <c r="AA451"/>
  <c r="AA459"/>
  <c r="AA467"/>
  <c r="AA475"/>
  <c r="AA483"/>
  <c r="AA491"/>
  <c r="AA499"/>
  <c r="AA507"/>
  <c r="AA515"/>
  <c r="AA523"/>
  <c r="AA531"/>
  <c r="AA539"/>
  <c r="AA470"/>
  <c r="AA478"/>
  <c r="AA486"/>
  <c r="AA494"/>
  <c r="AA502"/>
  <c r="AA513"/>
  <c r="AA529"/>
  <c r="AA545"/>
  <c r="AA313"/>
  <c r="AA321"/>
  <c r="AA329"/>
  <c r="AA337"/>
  <c r="AA345"/>
  <c r="AA353"/>
  <c r="AA361"/>
  <c r="AA314"/>
  <c r="AA322"/>
  <c r="AA330"/>
  <c r="AA338"/>
  <c r="AA346"/>
  <c r="AA354"/>
  <c r="AA362"/>
  <c r="AA370"/>
  <c r="AA378"/>
  <c r="AA386"/>
  <c r="AA394"/>
  <c r="AA402"/>
  <c r="AA410"/>
  <c r="AA418"/>
  <c r="AA426"/>
  <c r="AA434"/>
  <c r="AA440"/>
  <c r="AA448"/>
  <c r="AA456"/>
  <c r="AA464"/>
  <c r="AA472"/>
  <c r="AA480"/>
  <c r="AA488"/>
  <c r="AA496"/>
  <c r="AA504"/>
  <c r="AA512"/>
  <c r="AA520"/>
  <c r="AA528"/>
  <c r="AA536"/>
  <c r="AA544"/>
  <c r="AA477"/>
  <c r="AA485"/>
  <c r="AA493"/>
  <c r="AA501"/>
  <c r="AA509"/>
  <c r="AA525"/>
  <c r="AA541"/>
  <c r="AA312"/>
  <c r="AA320"/>
  <c r="AA328"/>
  <c r="AA336"/>
  <c r="AA344"/>
  <c r="AA352"/>
  <c r="AA360"/>
  <c r="AA368"/>
  <c r="AA376"/>
  <c r="AA384"/>
  <c r="AA392"/>
  <c r="AA400"/>
  <c r="AA408"/>
  <c r="AA416"/>
  <c r="AA424"/>
  <c r="AA432"/>
  <c r="AA441"/>
  <c r="AA449"/>
  <c r="AA457"/>
  <c r="AA465"/>
  <c r="AA514"/>
  <c r="AA530"/>
  <c r="AA546"/>
  <c r="AA311"/>
  <c r="AA319"/>
  <c r="AA437"/>
  <c r="AA445"/>
  <c r="AA453"/>
  <c r="AA461"/>
  <c r="AA469"/>
  <c r="AA522"/>
  <c r="AA538"/>
  <c r="AA307"/>
  <c r="AA369"/>
  <c r="AA377"/>
  <c r="AA385"/>
  <c r="AA393"/>
  <c r="AA401"/>
  <c r="AA409"/>
  <c r="AA417"/>
  <c r="AA425"/>
  <c r="AA433"/>
  <c r="AA442"/>
  <c r="AA450"/>
  <c r="AA458"/>
  <c r="AA466"/>
  <c r="AA518"/>
  <c r="AA534"/>
  <c r="AA327"/>
  <c r="AA335"/>
  <c r="AA343"/>
  <c r="AA351"/>
  <c r="AA359"/>
  <c r="AA367"/>
  <c r="AA375"/>
  <c r="AA383"/>
  <c r="AA391"/>
  <c r="AA399"/>
  <c r="AA407"/>
  <c r="AA415"/>
  <c r="AA423"/>
  <c r="AA431"/>
  <c r="AA439"/>
  <c r="AA447"/>
  <c r="AA455"/>
  <c r="AA463"/>
  <c r="AA471"/>
  <c r="AA479"/>
  <c r="AA487"/>
  <c r="AA495"/>
  <c r="AA503"/>
  <c r="AA511"/>
  <c r="AA519"/>
  <c r="AA527"/>
  <c r="AA535"/>
  <c r="AA373"/>
  <c r="AA297"/>
  <c r="AA281"/>
  <c r="AA265"/>
  <c r="AA249"/>
  <c r="AA233"/>
  <c r="AA217"/>
  <c r="AA280"/>
  <c r="AA200"/>
  <c r="AA184"/>
  <c r="AA168"/>
  <c r="AA152"/>
  <c r="AA120"/>
  <c r="AA104"/>
  <c r="AA88"/>
  <c r="AA72"/>
  <c r="AA56"/>
  <c r="AA40"/>
  <c r="AA24"/>
  <c r="AA293"/>
  <c r="AA277"/>
  <c r="AA261"/>
  <c r="AA245"/>
  <c r="AA229"/>
  <c r="AA213"/>
  <c r="AA303"/>
  <c r="AA287"/>
  <c r="AA271"/>
  <c r="AA276"/>
  <c r="AA196"/>
  <c r="AA180"/>
  <c r="AA164"/>
  <c r="AA148"/>
  <c r="AA132"/>
  <c r="AA116"/>
  <c r="AA100"/>
  <c r="AA84"/>
  <c r="AA68"/>
  <c r="AA52"/>
  <c r="AA36"/>
  <c r="AA20"/>
  <c r="AA305"/>
  <c r="AA289"/>
  <c r="AA273"/>
  <c r="AA257"/>
  <c r="AA241"/>
  <c r="AA225"/>
  <c r="AA209"/>
  <c r="AA288"/>
  <c r="AA272"/>
  <c r="AA208"/>
  <c r="AA192"/>
  <c r="AA176"/>
  <c r="AA160"/>
  <c r="AA144"/>
  <c r="AA128"/>
  <c r="AA112"/>
  <c r="AA96"/>
  <c r="AA80"/>
  <c r="AA64"/>
  <c r="AA48"/>
  <c r="AA32"/>
  <c r="AA16"/>
  <c r="AA301"/>
  <c r="AA285"/>
  <c r="AA269"/>
  <c r="AA253"/>
  <c r="AA237"/>
  <c r="AA221"/>
  <c r="AA114"/>
  <c r="AA98"/>
  <c r="AA82"/>
  <c r="AA66"/>
  <c r="AA50"/>
  <c r="AA34"/>
  <c r="AA18"/>
  <c r="AA8"/>
  <c r="AA247"/>
  <c r="AA231"/>
  <c r="AA215"/>
  <c r="AA199"/>
  <c r="AA183"/>
  <c r="AA167"/>
  <c r="AA151"/>
  <c r="AA135"/>
  <c r="AA119"/>
  <c r="AA103"/>
  <c r="AA87"/>
  <c r="AA71"/>
  <c r="AA55"/>
  <c r="AA39"/>
  <c r="AA23"/>
  <c r="AA300"/>
  <c r="AA268"/>
  <c r="AA252"/>
  <c r="AA236"/>
  <c r="AA220"/>
  <c r="AA13"/>
  <c r="AA201"/>
  <c r="AA185"/>
  <c r="AA169"/>
  <c r="AA153"/>
  <c r="AA137"/>
  <c r="AA121"/>
  <c r="AA105"/>
  <c r="AA89"/>
  <c r="AA73"/>
  <c r="AA57"/>
  <c r="AA41"/>
  <c r="AA25"/>
  <c r="AA302"/>
  <c r="AA286"/>
  <c r="AA270"/>
  <c r="AA254"/>
  <c r="AA238"/>
  <c r="AA222"/>
  <c r="AA206"/>
  <c r="AA190"/>
  <c r="AA174"/>
  <c r="AA158"/>
  <c r="AA142"/>
  <c r="AA126"/>
  <c r="AA110"/>
  <c r="AA94"/>
  <c r="AA78"/>
  <c r="AA62"/>
  <c r="AA46"/>
  <c r="AA30"/>
  <c r="AA14"/>
  <c r="AA6"/>
  <c r="AA291"/>
  <c r="AA275"/>
  <c r="AA259"/>
  <c r="AA243"/>
  <c r="AA227"/>
  <c r="AA211"/>
  <c r="AA195"/>
  <c r="AA179"/>
  <c r="AA163"/>
  <c r="AA147"/>
  <c r="AA131"/>
  <c r="AA115"/>
  <c r="AA99"/>
  <c r="AA83"/>
  <c r="AA67"/>
  <c r="AA51"/>
  <c r="AA35"/>
  <c r="AA19"/>
  <c r="AA296"/>
  <c r="AA264"/>
  <c r="AA248"/>
  <c r="AA232"/>
  <c r="AA216"/>
  <c r="AA136"/>
  <c r="AA11"/>
  <c r="AA197"/>
  <c r="AA181"/>
  <c r="AA165"/>
  <c r="AA149"/>
  <c r="AA133"/>
  <c r="AA117"/>
  <c r="AA101"/>
  <c r="AA85"/>
  <c r="AA69"/>
  <c r="AA53"/>
  <c r="AA37"/>
  <c r="AA21"/>
  <c r="AA298"/>
  <c r="AA282"/>
  <c r="AA266"/>
  <c r="AA250"/>
  <c r="AA234"/>
  <c r="AA218"/>
  <c r="AA202"/>
  <c r="AA186"/>
  <c r="AA170"/>
  <c r="AA154"/>
  <c r="AA138"/>
  <c r="AA122"/>
  <c r="AA106"/>
  <c r="AA90"/>
  <c r="AA74"/>
  <c r="AA58"/>
  <c r="AA42"/>
  <c r="AA26"/>
  <c r="AA12"/>
  <c r="AA255"/>
  <c r="AA239"/>
  <c r="AA223"/>
  <c r="AA207"/>
  <c r="AA191"/>
  <c r="AA175"/>
  <c r="AA159"/>
  <c r="AA143"/>
  <c r="AA127"/>
  <c r="AA111"/>
  <c r="AA95"/>
  <c r="AA79"/>
  <c r="AA63"/>
  <c r="AA47"/>
  <c r="AA31"/>
  <c r="AA15"/>
  <c r="AA292"/>
  <c r="AA260"/>
  <c r="AA244"/>
  <c r="AA228"/>
  <c r="AA212"/>
  <c r="AA9"/>
  <c r="AA193"/>
  <c r="AA177"/>
  <c r="AA161"/>
  <c r="AA145"/>
  <c r="AA129"/>
  <c r="AA113"/>
  <c r="AA97"/>
  <c r="AA81"/>
  <c r="AA65"/>
  <c r="AA49"/>
  <c r="AA33"/>
  <c r="AA17"/>
  <c r="AA294"/>
  <c r="AA278"/>
  <c r="AA262"/>
  <c r="AA246"/>
  <c r="AA230"/>
  <c r="AA214"/>
  <c r="AA198"/>
  <c r="AA182"/>
  <c r="AA166"/>
  <c r="AA150"/>
  <c r="AA134"/>
  <c r="AA118"/>
  <c r="AA102"/>
  <c r="AA86"/>
  <c r="AA70"/>
  <c r="AA54"/>
  <c r="AA38"/>
  <c r="AA22"/>
  <c r="AA10"/>
  <c r="AA299"/>
  <c r="AA283"/>
  <c r="AA267"/>
  <c r="AA251"/>
  <c r="AA235"/>
  <c r="AA219"/>
  <c r="AA203"/>
  <c r="AA187"/>
  <c r="AA171"/>
  <c r="AA155"/>
  <c r="AA139"/>
  <c r="AA123"/>
  <c r="AA107"/>
  <c r="AA91"/>
  <c r="AA75"/>
  <c r="AA59"/>
  <c r="AA43"/>
  <c r="AA27"/>
  <c r="AA304"/>
  <c r="AA256"/>
  <c r="AA240"/>
  <c r="AA224"/>
  <c r="AA7"/>
  <c r="AA205"/>
  <c r="AA189"/>
  <c r="AA173"/>
  <c r="AA157"/>
  <c r="AA141"/>
  <c r="AA125"/>
  <c r="AA109"/>
  <c r="AA93"/>
  <c r="AA77"/>
  <c r="AA61"/>
  <c r="AA45"/>
  <c r="AA29"/>
  <c r="AA306"/>
  <c r="AA290"/>
  <c r="AA274"/>
  <c r="AA258"/>
  <c r="AA242"/>
  <c r="AA226"/>
  <c r="AA210"/>
  <c r="AA194"/>
  <c r="AA178"/>
  <c r="AA162"/>
  <c r="AA146"/>
  <c r="AA130"/>
  <c r="B22" i="10"/>
  <c r="AA295" i="4"/>
  <c r="AA279"/>
  <c r="AA263"/>
  <c r="AA284"/>
  <c r="AA204"/>
  <c r="AA188"/>
  <c r="AA172"/>
  <c r="AA156"/>
  <c r="AA140"/>
  <c r="AA124"/>
  <c r="AA108"/>
  <c r="AA92"/>
  <c r="AA76"/>
  <c r="AA60"/>
  <c r="AA44"/>
  <c r="AA28"/>
  <c r="U10" i="10"/>
  <c r="L4" i="4" l="1"/>
  <c r="N10" i="10"/>
  <c r="L10" s="1"/>
  <c r="M10" s="1"/>
  <c r="O10" l="1"/>
  <c r="P10" s="1"/>
  <c r="L5" i="4"/>
  <c r="B16" i="13" s="1"/>
  <c r="B20" s="1"/>
  <c r="B18"/>
  <c r="B15"/>
  <c r="S10" i="10"/>
  <c r="T11" s="1"/>
  <c r="U11" s="1"/>
  <c r="Q10" l="1"/>
  <c r="G35" i="13"/>
  <c r="H35" s="1"/>
  <c r="I35" s="1"/>
  <c r="G108"/>
  <c r="H108" s="1"/>
  <c r="G104"/>
  <c r="H104" s="1"/>
  <c r="I104" s="1"/>
  <c r="G100"/>
  <c r="H100" s="1"/>
  <c r="I100" s="1"/>
  <c r="G96"/>
  <c r="H96" s="1"/>
  <c r="I96" s="1"/>
  <c r="G92"/>
  <c r="H92" s="1"/>
  <c r="I92" s="1"/>
  <c r="G88"/>
  <c r="H88" s="1"/>
  <c r="I88" s="1"/>
  <c r="G84"/>
  <c r="H84" s="1"/>
  <c r="I84" s="1"/>
  <c r="G80"/>
  <c r="H80" s="1"/>
  <c r="I80" s="1"/>
  <c r="G76"/>
  <c r="H76" s="1"/>
  <c r="I76" s="1"/>
  <c r="G72"/>
  <c r="H72" s="1"/>
  <c r="I72" s="1"/>
  <c r="G68"/>
  <c r="H68" s="1"/>
  <c r="I68" s="1"/>
  <c r="G64"/>
  <c r="H64" s="1"/>
  <c r="I64" s="1"/>
  <c r="G60"/>
  <c r="H60" s="1"/>
  <c r="I60" s="1"/>
  <c r="G56"/>
  <c r="H56" s="1"/>
  <c r="I56" s="1"/>
  <c r="G52"/>
  <c r="G44"/>
  <c r="H44" s="1"/>
  <c r="I44" s="1"/>
  <c r="G36"/>
  <c r="H36" s="1"/>
  <c r="I36" s="1"/>
  <c r="G107"/>
  <c r="H107" s="1"/>
  <c r="I107" s="1"/>
  <c r="G103"/>
  <c r="H103" s="1"/>
  <c r="I103" s="1"/>
  <c r="G99"/>
  <c r="H99" s="1"/>
  <c r="I99" s="1"/>
  <c r="G95"/>
  <c r="H95" s="1"/>
  <c r="I95" s="1"/>
  <c r="G91"/>
  <c r="H91" s="1"/>
  <c r="I91" s="1"/>
  <c r="G87"/>
  <c r="H87" s="1"/>
  <c r="I87" s="1"/>
  <c r="G83"/>
  <c r="H83" s="1"/>
  <c r="I83" s="1"/>
  <c r="G79"/>
  <c r="H79" s="1"/>
  <c r="I79" s="1"/>
  <c r="G75"/>
  <c r="H75" s="1"/>
  <c r="I75" s="1"/>
  <c r="G71"/>
  <c r="H71" s="1"/>
  <c r="I71" s="1"/>
  <c r="G67"/>
  <c r="H67" s="1"/>
  <c r="I67" s="1"/>
  <c r="G63"/>
  <c r="H63" s="1"/>
  <c r="I63" s="1"/>
  <c r="G59"/>
  <c r="H59" s="1"/>
  <c r="I59" s="1"/>
  <c r="G55"/>
  <c r="H55" s="1"/>
  <c r="I55" s="1"/>
  <c r="G50"/>
  <c r="H50" s="1"/>
  <c r="I50" s="1"/>
  <c r="G42"/>
  <c r="G51"/>
  <c r="H51" s="1"/>
  <c r="I51" s="1"/>
  <c r="G47"/>
  <c r="H47" s="1"/>
  <c r="I47" s="1"/>
  <c r="G43"/>
  <c r="H43" s="1"/>
  <c r="I43" s="1"/>
  <c r="G39"/>
  <c r="H39" s="1"/>
  <c r="I39" s="1"/>
  <c r="G106"/>
  <c r="H106" s="1"/>
  <c r="I106" s="1"/>
  <c r="G102"/>
  <c r="H102" s="1"/>
  <c r="I102" s="1"/>
  <c r="G98"/>
  <c r="H98" s="1"/>
  <c r="I98" s="1"/>
  <c r="G94"/>
  <c r="H94" s="1"/>
  <c r="I94" s="1"/>
  <c r="G90"/>
  <c r="H90" s="1"/>
  <c r="I90" s="1"/>
  <c r="G86"/>
  <c r="H86" s="1"/>
  <c r="I86" s="1"/>
  <c r="G82"/>
  <c r="H82" s="1"/>
  <c r="I82" s="1"/>
  <c r="G78"/>
  <c r="H78" s="1"/>
  <c r="I78" s="1"/>
  <c r="G74"/>
  <c r="H74" s="1"/>
  <c r="I74" s="1"/>
  <c r="G70"/>
  <c r="H70" s="1"/>
  <c r="I70" s="1"/>
  <c r="G66"/>
  <c r="H66" s="1"/>
  <c r="I66" s="1"/>
  <c r="G62"/>
  <c r="H62" s="1"/>
  <c r="I62" s="1"/>
  <c r="G58"/>
  <c r="H58" s="1"/>
  <c r="I58" s="1"/>
  <c r="G54"/>
  <c r="H54" s="1"/>
  <c r="I54" s="1"/>
  <c r="G48"/>
  <c r="H48" s="1"/>
  <c r="I48" s="1"/>
  <c r="G40"/>
  <c r="H40" s="1"/>
  <c r="I40" s="1"/>
  <c r="G105"/>
  <c r="H105" s="1"/>
  <c r="I105" s="1"/>
  <c r="G101"/>
  <c r="H101" s="1"/>
  <c r="I101" s="1"/>
  <c r="G97"/>
  <c r="H97" s="1"/>
  <c r="I97" s="1"/>
  <c r="G93"/>
  <c r="H93" s="1"/>
  <c r="I93" s="1"/>
  <c r="G89"/>
  <c r="H89" s="1"/>
  <c r="I89" s="1"/>
  <c r="G85"/>
  <c r="H85" s="1"/>
  <c r="I85" s="1"/>
  <c r="G81"/>
  <c r="H81" s="1"/>
  <c r="I81" s="1"/>
  <c r="G77"/>
  <c r="H77" s="1"/>
  <c r="I77" s="1"/>
  <c r="G73"/>
  <c r="H73" s="1"/>
  <c r="I73" s="1"/>
  <c r="G69"/>
  <c r="H69" s="1"/>
  <c r="I69" s="1"/>
  <c r="G65"/>
  <c r="H65" s="1"/>
  <c r="I65" s="1"/>
  <c r="G61"/>
  <c r="H61" s="1"/>
  <c r="I61" s="1"/>
  <c r="G57"/>
  <c r="H57" s="1"/>
  <c r="I57" s="1"/>
  <c r="G53"/>
  <c r="H53" s="1"/>
  <c r="I53" s="1"/>
  <c r="G46"/>
  <c r="H46" s="1"/>
  <c r="I46" s="1"/>
  <c r="G38"/>
  <c r="H38" s="1"/>
  <c r="I38" s="1"/>
  <c r="G34"/>
  <c r="H34" s="1"/>
  <c r="I34" s="1"/>
  <c r="G49"/>
  <c r="H49" s="1"/>
  <c r="I49" s="1"/>
  <c r="G45"/>
  <c r="H45" s="1"/>
  <c r="I45" s="1"/>
  <c r="G41"/>
  <c r="H41" s="1"/>
  <c r="I41" s="1"/>
  <c r="G37"/>
  <c r="H37" s="1"/>
  <c r="I37" s="1"/>
  <c r="H42"/>
  <c r="I42" s="1"/>
  <c r="B27"/>
  <c r="H52"/>
  <c r="I52" s="1"/>
  <c r="N11" i="10"/>
  <c r="L11" s="1"/>
  <c r="M11" s="1"/>
  <c r="B25" i="13" l="1"/>
  <c r="B26" s="1"/>
  <c r="B23" s="1"/>
  <c r="D23" s="1"/>
  <c r="S11" i="10"/>
  <c r="T12" s="1"/>
  <c r="U12" s="1"/>
  <c r="O11"/>
  <c r="Q11" l="1"/>
  <c r="P11"/>
  <c r="N12"/>
  <c r="L12" s="1"/>
  <c r="M12" s="1"/>
  <c r="O12" l="1"/>
  <c r="S12"/>
  <c r="T13" s="1"/>
  <c r="U13" s="1"/>
  <c r="Q12" l="1"/>
  <c r="P12"/>
  <c r="N13"/>
  <c r="L13" s="1"/>
  <c r="M13" s="1"/>
  <c r="O13" l="1"/>
  <c r="S13"/>
  <c r="T14" s="1"/>
  <c r="U14" s="1"/>
  <c r="Q13" l="1"/>
  <c r="P13"/>
  <c r="N14"/>
  <c r="L14" s="1"/>
  <c r="M14" s="1"/>
  <c r="O14" l="1"/>
  <c r="S14"/>
  <c r="T15" s="1"/>
  <c r="U15" s="1"/>
  <c r="N15" s="1"/>
  <c r="L15" s="1"/>
  <c r="M15" s="1"/>
  <c r="Q14" l="1"/>
  <c r="P14"/>
  <c r="S15"/>
  <c r="T16" s="1"/>
  <c r="U16" s="1"/>
  <c r="N16" s="1"/>
  <c r="L16" s="1"/>
  <c r="M16" s="1"/>
  <c r="O15"/>
  <c r="Q15" l="1"/>
  <c r="P15"/>
  <c r="O16"/>
  <c r="S16"/>
  <c r="T17" s="1"/>
  <c r="U17" s="1"/>
  <c r="N17" s="1"/>
  <c r="L17" s="1"/>
  <c r="M17" s="1"/>
  <c r="Q16" l="1"/>
  <c r="P16"/>
  <c r="S17"/>
  <c r="T18" s="1"/>
  <c r="U18" s="1"/>
  <c r="N18" s="1"/>
  <c r="L18" s="1"/>
  <c r="M18" s="1"/>
  <c r="O17"/>
  <c r="Q17" l="1"/>
  <c r="P17"/>
  <c r="O18"/>
  <c r="S18"/>
  <c r="T19" s="1"/>
  <c r="U19" s="1"/>
  <c r="N19" s="1"/>
  <c r="L19" s="1"/>
  <c r="M19" s="1"/>
  <c r="Q18" l="1"/>
  <c r="P18"/>
  <c r="O19"/>
  <c r="S19"/>
  <c r="T20" s="1"/>
  <c r="U20" s="1"/>
  <c r="N20" s="1"/>
  <c r="L20" s="1"/>
  <c r="M20" s="1"/>
  <c r="Q19" l="1"/>
  <c r="P19"/>
  <c r="O20"/>
  <c r="S20"/>
  <c r="T21" s="1"/>
  <c r="U21" s="1"/>
  <c r="N21" s="1"/>
  <c r="L21" s="1"/>
  <c r="M21" s="1"/>
  <c r="Q20" l="1"/>
  <c r="P20"/>
  <c r="S21"/>
  <c r="T22" s="1"/>
  <c r="U22" s="1"/>
  <c r="N22" s="1"/>
  <c r="L22" s="1"/>
  <c r="M22" s="1"/>
  <c r="O21"/>
  <c r="Q21" l="1"/>
  <c r="P21"/>
  <c r="O22"/>
  <c r="S22"/>
  <c r="T23" s="1"/>
  <c r="U23" s="1"/>
  <c r="N23" s="1"/>
  <c r="L23" s="1"/>
  <c r="M23" s="1"/>
  <c r="Q22" l="1"/>
  <c r="P22"/>
  <c r="S23"/>
  <c r="T24" s="1"/>
  <c r="U24" s="1"/>
  <c r="N24" s="1"/>
  <c r="L24" s="1"/>
  <c r="M24" s="1"/>
  <c r="O23"/>
  <c r="Q23" l="1"/>
  <c r="P23"/>
  <c r="S24"/>
  <c r="T25" s="1"/>
  <c r="U25" s="1"/>
  <c r="N25" s="1"/>
  <c r="L25" s="1"/>
  <c r="M25" s="1"/>
  <c r="O24"/>
  <c r="Q24" l="1"/>
  <c r="P24"/>
  <c r="S25"/>
  <c r="T26" s="1"/>
  <c r="U26" s="1"/>
  <c r="N26" s="1"/>
  <c r="L26" s="1"/>
  <c r="M26" s="1"/>
  <c r="O25"/>
  <c r="Q25" l="1"/>
  <c r="P25"/>
  <c r="O26"/>
  <c r="S26"/>
  <c r="T27" s="1"/>
  <c r="U27" s="1"/>
  <c r="N27" s="1"/>
  <c r="L27" s="1"/>
  <c r="M27" s="1"/>
  <c r="Q26" l="1"/>
  <c r="P26"/>
  <c r="S27"/>
  <c r="T28" s="1"/>
  <c r="U28" s="1"/>
  <c r="N28" s="1"/>
  <c r="L28" s="1"/>
  <c r="M28" s="1"/>
  <c r="O27"/>
  <c r="Q27" l="1"/>
  <c r="P27"/>
  <c r="O28"/>
  <c r="S28"/>
  <c r="T29" s="1"/>
  <c r="U29" s="1"/>
  <c r="N29" s="1"/>
  <c r="L29" s="1"/>
  <c r="M29" s="1"/>
  <c r="Q28" l="1"/>
  <c r="P28"/>
  <c r="O29"/>
  <c r="S29"/>
  <c r="T30" s="1"/>
  <c r="U30" s="1"/>
  <c r="N30" s="1"/>
  <c r="L30" s="1"/>
  <c r="M30" s="1"/>
  <c r="Q29" l="1"/>
  <c r="P29"/>
  <c r="O30"/>
  <c r="S30"/>
  <c r="T31" s="1"/>
  <c r="U31" s="1"/>
  <c r="N31" s="1"/>
  <c r="L31" s="1"/>
  <c r="M31" s="1"/>
  <c r="Q30" l="1"/>
  <c r="P30"/>
  <c r="S31"/>
  <c r="T32" s="1"/>
  <c r="U32" s="1"/>
  <c r="N32" s="1"/>
  <c r="L32" s="1"/>
  <c r="M32" s="1"/>
  <c r="O31"/>
  <c r="Q31" l="1"/>
  <c r="P31"/>
  <c r="O32"/>
  <c r="S32"/>
  <c r="T33" s="1"/>
  <c r="U33" s="1"/>
  <c r="N33" s="1"/>
  <c r="L33" s="1"/>
  <c r="M33" s="1"/>
  <c r="Q32" l="1"/>
  <c r="P32"/>
  <c r="S33"/>
  <c r="T34" s="1"/>
  <c r="U34" s="1"/>
  <c r="N34" s="1"/>
  <c r="L34" s="1"/>
  <c r="M34" s="1"/>
  <c r="O33"/>
  <c r="Q33" l="1"/>
  <c r="P33"/>
  <c r="S34"/>
  <c r="T35" s="1"/>
  <c r="U35" s="1"/>
  <c r="N35" s="1"/>
  <c r="L35" s="1"/>
  <c r="M35" s="1"/>
  <c r="O34"/>
  <c r="Q34" l="1"/>
  <c r="P34"/>
  <c r="S35"/>
  <c r="T36" s="1"/>
  <c r="U36" s="1"/>
  <c r="N36" s="1"/>
  <c r="L36" s="1"/>
  <c r="M36" s="1"/>
  <c r="O35"/>
  <c r="Q35" l="1"/>
  <c r="P35"/>
  <c r="O36"/>
  <c r="S36"/>
  <c r="T37" s="1"/>
  <c r="U37" s="1"/>
  <c r="N37" s="1"/>
  <c r="L37" s="1"/>
  <c r="M37" s="1"/>
  <c r="Q36" l="1"/>
  <c r="P36"/>
  <c r="S37"/>
  <c r="T38" s="1"/>
  <c r="U38" s="1"/>
  <c r="N38" s="1"/>
  <c r="L38" s="1"/>
  <c r="M38" s="1"/>
  <c r="O37"/>
  <c r="Q37" l="1"/>
  <c r="P37"/>
  <c r="O38"/>
  <c r="S38"/>
  <c r="T39" s="1"/>
  <c r="U39" s="1"/>
  <c r="N39" s="1"/>
  <c r="L39" s="1"/>
  <c r="M39" s="1"/>
  <c r="Q38" l="1"/>
  <c r="P38"/>
  <c r="O39"/>
  <c r="S39"/>
  <c r="T40" s="1"/>
  <c r="U40" s="1"/>
  <c r="N40" s="1"/>
  <c r="L40" s="1"/>
  <c r="M40" s="1"/>
  <c r="Q39" l="1"/>
  <c r="P39"/>
  <c r="O40"/>
  <c r="S40"/>
  <c r="T41" s="1"/>
  <c r="U41" s="1"/>
  <c r="N41" s="1"/>
  <c r="L41" s="1"/>
  <c r="M41" s="1"/>
  <c r="Q40" l="1"/>
  <c r="P40"/>
  <c r="S41"/>
  <c r="T42" s="1"/>
  <c r="U42" s="1"/>
  <c r="N42" s="1"/>
  <c r="L42" s="1"/>
  <c r="M42" s="1"/>
  <c r="O41"/>
  <c r="Q41" l="1"/>
  <c r="P41"/>
  <c r="O42"/>
  <c r="S42"/>
  <c r="T43" s="1"/>
  <c r="U43" s="1"/>
  <c r="N43" s="1"/>
  <c r="L43" s="1"/>
  <c r="M43" s="1"/>
  <c r="Q42" l="1"/>
  <c r="P42"/>
  <c r="S43"/>
  <c r="T44" s="1"/>
  <c r="U44" s="1"/>
  <c r="N44" s="1"/>
  <c r="L44" s="1"/>
  <c r="M44" s="1"/>
  <c r="O43"/>
  <c r="Q43" l="1"/>
  <c r="P43"/>
  <c r="S44"/>
  <c r="T45" s="1"/>
  <c r="U45" s="1"/>
  <c r="N45" s="1"/>
  <c r="L45" s="1"/>
  <c r="M45" s="1"/>
  <c r="O44"/>
  <c r="Q44" l="1"/>
  <c r="P44"/>
  <c r="S45"/>
  <c r="T46" s="1"/>
  <c r="U46" s="1"/>
  <c r="N46" s="1"/>
  <c r="L46" s="1"/>
  <c r="M46" s="1"/>
  <c r="O45"/>
  <c r="Q45" l="1"/>
  <c r="P45"/>
  <c r="S46"/>
  <c r="B31" s="1"/>
  <c r="O46"/>
  <c r="T47" l="1"/>
  <c r="U47" s="1"/>
  <c r="N47" s="1"/>
  <c r="L47" s="1"/>
  <c r="M47" s="1"/>
  <c r="O47" s="1"/>
  <c r="Q46"/>
  <c r="P46"/>
  <c r="S47" l="1"/>
  <c r="T48" s="1"/>
  <c r="U48" s="1"/>
  <c r="N48" s="1"/>
  <c r="L48" s="1"/>
  <c r="M48" s="1"/>
  <c r="S48" s="1"/>
  <c r="T49" s="1"/>
  <c r="U49" s="1"/>
  <c r="N49" s="1"/>
  <c r="L49" s="1"/>
  <c r="M49" s="1"/>
  <c r="Q47"/>
  <c r="P47"/>
  <c r="O48" l="1"/>
  <c r="Q48" s="1"/>
  <c r="S49"/>
  <c r="T50" s="1"/>
  <c r="U50" s="1"/>
  <c r="N50" s="1"/>
  <c r="L50" s="1"/>
  <c r="M50" s="1"/>
  <c r="O49"/>
  <c r="P48" l="1"/>
  <c r="Q49"/>
  <c r="P49"/>
  <c r="O50"/>
  <c r="S50"/>
  <c r="T51" s="1"/>
  <c r="U51" s="1"/>
  <c r="N51" s="1"/>
  <c r="L51" s="1"/>
  <c r="M51" s="1"/>
  <c r="Q50" l="1"/>
  <c r="P50"/>
  <c r="O51"/>
  <c r="S51"/>
  <c r="T52" s="1"/>
  <c r="U52" s="1"/>
  <c r="N52" s="1"/>
  <c r="L52" s="1"/>
  <c r="M52" s="1"/>
  <c r="Q51" l="1"/>
  <c r="P51"/>
  <c r="S52"/>
  <c r="T53" s="1"/>
  <c r="U53" s="1"/>
  <c r="N53" s="1"/>
  <c r="L53" s="1"/>
  <c r="M53" s="1"/>
  <c r="O52"/>
  <c r="Q52" l="1"/>
  <c r="P52"/>
  <c r="S53"/>
  <c r="T54" s="1"/>
  <c r="U54" s="1"/>
  <c r="N54" s="1"/>
  <c r="L54" s="1"/>
  <c r="M54" s="1"/>
  <c r="O53"/>
  <c r="Q53" l="1"/>
  <c r="P53"/>
  <c r="O54"/>
  <c r="S54"/>
  <c r="T55" s="1"/>
  <c r="U55" s="1"/>
  <c r="N55" s="1"/>
  <c r="L55" s="1"/>
  <c r="M55" s="1"/>
  <c r="Q54" l="1"/>
  <c r="P54"/>
  <c r="S55"/>
  <c r="T56" s="1"/>
  <c r="U56" s="1"/>
  <c r="N56" s="1"/>
  <c r="L56" s="1"/>
  <c r="M56" s="1"/>
  <c r="O55"/>
  <c r="Q55" l="1"/>
  <c r="P55"/>
  <c r="S56"/>
  <c r="T57" s="1"/>
  <c r="U57" s="1"/>
  <c r="N57" s="1"/>
  <c r="L57" s="1"/>
  <c r="M57" s="1"/>
  <c r="O56"/>
  <c r="Q56" l="1"/>
  <c r="P56"/>
  <c r="O57"/>
  <c r="S57"/>
  <c r="T58" s="1"/>
  <c r="U58" s="1"/>
  <c r="N58" s="1"/>
  <c r="L58" s="1"/>
  <c r="M58" s="1"/>
  <c r="Q57" l="1"/>
  <c r="P57"/>
  <c r="S58"/>
  <c r="T59" s="1"/>
  <c r="U59" s="1"/>
  <c r="N59" s="1"/>
  <c r="L59" s="1"/>
  <c r="M59" s="1"/>
  <c r="O58"/>
  <c r="Q58" l="1"/>
  <c r="P58"/>
  <c r="S59"/>
  <c r="T60" s="1"/>
  <c r="U60" s="1"/>
  <c r="N60" s="1"/>
  <c r="L60" s="1"/>
  <c r="M60" s="1"/>
  <c r="O59"/>
  <c r="Q59" l="1"/>
  <c r="P59"/>
  <c r="O60"/>
  <c r="S60"/>
  <c r="T61" s="1"/>
  <c r="U61" s="1"/>
  <c r="N61" s="1"/>
  <c r="L61" s="1"/>
  <c r="M61" s="1"/>
  <c r="P60" l="1"/>
  <c r="Q60"/>
  <c r="O61"/>
  <c r="S61"/>
  <c r="T62" s="1"/>
  <c r="U62" s="1"/>
  <c r="N62" s="1"/>
  <c r="L62" s="1"/>
  <c r="M62" s="1"/>
  <c r="P61" l="1"/>
  <c r="Q61"/>
  <c r="S62"/>
  <c r="T63" s="1"/>
  <c r="U63" s="1"/>
  <c r="N63" s="1"/>
  <c r="L63" s="1"/>
  <c r="M63" s="1"/>
  <c r="O62"/>
  <c r="P62" l="1"/>
  <c r="Q62"/>
  <c r="S63"/>
  <c r="T64" s="1"/>
  <c r="U64" s="1"/>
  <c r="N64" s="1"/>
  <c r="L64" s="1"/>
  <c r="M64" s="1"/>
  <c r="O63"/>
  <c r="P63" l="1"/>
  <c r="Q63"/>
  <c r="O64"/>
  <c r="S64"/>
  <c r="T65" s="1"/>
  <c r="U65" s="1"/>
  <c r="N65" s="1"/>
  <c r="L65" s="1"/>
  <c r="M65" s="1"/>
  <c r="P64" l="1"/>
  <c r="Q64"/>
  <c r="S65"/>
  <c r="T66" s="1"/>
  <c r="U66" s="1"/>
  <c r="N66" s="1"/>
  <c r="L66" s="1"/>
  <c r="M66" s="1"/>
  <c r="O65"/>
  <c r="P65" l="1"/>
  <c r="Q65"/>
  <c r="S66"/>
  <c r="T67" s="1"/>
  <c r="O66"/>
  <c r="P66" l="1"/>
  <c r="Q66"/>
  <c r="U67"/>
  <c r="N67" s="1"/>
  <c r="L67" s="1"/>
  <c r="M67" s="1"/>
  <c r="O67" l="1"/>
  <c r="S67"/>
  <c r="T68" s="1"/>
  <c r="P67" l="1"/>
  <c r="Q67"/>
  <c r="U68"/>
  <c r="N68" s="1"/>
  <c r="L68" s="1"/>
  <c r="M68" s="1"/>
  <c r="O68" l="1"/>
  <c r="S68"/>
  <c r="T69" s="1"/>
  <c r="P68" l="1"/>
  <c r="Q68"/>
  <c r="U69"/>
  <c r="N69" s="1"/>
  <c r="L69" s="1"/>
  <c r="M69" s="1"/>
  <c r="S69" l="1"/>
  <c r="T70" s="1"/>
  <c r="O69"/>
  <c r="P69" l="1"/>
  <c r="Q69"/>
  <c r="U70"/>
  <c r="B32"/>
  <c r="B33" s="1"/>
  <c r="N70" l="1"/>
  <c r="L70" s="1"/>
  <c r="M70" s="1"/>
  <c r="B34"/>
  <c r="B35" s="1"/>
  <c r="B20" l="1"/>
  <c r="B25" s="1"/>
  <c r="AI8" s="1"/>
  <c r="AG9"/>
  <c r="AG11"/>
  <c r="AG13"/>
  <c r="AG15"/>
  <c r="AG17"/>
  <c r="AG19"/>
  <c r="AG21"/>
  <c r="AG23"/>
  <c r="AG25"/>
  <c r="AG27"/>
  <c r="AG29"/>
  <c r="AG31"/>
  <c r="AG33"/>
  <c r="AG35"/>
  <c r="AG37"/>
  <c r="AG39"/>
  <c r="AG41"/>
  <c r="AG43"/>
  <c r="AG45"/>
  <c r="AG47"/>
  <c r="AG49"/>
  <c r="AG51"/>
  <c r="AG53"/>
  <c r="AG55"/>
  <c r="AG57"/>
  <c r="AG59"/>
  <c r="AG61"/>
  <c r="AG63"/>
  <c r="AG65"/>
  <c r="AG67"/>
  <c r="AG69"/>
  <c r="AG71"/>
  <c r="AG73"/>
  <c r="AG75"/>
  <c r="AG77"/>
  <c r="AG79"/>
  <c r="AG81"/>
  <c r="AG83"/>
  <c r="AG10"/>
  <c r="AG12"/>
  <c r="AG14"/>
  <c r="AG16"/>
  <c r="AG18"/>
  <c r="AG20"/>
  <c r="AG22"/>
  <c r="AG24"/>
  <c r="AG26"/>
  <c r="AG28"/>
  <c r="AG30"/>
  <c r="AG32"/>
  <c r="AG34"/>
  <c r="AG36"/>
  <c r="AG38"/>
  <c r="AG40"/>
  <c r="AG42"/>
  <c r="AG44"/>
  <c r="AG46"/>
  <c r="AG48"/>
  <c r="AG50"/>
  <c r="AG52"/>
  <c r="AG54"/>
  <c r="AG56"/>
  <c r="AG58"/>
  <c r="AG60"/>
  <c r="AG62"/>
  <c r="AG64"/>
  <c r="AG66"/>
  <c r="AG68"/>
  <c r="AG70"/>
  <c r="AG72"/>
  <c r="AG74"/>
  <c r="AG76"/>
  <c r="AG78"/>
  <c r="AG80"/>
  <c r="AG82"/>
  <c r="S70"/>
  <c r="T71" s="1"/>
  <c r="U71" s="1"/>
  <c r="N71" s="1"/>
  <c r="L71" s="1"/>
  <c r="M71" s="1"/>
  <c r="O70"/>
  <c r="B36"/>
  <c r="B38"/>
  <c r="B66" i="5" s="1"/>
  <c r="F6" i="12" l="1"/>
  <c r="B54" i="6"/>
  <c r="B6" i="12"/>
  <c r="P70" i="10"/>
  <c r="Q70"/>
  <c r="O71"/>
  <c r="S71"/>
  <c r="T72" s="1"/>
  <c r="U72" s="1"/>
  <c r="N72" s="1"/>
  <c r="L72" s="1"/>
  <c r="M72" s="1"/>
  <c r="B15" i="12" l="1"/>
  <c r="G6"/>
  <c r="B73" i="5"/>
  <c r="B14" i="12"/>
  <c r="P71" i="10"/>
  <c r="Q71"/>
  <c r="O72"/>
  <c r="S72"/>
  <c r="T73" s="1"/>
  <c r="U73" s="1"/>
  <c r="N73" s="1"/>
  <c r="L73" s="1"/>
  <c r="M73" s="1"/>
  <c r="K6" i="12" l="1"/>
  <c r="I6"/>
  <c r="J6" s="1"/>
  <c r="L6" s="1"/>
  <c r="H6"/>
  <c r="B60" i="6"/>
  <c r="P72" i="10"/>
  <c r="Q72"/>
  <c r="S73"/>
  <c r="T74" s="1"/>
  <c r="U74" s="1"/>
  <c r="N74" s="1"/>
  <c r="L74" s="1"/>
  <c r="M74" s="1"/>
  <c r="O73"/>
  <c r="M6" i="12" l="1"/>
  <c r="F7"/>
  <c r="P73" i="10"/>
  <c r="Q73"/>
  <c r="O74"/>
  <c r="S74"/>
  <c r="T75" s="1"/>
  <c r="U75" s="1"/>
  <c r="N75" s="1"/>
  <c r="L75" s="1"/>
  <c r="M75" s="1"/>
  <c r="G7" i="12" l="1"/>
  <c r="P74" i="10"/>
  <c r="Q74"/>
  <c r="S75"/>
  <c r="T76" s="1"/>
  <c r="U76" s="1"/>
  <c r="N76" s="1"/>
  <c r="L76" s="1"/>
  <c r="M76" s="1"/>
  <c r="O75"/>
  <c r="H7" i="12" l="1"/>
  <c r="I7"/>
  <c r="J7" s="1"/>
  <c r="L7" s="1"/>
  <c r="K7"/>
  <c r="P75" i="10"/>
  <c r="Q75"/>
  <c r="O76"/>
  <c r="S76"/>
  <c r="T77" s="1"/>
  <c r="U77" s="1"/>
  <c r="N77" s="1"/>
  <c r="L77" s="1"/>
  <c r="M77" s="1"/>
  <c r="M7" i="12" l="1"/>
  <c r="F8"/>
  <c r="P76" i="10"/>
  <c r="Q76"/>
  <c r="O77"/>
  <c r="S77"/>
  <c r="T78" s="1"/>
  <c r="U78" s="1"/>
  <c r="N78" s="1"/>
  <c r="L78" s="1"/>
  <c r="M78" s="1"/>
  <c r="G8" i="12" l="1"/>
  <c r="P77" i="10"/>
  <c r="Q77"/>
  <c r="O78"/>
  <c r="S78"/>
  <c r="T79" s="1"/>
  <c r="U79" s="1"/>
  <c r="N79" s="1"/>
  <c r="L79" s="1"/>
  <c r="M79" s="1"/>
  <c r="I8" i="12" l="1"/>
  <c r="J8" s="1"/>
  <c r="L8" s="1"/>
  <c r="H8"/>
  <c r="K8"/>
  <c r="P78" i="10"/>
  <c r="Q78"/>
  <c r="O79"/>
  <c r="S79"/>
  <c r="T80" s="1"/>
  <c r="U80" s="1"/>
  <c r="N80" s="1"/>
  <c r="L80" s="1"/>
  <c r="M80" s="1"/>
  <c r="M8" i="12" l="1"/>
  <c r="F9"/>
  <c r="P79" i="10"/>
  <c r="Q79"/>
  <c r="S80"/>
  <c r="T81" s="1"/>
  <c r="U81" s="1"/>
  <c r="N81" s="1"/>
  <c r="L81" s="1"/>
  <c r="M81" s="1"/>
  <c r="O80"/>
  <c r="G9" i="12" l="1"/>
  <c r="P80" i="10"/>
  <c r="Q80"/>
  <c r="S81"/>
  <c r="T82" s="1"/>
  <c r="U82" s="1"/>
  <c r="N82" s="1"/>
  <c r="L82" s="1"/>
  <c r="M82" s="1"/>
  <c r="O81"/>
  <c r="I9" i="12" l="1"/>
  <c r="J9" s="1"/>
  <c r="L9" s="1"/>
  <c r="H9"/>
  <c r="K9"/>
  <c r="P81" i="10"/>
  <c r="Q81"/>
  <c r="S82"/>
  <c r="T83" s="1"/>
  <c r="U83" s="1"/>
  <c r="N83" s="1"/>
  <c r="L83" s="1"/>
  <c r="M83" s="1"/>
  <c r="O82"/>
  <c r="M9" i="12" l="1"/>
  <c r="F10"/>
  <c r="P82" i="10"/>
  <c r="Q82"/>
  <c r="S83"/>
  <c r="T84" s="1"/>
  <c r="U84" s="1"/>
  <c r="N84" s="1"/>
  <c r="L84" s="1"/>
  <c r="M84" s="1"/>
  <c r="O83"/>
  <c r="G10" i="12" l="1"/>
  <c r="P83" i="10"/>
  <c r="Q83"/>
  <c r="S84"/>
  <c r="O84"/>
  <c r="I10" i="12" l="1"/>
  <c r="J10" s="1"/>
  <c r="L10" s="1"/>
  <c r="H10"/>
  <c r="K10"/>
  <c r="P84" i="10"/>
  <c r="Q84"/>
  <c r="M10" i="12" l="1"/>
  <c r="F11"/>
  <c r="G11" l="1"/>
  <c r="I11" l="1"/>
  <c r="J11" s="1"/>
  <c r="L11" s="1"/>
  <c r="H11"/>
  <c r="K11"/>
  <c r="M11" l="1"/>
  <c r="F12"/>
  <c r="G12" l="1"/>
  <c r="I12" l="1"/>
  <c r="J12" s="1"/>
  <c r="L12" s="1"/>
  <c r="H12"/>
  <c r="K12"/>
  <c r="M12" l="1"/>
  <c r="F13"/>
  <c r="G13" l="1"/>
  <c r="I13" l="1"/>
  <c r="J13" s="1"/>
  <c r="L13" s="1"/>
  <c r="H13"/>
  <c r="K13"/>
  <c r="M13" l="1"/>
  <c r="F14"/>
  <c r="G14" l="1"/>
  <c r="I14" l="1"/>
  <c r="J14" s="1"/>
  <c r="L14" s="1"/>
  <c r="H14"/>
  <c r="K14"/>
  <c r="M14" l="1"/>
  <c r="F15"/>
  <c r="G15" l="1"/>
  <c r="I15" l="1"/>
  <c r="J15" s="1"/>
  <c r="L15" s="1"/>
  <c r="H15"/>
  <c r="K15"/>
  <c r="M15" l="1"/>
  <c r="F16"/>
  <c r="G16" l="1"/>
  <c r="I16" l="1"/>
  <c r="J16" s="1"/>
  <c r="L16" s="1"/>
  <c r="H16"/>
  <c r="K16"/>
  <c r="M16" l="1"/>
  <c r="F17"/>
  <c r="G17" l="1"/>
  <c r="I17" l="1"/>
  <c r="J17" s="1"/>
  <c r="L17" s="1"/>
  <c r="H17"/>
  <c r="K17"/>
  <c r="M17" l="1"/>
  <c r="F18"/>
  <c r="G18" l="1"/>
  <c r="I18" l="1"/>
  <c r="J18" s="1"/>
  <c r="L18" s="1"/>
  <c r="H18"/>
  <c r="K18"/>
  <c r="M18" l="1"/>
  <c r="F19"/>
  <c r="G19" l="1"/>
  <c r="I19" l="1"/>
  <c r="J19" s="1"/>
  <c r="L19" s="1"/>
  <c r="H19"/>
  <c r="K19"/>
  <c r="M19" l="1"/>
  <c r="F20"/>
  <c r="G20" l="1"/>
  <c r="I20" l="1"/>
  <c r="J20" s="1"/>
  <c r="L20" s="1"/>
  <c r="H20"/>
  <c r="K20"/>
  <c r="M20" l="1"/>
  <c r="F21"/>
  <c r="G21" l="1"/>
  <c r="I21" l="1"/>
  <c r="J21" s="1"/>
  <c r="L21" s="1"/>
  <c r="H21"/>
  <c r="K21"/>
  <c r="M21" l="1"/>
  <c r="F22"/>
  <c r="G22" l="1"/>
  <c r="I22" l="1"/>
  <c r="J22" s="1"/>
  <c r="L22" s="1"/>
  <c r="H22"/>
  <c r="K22"/>
  <c r="M22" l="1"/>
  <c r="F23"/>
  <c r="G23" l="1"/>
  <c r="I23" l="1"/>
  <c r="J23" s="1"/>
  <c r="L23" s="1"/>
  <c r="H23"/>
  <c r="K23"/>
  <c r="M23" l="1"/>
  <c r="F24"/>
  <c r="G24" l="1"/>
  <c r="I24" l="1"/>
  <c r="J24" s="1"/>
  <c r="L24" s="1"/>
  <c r="H24"/>
  <c r="K24"/>
  <c r="M24" l="1"/>
  <c r="F25"/>
  <c r="G25" l="1"/>
  <c r="I25" l="1"/>
  <c r="J25" s="1"/>
  <c r="L25" s="1"/>
  <c r="H25"/>
  <c r="K25"/>
  <c r="M25" l="1"/>
  <c r="F26"/>
  <c r="G26" l="1"/>
  <c r="I26" l="1"/>
  <c r="J26" s="1"/>
  <c r="L26" s="1"/>
  <c r="H26"/>
  <c r="K26"/>
  <c r="M26" l="1"/>
  <c r="F27"/>
  <c r="G27" l="1"/>
  <c r="H27" l="1"/>
  <c r="K27"/>
  <c r="I27"/>
  <c r="J27" s="1"/>
  <c r="L27" s="1"/>
  <c r="F28" l="1"/>
  <c r="M27"/>
  <c r="G28" l="1"/>
  <c r="I28" l="1"/>
  <c r="J28" s="1"/>
  <c r="L28" s="1"/>
  <c r="H28"/>
  <c r="K28"/>
  <c r="M28" l="1"/>
  <c r="F29"/>
  <c r="G29" l="1"/>
  <c r="I29" l="1"/>
  <c r="J29" s="1"/>
  <c r="L29" s="1"/>
  <c r="H29"/>
  <c r="K29"/>
  <c r="M29" l="1"/>
  <c r="F30"/>
  <c r="G30" l="1"/>
  <c r="H30" l="1"/>
  <c r="K30"/>
  <c r="I30"/>
  <c r="J30" s="1"/>
  <c r="L30" s="1"/>
  <c r="F31" l="1"/>
  <c r="M30"/>
  <c r="G31" l="1"/>
  <c r="I31" l="1"/>
  <c r="J31" s="1"/>
  <c r="L31" s="1"/>
  <c r="H31"/>
  <c r="K31"/>
  <c r="F32" l="1"/>
  <c r="M31"/>
  <c r="G32" l="1"/>
  <c r="I32" l="1"/>
  <c r="J32" s="1"/>
  <c r="L32" s="1"/>
  <c r="H32"/>
  <c r="K32"/>
  <c r="F33" l="1"/>
  <c r="M32"/>
  <c r="G33" l="1"/>
  <c r="I33" l="1"/>
  <c r="J33" s="1"/>
  <c r="L33" s="1"/>
  <c r="H33"/>
  <c r="K33"/>
  <c r="F34" l="1"/>
  <c r="M33"/>
  <c r="G34" l="1"/>
  <c r="H34" l="1"/>
  <c r="K34"/>
  <c r="I34"/>
  <c r="J34" s="1"/>
  <c r="L34" s="1"/>
  <c r="F35" l="1"/>
  <c r="M34"/>
  <c r="G35" l="1"/>
  <c r="I35" l="1"/>
  <c r="J35" s="1"/>
  <c r="L35" s="1"/>
  <c r="H35"/>
  <c r="K35"/>
  <c r="F36" l="1"/>
  <c r="M35"/>
  <c r="G36" l="1"/>
  <c r="I36" l="1"/>
  <c r="J36" s="1"/>
  <c r="L36" s="1"/>
  <c r="H36"/>
  <c r="K36"/>
  <c r="F37" l="1"/>
  <c r="M36"/>
  <c r="G37" l="1"/>
  <c r="H37" l="1"/>
  <c r="K37"/>
  <c r="I37"/>
  <c r="J37" s="1"/>
  <c r="L37" s="1"/>
  <c r="F38" l="1"/>
  <c r="M37"/>
  <c r="G38" l="1"/>
  <c r="I38" l="1"/>
  <c r="J38" s="1"/>
  <c r="L38" s="1"/>
  <c r="H38"/>
  <c r="K38"/>
  <c r="F39" l="1"/>
  <c r="M38"/>
  <c r="G39" l="1"/>
  <c r="I39" l="1"/>
  <c r="J39" s="1"/>
  <c r="L39" s="1"/>
  <c r="H39"/>
  <c r="K39"/>
  <c r="F40" l="1"/>
  <c r="M39"/>
  <c r="G40" l="1"/>
  <c r="I40" l="1"/>
  <c r="J40" s="1"/>
  <c r="L40" s="1"/>
  <c r="H40"/>
  <c r="K40"/>
  <c r="F41" l="1"/>
  <c r="M40"/>
  <c r="G41" l="1"/>
  <c r="I41" l="1"/>
  <c r="J41" s="1"/>
  <c r="L41" s="1"/>
  <c r="H41"/>
  <c r="K41"/>
  <c r="F42" l="1"/>
  <c r="M41"/>
  <c r="G42" l="1"/>
  <c r="I42" l="1"/>
  <c r="J42" s="1"/>
  <c r="L42" s="1"/>
  <c r="H42"/>
  <c r="K42"/>
  <c r="F43" l="1"/>
  <c r="M42"/>
  <c r="G43" l="1"/>
  <c r="H43" l="1"/>
  <c r="K43"/>
  <c r="I43"/>
  <c r="J43" s="1"/>
  <c r="L43" s="1"/>
  <c r="F44" l="1"/>
  <c r="M43"/>
  <c r="G44" l="1"/>
  <c r="I44" l="1"/>
  <c r="J44" s="1"/>
  <c r="L44" s="1"/>
  <c r="H44"/>
  <c r="K44"/>
  <c r="F45" l="1"/>
  <c r="M44"/>
  <c r="G45" l="1"/>
  <c r="I45" l="1"/>
  <c r="J45" s="1"/>
  <c r="L45" s="1"/>
  <c r="H45"/>
  <c r="K45"/>
  <c r="F46" l="1"/>
  <c r="M45"/>
  <c r="G46" l="1"/>
  <c r="I46" l="1"/>
  <c r="J46" s="1"/>
  <c r="L46" s="1"/>
  <c r="H46"/>
  <c r="K46"/>
  <c r="F47" l="1"/>
  <c r="M46"/>
  <c r="G47" l="1"/>
  <c r="I47" l="1"/>
  <c r="J47" s="1"/>
  <c r="L47" s="1"/>
  <c r="H47"/>
  <c r="K47"/>
  <c r="M47" l="1"/>
  <c r="F48"/>
  <c r="G48" l="1"/>
  <c r="I48" l="1"/>
  <c r="J48" s="1"/>
  <c r="L48" s="1"/>
  <c r="H48"/>
  <c r="K48"/>
  <c r="F49" l="1"/>
  <c r="M48"/>
  <c r="G49" l="1"/>
  <c r="I49" l="1"/>
  <c r="J49" s="1"/>
  <c r="L49" s="1"/>
  <c r="H49"/>
  <c r="K49"/>
  <c r="F50" l="1"/>
  <c r="M49"/>
  <c r="G50" l="1"/>
  <c r="I50" l="1"/>
  <c r="J50" s="1"/>
  <c r="L50" s="1"/>
  <c r="H50"/>
  <c r="K50"/>
  <c r="F51" l="1"/>
  <c r="M50"/>
  <c r="G51" l="1"/>
  <c r="I51" l="1"/>
  <c r="J51" s="1"/>
  <c r="L51" s="1"/>
  <c r="H51"/>
  <c r="K51"/>
  <c r="F52" l="1"/>
  <c r="M51"/>
  <c r="G52" l="1"/>
  <c r="H52" l="1"/>
  <c r="K52"/>
  <c r="I52"/>
  <c r="J52" s="1"/>
  <c r="L52" s="1"/>
  <c r="F53" l="1"/>
  <c r="M52"/>
  <c r="G53" l="1"/>
  <c r="H53" l="1"/>
  <c r="K53"/>
  <c r="I53"/>
  <c r="J53" s="1"/>
  <c r="L53" s="1"/>
  <c r="F54" l="1"/>
  <c r="M53"/>
  <c r="G54" l="1"/>
  <c r="H54" l="1"/>
  <c r="K54"/>
  <c r="I54"/>
  <c r="J54" s="1"/>
  <c r="L54" s="1"/>
  <c r="F55" l="1"/>
  <c r="M54"/>
  <c r="G55" l="1"/>
  <c r="I55" l="1"/>
  <c r="J55" s="1"/>
  <c r="L55" s="1"/>
  <c r="H55"/>
  <c r="K55"/>
  <c r="F56" l="1"/>
  <c r="M55"/>
  <c r="G56" l="1"/>
  <c r="I56" l="1"/>
  <c r="J56" s="1"/>
  <c r="L56" s="1"/>
  <c r="H56"/>
  <c r="K56"/>
  <c r="F57" l="1"/>
  <c r="M56"/>
  <c r="G57" l="1"/>
  <c r="I57" l="1"/>
  <c r="J57" s="1"/>
  <c r="L57" s="1"/>
  <c r="H57"/>
  <c r="K57"/>
  <c r="F58" l="1"/>
  <c r="M57"/>
  <c r="G58" l="1"/>
  <c r="H58" l="1"/>
  <c r="K58"/>
  <c r="I58"/>
  <c r="J58" s="1"/>
  <c r="L58" s="1"/>
  <c r="F59" l="1"/>
  <c r="M58"/>
  <c r="G59" l="1"/>
  <c r="I59" l="1"/>
  <c r="J59" s="1"/>
  <c r="L59" s="1"/>
  <c r="H59"/>
  <c r="K59"/>
  <c r="F60" l="1"/>
  <c r="M59"/>
  <c r="G60" l="1"/>
  <c r="I60" l="1"/>
  <c r="J60" s="1"/>
  <c r="L60" s="1"/>
  <c r="H60"/>
  <c r="K60"/>
  <c r="F61" l="1"/>
  <c r="M60"/>
  <c r="G61" l="1"/>
  <c r="H61" l="1"/>
  <c r="K61"/>
  <c r="I61"/>
  <c r="J61" s="1"/>
  <c r="L61" s="1"/>
  <c r="F62" l="1"/>
  <c r="M61"/>
  <c r="G62" l="1"/>
  <c r="I62" l="1"/>
  <c r="J62" s="1"/>
  <c r="L62" s="1"/>
  <c r="H62"/>
  <c r="K62"/>
  <c r="F63" l="1"/>
  <c r="M62"/>
  <c r="G63" l="1"/>
  <c r="I63" l="1"/>
  <c r="J63" s="1"/>
  <c r="L63" s="1"/>
  <c r="H63"/>
  <c r="K63"/>
  <c r="F64" l="1"/>
  <c r="M63"/>
  <c r="G64" l="1"/>
  <c r="H64" l="1"/>
  <c r="K64"/>
  <c r="I64"/>
  <c r="J64" s="1"/>
  <c r="L64" s="1"/>
  <c r="M64" l="1"/>
  <c r="F65"/>
  <c r="G65" l="1"/>
  <c r="H65" l="1"/>
  <c r="K65"/>
  <c r="I65"/>
  <c r="J65" s="1"/>
  <c r="L65" s="1"/>
  <c r="M65" l="1"/>
  <c r="F66"/>
  <c r="G66" l="1"/>
  <c r="H66" l="1"/>
  <c r="K66"/>
  <c r="I66"/>
  <c r="J66" s="1"/>
  <c r="L66" s="1"/>
  <c r="M66" l="1"/>
  <c r="F67"/>
  <c r="G67" l="1"/>
  <c r="I67" l="1"/>
  <c r="J67" s="1"/>
  <c r="L67" s="1"/>
  <c r="H67"/>
  <c r="K67"/>
  <c r="M67" l="1"/>
  <c r="F68"/>
  <c r="G68" l="1"/>
  <c r="I68" l="1"/>
  <c r="J68" s="1"/>
  <c r="L68" s="1"/>
  <c r="H68"/>
  <c r="K68"/>
  <c r="M68" l="1"/>
  <c r="F69"/>
  <c r="G69" l="1"/>
  <c r="H69" l="1"/>
  <c r="K69"/>
  <c r="I69"/>
  <c r="J69" s="1"/>
  <c r="L69" s="1"/>
  <c r="M69" l="1"/>
  <c r="F70"/>
  <c r="G70" l="1"/>
  <c r="H70" l="1"/>
  <c r="K70"/>
  <c r="I70"/>
  <c r="J70" s="1"/>
  <c r="L70" s="1"/>
  <c r="M70" l="1"/>
  <c r="F71"/>
  <c r="G71" l="1"/>
  <c r="I71" l="1"/>
  <c r="J71" s="1"/>
  <c r="L71" s="1"/>
  <c r="H71"/>
  <c r="K71"/>
  <c r="M71" l="1"/>
  <c r="F72"/>
  <c r="G72" l="1"/>
  <c r="H72" l="1"/>
  <c r="K72"/>
  <c r="I72"/>
  <c r="J72" s="1"/>
  <c r="L72" s="1"/>
  <c r="M72" l="1"/>
  <c r="F73"/>
  <c r="G73" l="1"/>
  <c r="I73" l="1"/>
  <c r="J73" s="1"/>
  <c r="L73" s="1"/>
  <c r="H73"/>
  <c r="K73"/>
  <c r="M73" l="1"/>
  <c r="F74"/>
  <c r="G74" l="1"/>
  <c r="H74" l="1"/>
  <c r="K74"/>
  <c r="I74"/>
  <c r="J74" s="1"/>
  <c r="L74" s="1"/>
  <c r="M74" l="1"/>
  <c r="F75"/>
  <c r="G75" l="1"/>
  <c r="I75" l="1"/>
  <c r="J75" s="1"/>
  <c r="L75" s="1"/>
  <c r="H75"/>
  <c r="K75"/>
  <c r="M75" l="1"/>
  <c r="F76"/>
  <c r="G76" l="1"/>
  <c r="I76" l="1"/>
  <c r="J76" s="1"/>
  <c r="L76" s="1"/>
  <c r="H76"/>
  <c r="K76"/>
  <c r="M76" l="1"/>
  <c r="F77"/>
  <c r="G77" l="1"/>
  <c r="I77" l="1"/>
  <c r="J77" s="1"/>
  <c r="L77" s="1"/>
  <c r="H77"/>
  <c r="K77"/>
  <c r="M77" l="1"/>
  <c r="F78"/>
  <c r="G78" l="1"/>
  <c r="H78" l="1"/>
  <c r="K78"/>
  <c r="I78"/>
  <c r="J78" s="1"/>
  <c r="L78" s="1"/>
  <c r="M78" l="1"/>
  <c r="F79"/>
  <c r="G79" l="1"/>
  <c r="I79" l="1"/>
  <c r="J79" s="1"/>
  <c r="L79" s="1"/>
  <c r="H79"/>
  <c r="K79"/>
  <c r="M79" l="1"/>
  <c r="F80"/>
  <c r="G80" l="1"/>
  <c r="I80" l="1"/>
  <c r="J80" s="1"/>
  <c r="L80" s="1"/>
  <c r="H80"/>
  <c r="K80"/>
  <c r="M80" l="1"/>
  <c r="F81"/>
  <c r="G81" l="1"/>
  <c r="H81" l="1"/>
  <c r="K81"/>
  <c r="I81"/>
  <c r="J81" s="1"/>
  <c r="L81" s="1"/>
  <c r="M81" l="1"/>
  <c r="F82"/>
  <c r="G82" l="1"/>
  <c r="H82" l="1"/>
  <c r="K82"/>
  <c r="I82"/>
  <c r="J82" s="1"/>
  <c r="L82" s="1"/>
  <c r="M82" l="1"/>
  <c r="F83"/>
  <c r="G83" l="1"/>
  <c r="H83" l="1"/>
  <c r="K83"/>
  <c r="I83"/>
  <c r="J83" s="1"/>
  <c r="L83" s="1"/>
  <c r="M83" l="1"/>
  <c r="F84"/>
  <c r="G84" l="1"/>
  <c r="I84" l="1"/>
  <c r="J84" s="1"/>
  <c r="L84" s="1"/>
  <c r="H84"/>
  <c r="K84"/>
  <c r="M84" l="1"/>
  <c r="F85"/>
  <c r="G85" l="1"/>
  <c r="I85" l="1"/>
  <c r="J85" s="1"/>
  <c r="L85" s="1"/>
  <c r="H85"/>
  <c r="K85"/>
  <c r="M85" l="1"/>
  <c r="F86"/>
  <c r="G86" l="1"/>
  <c r="H86" l="1"/>
  <c r="K86"/>
  <c r="I86"/>
  <c r="J86" s="1"/>
  <c r="L86" s="1"/>
  <c r="M86" l="1"/>
  <c r="F87"/>
  <c r="G87" l="1"/>
  <c r="I87" l="1"/>
  <c r="J87" s="1"/>
  <c r="L87" s="1"/>
  <c r="H87"/>
  <c r="K87"/>
  <c r="M87" l="1"/>
  <c r="F88"/>
  <c r="G88" l="1"/>
  <c r="H88" l="1"/>
  <c r="K88"/>
  <c r="I88"/>
  <c r="J88" s="1"/>
  <c r="L88" s="1"/>
  <c r="M88" l="1"/>
  <c r="F89"/>
  <c r="G89" l="1"/>
  <c r="H89" l="1"/>
  <c r="K89"/>
  <c r="I89"/>
  <c r="J89" s="1"/>
  <c r="L89" s="1"/>
  <c r="M89" l="1"/>
  <c r="F90"/>
  <c r="G90" l="1"/>
  <c r="I90" l="1"/>
  <c r="J90" s="1"/>
  <c r="L90" s="1"/>
  <c r="H90"/>
  <c r="K90"/>
  <c r="M90" l="1"/>
  <c r="F91"/>
  <c r="G91" l="1"/>
  <c r="H91" l="1"/>
  <c r="K91"/>
  <c r="I91"/>
  <c r="J91" s="1"/>
  <c r="L91" s="1"/>
  <c r="M91" l="1"/>
  <c r="F92"/>
  <c r="G92" l="1"/>
  <c r="I92" l="1"/>
  <c r="J92" s="1"/>
  <c r="L92" s="1"/>
  <c r="H92"/>
  <c r="K92"/>
  <c r="M92" l="1"/>
  <c r="F93"/>
  <c r="G93" l="1"/>
  <c r="I93" l="1"/>
  <c r="J93" s="1"/>
  <c r="L93" s="1"/>
  <c r="H93"/>
  <c r="K93"/>
  <c r="M93" l="1"/>
  <c r="F94"/>
  <c r="G94" l="1"/>
  <c r="I94" l="1"/>
  <c r="J94" s="1"/>
  <c r="L94" s="1"/>
  <c r="H94"/>
  <c r="K94"/>
  <c r="M94" l="1"/>
  <c r="F95"/>
  <c r="G95" l="1"/>
  <c r="I95" l="1"/>
  <c r="J95" s="1"/>
  <c r="L95" s="1"/>
  <c r="H95"/>
  <c r="K95"/>
  <c r="M95" l="1"/>
  <c r="F96"/>
  <c r="G96" l="1"/>
  <c r="I96" l="1"/>
  <c r="J96" s="1"/>
  <c r="L96" s="1"/>
  <c r="H96"/>
  <c r="K96"/>
  <c r="M96" l="1"/>
  <c r="F97"/>
  <c r="G97" l="1"/>
  <c r="H97" l="1"/>
  <c r="K97"/>
  <c r="I97"/>
  <c r="J97" s="1"/>
  <c r="L97" s="1"/>
  <c r="M97" l="1"/>
  <c r="F98"/>
  <c r="G98" l="1"/>
  <c r="I98" l="1"/>
  <c r="J98" s="1"/>
  <c r="L98" s="1"/>
  <c r="H98"/>
  <c r="K98"/>
  <c r="M98" l="1"/>
  <c r="F99"/>
  <c r="G99" l="1"/>
  <c r="I99" l="1"/>
  <c r="J99" s="1"/>
  <c r="L99" s="1"/>
  <c r="H99"/>
  <c r="K99"/>
  <c r="M99" l="1"/>
  <c r="F100"/>
  <c r="G100" l="1"/>
  <c r="I100" l="1"/>
  <c r="J100" s="1"/>
  <c r="L100" s="1"/>
  <c r="H100"/>
  <c r="K100"/>
  <c r="M100" l="1"/>
  <c r="F101"/>
  <c r="G101" l="1"/>
  <c r="I101" l="1"/>
  <c r="J101" s="1"/>
  <c r="L101" s="1"/>
  <c r="H101"/>
  <c r="K101"/>
  <c r="M101" l="1"/>
  <c r="F102"/>
  <c r="G102" l="1"/>
  <c r="I102" l="1"/>
  <c r="J102" s="1"/>
  <c r="L102" s="1"/>
  <c r="H102"/>
  <c r="K102"/>
  <c r="M102" l="1"/>
  <c r="F103"/>
  <c r="G103" l="1"/>
  <c r="I103" l="1"/>
  <c r="J103" s="1"/>
  <c r="L103" s="1"/>
  <c r="H103"/>
  <c r="K103"/>
  <c r="M103" l="1"/>
  <c r="F104"/>
  <c r="G104" l="1"/>
  <c r="I104" l="1"/>
  <c r="J104" s="1"/>
  <c r="L104" s="1"/>
  <c r="H104"/>
  <c r="K104"/>
  <c r="M104" l="1"/>
  <c r="F105"/>
  <c r="G105" l="1"/>
  <c r="I105" l="1"/>
  <c r="J105" s="1"/>
  <c r="L105" s="1"/>
  <c r="H105"/>
  <c r="K105"/>
  <c r="M105" l="1"/>
  <c r="F106"/>
  <c r="G106" l="1"/>
  <c r="I106" l="1"/>
  <c r="J106" s="1"/>
  <c r="L106" s="1"/>
  <c r="H106"/>
  <c r="K106"/>
  <c r="M106" l="1"/>
  <c r="F107"/>
  <c r="G107" l="1"/>
  <c r="I107" l="1"/>
  <c r="J107" s="1"/>
  <c r="L107" s="1"/>
  <c r="H107"/>
  <c r="K107"/>
  <c r="M107" l="1"/>
  <c r="F108"/>
  <c r="G108" l="1"/>
  <c r="I108" l="1"/>
  <c r="J108" s="1"/>
  <c r="L108" s="1"/>
  <c r="H108"/>
  <c r="K108"/>
  <c r="M108" l="1"/>
  <c r="F109"/>
  <c r="G109" l="1"/>
  <c r="I109" l="1"/>
  <c r="J109" s="1"/>
  <c r="L109" s="1"/>
  <c r="H109"/>
  <c r="K109"/>
  <c r="M109" l="1"/>
  <c r="F110"/>
  <c r="G110" l="1"/>
  <c r="I110" l="1"/>
  <c r="J110" s="1"/>
  <c r="L110" s="1"/>
  <c r="H110"/>
  <c r="K110"/>
  <c r="M110" l="1"/>
  <c r="F111"/>
  <c r="G111" l="1"/>
  <c r="I111" l="1"/>
  <c r="J111" s="1"/>
  <c r="L111" s="1"/>
  <c r="H111"/>
  <c r="K111"/>
  <c r="M111" l="1"/>
  <c r="F112"/>
  <c r="G112" l="1"/>
  <c r="I112" l="1"/>
  <c r="J112" s="1"/>
  <c r="L112" s="1"/>
  <c r="H112"/>
  <c r="K112"/>
  <c r="M112" l="1"/>
  <c r="F113"/>
  <c r="G113" l="1"/>
  <c r="I113" l="1"/>
  <c r="J113" s="1"/>
  <c r="L113" s="1"/>
  <c r="H113"/>
  <c r="K113"/>
  <c r="M113" l="1"/>
  <c r="F114"/>
  <c r="G114" l="1"/>
  <c r="I114" l="1"/>
  <c r="J114" s="1"/>
  <c r="L114" s="1"/>
  <c r="H114"/>
  <c r="K114"/>
  <c r="M114" l="1"/>
  <c r="F115"/>
  <c r="G115" l="1"/>
  <c r="H115" l="1"/>
  <c r="K115"/>
  <c r="I115"/>
  <c r="J115" s="1"/>
  <c r="L115" s="1"/>
  <c r="M115" l="1"/>
  <c r="F116"/>
  <c r="G116" l="1"/>
  <c r="I116" l="1"/>
  <c r="J116" s="1"/>
  <c r="L116" s="1"/>
  <c r="H116"/>
  <c r="K116"/>
  <c r="M116" l="1"/>
  <c r="F117"/>
  <c r="G117" l="1"/>
  <c r="I117" l="1"/>
  <c r="J117" s="1"/>
  <c r="L117" s="1"/>
  <c r="H117"/>
  <c r="K117"/>
  <c r="M117" l="1"/>
  <c r="F118"/>
  <c r="G118" l="1"/>
  <c r="I118" l="1"/>
  <c r="J118" s="1"/>
  <c r="L118" s="1"/>
  <c r="H118"/>
  <c r="K118"/>
  <c r="M118" l="1"/>
  <c r="F119"/>
  <c r="G119" l="1"/>
  <c r="I119" l="1"/>
  <c r="J119" s="1"/>
  <c r="L119" s="1"/>
  <c r="H119"/>
  <c r="K119"/>
  <c r="M119" l="1"/>
  <c r="F120"/>
  <c r="G120" l="1"/>
  <c r="I120" l="1"/>
  <c r="J120" s="1"/>
  <c r="L120" s="1"/>
  <c r="H120"/>
  <c r="K120"/>
  <c r="M120" l="1"/>
  <c r="F121"/>
  <c r="G121" l="1"/>
  <c r="H121" l="1"/>
  <c r="K121"/>
  <c r="I121"/>
  <c r="J121" s="1"/>
  <c r="L121" s="1"/>
  <c r="M121" l="1"/>
  <c r="F122"/>
  <c r="G122" l="1"/>
  <c r="I122" l="1"/>
  <c r="J122" s="1"/>
  <c r="L122" s="1"/>
  <c r="H122"/>
  <c r="K122"/>
  <c r="M122" l="1"/>
  <c r="F123"/>
  <c r="G123" l="1"/>
  <c r="I123" l="1"/>
  <c r="J123" s="1"/>
  <c r="L123" s="1"/>
  <c r="H123"/>
  <c r="K123"/>
  <c r="M123" l="1"/>
  <c r="F124"/>
  <c r="G124" l="1"/>
  <c r="H124" l="1"/>
  <c r="K124"/>
  <c r="I124"/>
  <c r="J124" s="1"/>
  <c r="L124" s="1"/>
  <c r="F125" l="1"/>
  <c r="M124"/>
  <c r="G125" l="1"/>
  <c r="K125" l="1"/>
  <c r="H125"/>
  <c r="I125"/>
  <c r="J125" s="1"/>
  <c r="L125" s="1"/>
  <c r="F126" l="1"/>
  <c r="M125"/>
  <c r="G126" l="1"/>
  <c r="I126" l="1"/>
  <c r="J126" s="1"/>
  <c r="L126" s="1"/>
  <c r="H126"/>
  <c r="K126"/>
  <c r="F127" l="1"/>
  <c r="M126"/>
  <c r="G127" l="1"/>
  <c r="I127" l="1"/>
  <c r="J127" s="1"/>
  <c r="L127" s="1"/>
  <c r="H127"/>
  <c r="K127"/>
  <c r="F128" l="1"/>
  <c r="M127"/>
  <c r="G128" l="1"/>
  <c r="H128" l="1"/>
  <c r="K128"/>
  <c r="I128"/>
  <c r="J128" s="1"/>
  <c r="L128" s="1"/>
  <c r="F129" l="1"/>
  <c r="M128"/>
  <c r="G129" l="1"/>
  <c r="H129" l="1"/>
  <c r="I129"/>
  <c r="J129" s="1"/>
  <c r="L129" s="1"/>
  <c r="K129"/>
  <c r="F130" l="1"/>
  <c r="M129"/>
  <c r="G130" l="1"/>
  <c r="H130" l="1"/>
  <c r="K130"/>
  <c r="I130"/>
  <c r="J130" s="1"/>
  <c r="L130" s="1"/>
  <c r="F131" l="1"/>
  <c r="M130"/>
  <c r="G131" l="1"/>
  <c r="I131" l="1"/>
  <c r="J131" s="1"/>
  <c r="L131" s="1"/>
  <c r="H131"/>
  <c r="K131"/>
  <c r="F132" l="1"/>
  <c r="M131"/>
  <c r="G132" l="1"/>
  <c r="I132" l="1"/>
  <c r="J132" s="1"/>
  <c r="L132" s="1"/>
  <c r="H132"/>
  <c r="K132"/>
  <c r="F133" l="1"/>
  <c r="M132"/>
  <c r="G133" l="1"/>
  <c r="H133" l="1"/>
  <c r="I133"/>
  <c r="J133" s="1"/>
  <c r="L133" s="1"/>
  <c r="K133"/>
  <c r="F134" l="1"/>
  <c r="M133"/>
  <c r="G134" l="1"/>
  <c r="I134" l="1"/>
  <c r="J134" s="1"/>
  <c r="L134" s="1"/>
  <c r="H134"/>
  <c r="K134"/>
  <c r="F135" l="1"/>
  <c r="M134"/>
  <c r="G135" l="1"/>
  <c r="I135" l="1"/>
  <c r="J135" s="1"/>
  <c r="L135" s="1"/>
  <c r="H135"/>
  <c r="K135"/>
  <c r="F136" l="1"/>
  <c r="M135"/>
  <c r="G136" l="1"/>
  <c r="I136" l="1"/>
  <c r="J136" s="1"/>
  <c r="L136" s="1"/>
  <c r="H136"/>
  <c r="K136"/>
  <c r="F137" l="1"/>
  <c r="M136"/>
  <c r="G137" l="1"/>
  <c r="K137" l="1"/>
  <c r="H137"/>
  <c r="I137"/>
  <c r="J137" s="1"/>
  <c r="L137" s="1"/>
  <c r="F138" l="1"/>
  <c r="M137"/>
  <c r="G138" l="1"/>
  <c r="I138" l="1"/>
  <c r="J138" s="1"/>
  <c r="L138" s="1"/>
  <c r="H138"/>
  <c r="K138"/>
  <c r="F139" l="1"/>
  <c r="M138"/>
  <c r="G139" l="1"/>
  <c r="I139" l="1"/>
  <c r="J139" s="1"/>
  <c r="L139" s="1"/>
  <c r="H139"/>
  <c r="K139"/>
  <c r="F140" l="1"/>
  <c r="M139"/>
  <c r="G140" l="1"/>
  <c r="I140" l="1"/>
  <c r="J140" s="1"/>
  <c r="L140" s="1"/>
  <c r="H140"/>
  <c r="K140"/>
  <c r="F141" l="1"/>
  <c r="M140"/>
  <c r="G141" l="1"/>
  <c r="K141" l="1"/>
  <c r="H141"/>
  <c r="I141"/>
  <c r="J141" s="1"/>
  <c r="L141" s="1"/>
  <c r="F142" l="1"/>
  <c r="M141"/>
  <c r="G142" l="1"/>
  <c r="H142" l="1"/>
  <c r="K142"/>
  <c r="I142"/>
  <c r="J142" s="1"/>
  <c r="L142" s="1"/>
  <c r="M142" l="1"/>
  <c r="F143"/>
  <c r="G143" l="1"/>
  <c r="I143" l="1"/>
  <c r="J143" s="1"/>
  <c r="L143" s="1"/>
  <c r="H143"/>
  <c r="K143"/>
  <c r="M143" l="1"/>
  <c r="F144"/>
  <c r="G144" l="1"/>
  <c r="I144" l="1"/>
  <c r="J144" s="1"/>
  <c r="L144" s="1"/>
  <c r="H144"/>
  <c r="K144"/>
  <c r="M144" l="1"/>
  <c r="F145"/>
  <c r="G145" l="1"/>
  <c r="K145" l="1"/>
  <c r="H145"/>
  <c r="I145"/>
  <c r="J145" s="1"/>
  <c r="L145" s="1"/>
  <c r="M145" l="1"/>
  <c r="F146"/>
  <c r="G146" l="1"/>
  <c r="I146" l="1"/>
  <c r="J146" s="1"/>
  <c r="L146" s="1"/>
  <c r="H146"/>
  <c r="K146"/>
  <c r="M146" l="1"/>
  <c r="F147"/>
  <c r="G147" l="1"/>
  <c r="I147" l="1"/>
  <c r="J147" s="1"/>
  <c r="L147" s="1"/>
  <c r="H147"/>
  <c r="K147"/>
  <c r="M147" l="1"/>
  <c r="F148"/>
  <c r="G148" l="1"/>
  <c r="I148" l="1"/>
  <c r="J148" s="1"/>
  <c r="L148" s="1"/>
  <c r="H148"/>
  <c r="K148"/>
  <c r="M148" l="1"/>
  <c r="F149"/>
  <c r="G149" l="1"/>
  <c r="K149" l="1"/>
  <c r="H149"/>
  <c r="I149"/>
  <c r="J149" s="1"/>
  <c r="L149" s="1"/>
  <c r="M149" l="1"/>
  <c r="F150"/>
  <c r="G150" l="1"/>
  <c r="I150" l="1"/>
  <c r="J150" s="1"/>
  <c r="L150" s="1"/>
  <c r="H150"/>
  <c r="K150"/>
  <c r="M150" l="1"/>
  <c r="F151"/>
  <c r="G151" l="1"/>
  <c r="H151" l="1"/>
  <c r="K151"/>
  <c r="I151"/>
  <c r="J151" s="1"/>
  <c r="L151" s="1"/>
  <c r="M151" l="1"/>
  <c r="F152"/>
  <c r="G152" l="1"/>
  <c r="H152" l="1"/>
  <c r="K152"/>
  <c r="I152"/>
  <c r="J152" s="1"/>
  <c r="L152" s="1"/>
  <c r="M152" l="1"/>
  <c r="F153"/>
  <c r="G153" l="1"/>
  <c r="H153" l="1"/>
  <c r="I153"/>
  <c r="J153" s="1"/>
  <c r="L153" s="1"/>
  <c r="K153"/>
  <c r="M153" l="1"/>
  <c r="F154"/>
  <c r="G154" l="1"/>
  <c r="H154" l="1"/>
  <c r="K154"/>
  <c r="I154"/>
  <c r="J154" s="1"/>
  <c r="L154" s="1"/>
  <c r="F155" l="1"/>
  <c r="M154"/>
  <c r="G155" l="1"/>
  <c r="H155" l="1"/>
  <c r="K155"/>
  <c r="I155"/>
  <c r="J155" s="1"/>
  <c r="L155" s="1"/>
  <c r="F156" l="1"/>
  <c r="M155"/>
  <c r="G156" l="1"/>
  <c r="H156" l="1"/>
  <c r="K156"/>
  <c r="I156"/>
  <c r="J156" s="1"/>
  <c r="L156" s="1"/>
  <c r="F157" l="1"/>
  <c r="M156"/>
  <c r="G157" l="1"/>
  <c r="H157" l="1"/>
  <c r="I157"/>
  <c r="J157" s="1"/>
  <c r="L157" s="1"/>
  <c r="K157"/>
  <c r="F158" l="1"/>
  <c r="M157"/>
  <c r="G158" l="1"/>
  <c r="I158" l="1"/>
  <c r="J158" s="1"/>
  <c r="L158" s="1"/>
  <c r="H158"/>
  <c r="K158"/>
  <c r="F159" l="1"/>
  <c r="M158"/>
  <c r="G159" l="1"/>
  <c r="I159" l="1"/>
  <c r="J159" s="1"/>
  <c r="L159" s="1"/>
  <c r="H159"/>
  <c r="K159"/>
  <c r="F160" l="1"/>
  <c r="M159"/>
  <c r="G160" l="1"/>
  <c r="I160" l="1"/>
  <c r="J160" s="1"/>
  <c r="L160" s="1"/>
  <c r="H160"/>
  <c r="K160"/>
  <c r="F161" l="1"/>
  <c r="M160"/>
  <c r="G161" l="1"/>
  <c r="H161" l="1"/>
  <c r="I161"/>
  <c r="J161" s="1"/>
  <c r="L161" s="1"/>
  <c r="K161"/>
  <c r="F162" l="1"/>
  <c r="M161"/>
  <c r="G162" l="1"/>
  <c r="I162" l="1"/>
  <c r="J162" s="1"/>
  <c r="L162" s="1"/>
  <c r="H162"/>
  <c r="K162"/>
  <c r="F163" l="1"/>
  <c r="M162"/>
  <c r="G163" l="1"/>
  <c r="H163" l="1"/>
  <c r="K163"/>
  <c r="I163"/>
  <c r="J163" s="1"/>
  <c r="L163" s="1"/>
  <c r="F164" l="1"/>
  <c r="M163"/>
  <c r="G164" l="1"/>
  <c r="I164" l="1"/>
  <c r="J164" s="1"/>
  <c r="L164" s="1"/>
  <c r="K164"/>
  <c r="H164"/>
  <c r="F165" l="1"/>
  <c r="M164"/>
  <c r="G165" l="1"/>
  <c r="K165" l="1"/>
  <c r="H165"/>
  <c r="I165"/>
  <c r="J165" s="1"/>
  <c r="L165" s="1"/>
  <c r="F166" l="1"/>
  <c r="M165"/>
  <c r="G166" l="1"/>
  <c r="I166" l="1"/>
  <c r="J166" s="1"/>
  <c r="L166" s="1"/>
  <c r="H166"/>
  <c r="K166"/>
  <c r="F167" l="1"/>
  <c r="M166"/>
  <c r="G167" l="1"/>
  <c r="H167" l="1"/>
  <c r="K167"/>
  <c r="I167"/>
  <c r="J167" s="1"/>
  <c r="L167" s="1"/>
  <c r="F168" l="1"/>
  <c r="M167"/>
  <c r="G168" l="1"/>
  <c r="I168" l="1"/>
  <c r="J168" s="1"/>
  <c r="L168" s="1"/>
  <c r="H168"/>
  <c r="K168"/>
  <c r="F169" l="1"/>
  <c r="M168"/>
  <c r="G169" l="1"/>
  <c r="H169" l="1"/>
  <c r="I169"/>
  <c r="J169" s="1"/>
  <c r="L169" s="1"/>
  <c r="K169"/>
  <c r="F170" l="1"/>
  <c r="M169"/>
  <c r="G170" l="1"/>
  <c r="I170" l="1"/>
  <c r="J170" s="1"/>
  <c r="L170" s="1"/>
  <c r="H170"/>
  <c r="K170"/>
  <c r="F171" l="1"/>
  <c r="M170"/>
  <c r="G171" l="1"/>
  <c r="I171" l="1"/>
  <c r="J171" s="1"/>
  <c r="L171" s="1"/>
  <c r="H171"/>
  <c r="K171"/>
  <c r="F172" l="1"/>
  <c r="M171"/>
  <c r="G172" l="1"/>
  <c r="I172" l="1"/>
  <c r="J172" s="1"/>
  <c r="L172" s="1"/>
  <c r="H172"/>
  <c r="K172"/>
  <c r="F173" l="1"/>
  <c r="M172"/>
  <c r="G173" l="1"/>
  <c r="K173" l="1"/>
  <c r="H173"/>
  <c r="I173"/>
  <c r="J173" s="1"/>
  <c r="L173" s="1"/>
  <c r="F174" l="1"/>
  <c r="M173"/>
  <c r="G174" l="1"/>
  <c r="I174" l="1"/>
  <c r="J174" s="1"/>
  <c r="L174" s="1"/>
  <c r="H174"/>
  <c r="K174"/>
  <c r="F175" l="1"/>
  <c r="M174"/>
  <c r="G175" l="1"/>
  <c r="H175" l="1"/>
  <c r="K175"/>
  <c r="I175"/>
  <c r="J175" s="1"/>
  <c r="L175" s="1"/>
  <c r="F176" l="1"/>
  <c r="M175"/>
  <c r="G176" l="1"/>
  <c r="I176" l="1"/>
  <c r="J176" s="1"/>
  <c r="L176" s="1"/>
  <c r="K176"/>
  <c r="H176"/>
  <c r="F177" l="1"/>
  <c r="M176"/>
  <c r="G177" l="1"/>
  <c r="K177" l="1"/>
  <c r="I177"/>
  <c r="J177" s="1"/>
  <c r="L177" s="1"/>
  <c r="H177"/>
  <c r="F178" l="1"/>
  <c r="M177"/>
  <c r="G178" l="1"/>
  <c r="I178" l="1"/>
  <c r="J178" s="1"/>
  <c r="L178" s="1"/>
  <c r="H178"/>
  <c r="K178"/>
  <c r="F179" l="1"/>
  <c r="M178"/>
  <c r="G179" l="1"/>
  <c r="I179" l="1"/>
  <c r="J179" s="1"/>
  <c r="L179" s="1"/>
  <c r="H179"/>
  <c r="K179"/>
  <c r="F180" l="1"/>
  <c r="M179"/>
  <c r="G180" l="1"/>
  <c r="I180" l="1"/>
  <c r="J180" s="1"/>
  <c r="L180" s="1"/>
  <c r="H180"/>
  <c r="K180"/>
  <c r="F181" l="1"/>
  <c r="M180"/>
  <c r="G181" l="1"/>
  <c r="I181" l="1"/>
  <c r="J181" s="1"/>
  <c r="L181" s="1"/>
  <c r="H181"/>
  <c r="K181"/>
  <c r="M181" l="1"/>
  <c r="F182"/>
  <c r="G182" l="1"/>
  <c r="H182" l="1"/>
  <c r="K182"/>
  <c r="I182"/>
  <c r="J182" s="1"/>
  <c r="L182" s="1"/>
  <c r="M182" l="1"/>
  <c r="F183"/>
  <c r="G183" l="1"/>
  <c r="I183" l="1"/>
  <c r="J183" s="1"/>
  <c r="L183" s="1"/>
  <c r="H183"/>
  <c r="K183"/>
  <c r="M183" l="1"/>
  <c r="F184"/>
  <c r="G184" l="1"/>
  <c r="H184" l="1"/>
  <c r="K184"/>
  <c r="I184"/>
  <c r="J184" s="1"/>
  <c r="L184" s="1"/>
  <c r="M184" l="1"/>
  <c r="F185"/>
  <c r="G185" l="1"/>
  <c r="I185" l="1"/>
  <c r="J185" s="1"/>
  <c r="L185" s="1"/>
  <c r="K185"/>
  <c r="H185"/>
  <c r="M185" l="1"/>
  <c r="F186"/>
  <c r="G186" l="1"/>
  <c r="H186" l="1"/>
  <c r="K186"/>
  <c r="I186"/>
  <c r="J186" s="1"/>
  <c r="L186" s="1"/>
  <c r="M186" l="1"/>
  <c r="F187"/>
  <c r="G187" l="1"/>
  <c r="H187" l="1"/>
  <c r="K187"/>
  <c r="I187"/>
  <c r="J187" s="1"/>
  <c r="L187" s="1"/>
  <c r="M187" l="1"/>
  <c r="F188"/>
  <c r="G188" l="1"/>
  <c r="I188" l="1"/>
  <c r="J188" s="1"/>
  <c r="L188" s="1"/>
  <c r="K188"/>
  <c r="H188"/>
  <c r="M188" l="1"/>
  <c r="F189"/>
  <c r="G189" l="1"/>
  <c r="H189" l="1"/>
  <c r="K189"/>
  <c r="I189"/>
  <c r="J189" s="1"/>
  <c r="L189" s="1"/>
  <c r="M189" l="1"/>
  <c r="F190"/>
  <c r="G190" l="1"/>
  <c r="H190" l="1"/>
  <c r="K190"/>
  <c r="I190"/>
  <c r="J190" s="1"/>
  <c r="L190" s="1"/>
  <c r="M190" l="1"/>
  <c r="F191"/>
  <c r="G191" l="1"/>
  <c r="I191" l="1"/>
  <c r="J191" s="1"/>
  <c r="L191" s="1"/>
  <c r="K191"/>
  <c r="H191"/>
  <c r="M191" l="1"/>
  <c r="F192"/>
  <c r="G192" l="1"/>
  <c r="I192" l="1"/>
  <c r="J192" s="1"/>
  <c r="L192" s="1"/>
  <c r="H192"/>
  <c r="K192"/>
  <c r="M192" l="1"/>
  <c r="F193"/>
  <c r="G193" l="1"/>
  <c r="I193" l="1"/>
  <c r="J193" s="1"/>
  <c r="L193" s="1"/>
  <c r="H193"/>
  <c r="K193"/>
  <c r="M193" l="1"/>
  <c r="F194"/>
  <c r="G194" l="1"/>
  <c r="I194" l="1"/>
  <c r="J194" s="1"/>
  <c r="L194" s="1"/>
  <c r="H194"/>
  <c r="K194"/>
  <c r="M194" l="1"/>
  <c r="F195"/>
  <c r="G195" l="1"/>
  <c r="I195" l="1"/>
  <c r="J195" s="1"/>
  <c r="L195" s="1"/>
  <c r="H195"/>
  <c r="K195"/>
  <c r="M195" l="1"/>
  <c r="F196"/>
  <c r="G196" l="1"/>
  <c r="H196" l="1"/>
  <c r="K196"/>
  <c r="I196"/>
  <c r="J196" s="1"/>
  <c r="L196" s="1"/>
  <c r="M196" l="1"/>
  <c r="F197"/>
  <c r="G197" l="1"/>
  <c r="I197" l="1"/>
  <c r="J197" s="1"/>
  <c r="L197" s="1"/>
  <c r="H197"/>
  <c r="K197"/>
  <c r="M197" l="1"/>
  <c r="F198"/>
  <c r="G198" l="1"/>
  <c r="H198" l="1"/>
  <c r="K198"/>
  <c r="I198"/>
  <c r="J198" s="1"/>
  <c r="L198" s="1"/>
  <c r="M198" l="1"/>
  <c r="F199"/>
  <c r="G199" l="1"/>
  <c r="I199" l="1"/>
  <c r="J199" s="1"/>
  <c r="L199" s="1"/>
  <c r="H199"/>
  <c r="K199"/>
  <c r="M199" l="1"/>
  <c r="F200"/>
  <c r="G200" l="1"/>
  <c r="I200" l="1"/>
  <c r="J200" s="1"/>
  <c r="L200" s="1"/>
  <c r="H200"/>
  <c r="K200"/>
  <c r="M200" l="1"/>
  <c r="F201"/>
  <c r="G201" l="1"/>
  <c r="H201" l="1"/>
  <c r="K201"/>
  <c r="I201"/>
  <c r="J201" s="1"/>
  <c r="L201" s="1"/>
  <c r="M201" l="1"/>
  <c r="F202"/>
  <c r="G202" l="1"/>
  <c r="I202" l="1"/>
  <c r="J202" s="1"/>
  <c r="L202" s="1"/>
  <c r="H202"/>
  <c r="K202"/>
  <c r="M202" l="1"/>
  <c r="F203"/>
  <c r="G203" l="1"/>
  <c r="I203" l="1"/>
  <c r="J203" s="1"/>
  <c r="L203" s="1"/>
  <c r="H203"/>
  <c r="K203"/>
  <c r="M203" l="1"/>
  <c r="F204"/>
  <c r="G204" l="1"/>
  <c r="H204" l="1"/>
  <c r="K204"/>
  <c r="I204"/>
  <c r="J204" s="1"/>
  <c r="L204" s="1"/>
  <c r="M204" l="1"/>
  <c r="F205"/>
  <c r="G205" l="1"/>
  <c r="H205" l="1"/>
  <c r="K205"/>
  <c r="I205"/>
  <c r="J205" s="1"/>
  <c r="L205" s="1"/>
  <c r="M205" l="1"/>
  <c r="F206"/>
  <c r="G206" l="1"/>
  <c r="H206" l="1"/>
  <c r="K206"/>
  <c r="I206"/>
  <c r="J206" s="1"/>
  <c r="L206" s="1"/>
  <c r="M206" l="1"/>
  <c r="F207"/>
  <c r="G207" l="1"/>
  <c r="H207" l="1"/>
  <c r="K207"/>
  <c r="I207"/>
  <c r="J207" s="1"/>
  <c r="L207" s="1"/>
  <c r="M207" l="1"/>
  <c r="F208"/>
  <c r="G208" l="1"/>
  <c r="H208" l="1"/>
  <c r="K208"/>
  <c r="I208"/>
  <c r="J208" s="1"/>
  <c r="L208" s="1"/>
  <c r="M208" l="1"/>
  <c r="F209"/>
  <c r="G209" l="1"/>
  <c r="I209" l="1"/>
  <c r="J209" s="1"/>
  <c r="L209" s="1"/>
  <c r="H209"/>
  <c r="K209"/>
  <c r="M209" l="1"/>
  <c r="F210"/>
  <c r="G210" l="1"/>
  <c r="I210" l="1"/>
  <c r="J210" s="1"/>
  <c r="L210" s="1"/>
  <c r="H210"/>
  <c r="K210"/>
  <c r="M210" l="1"/>
  <c r="F211"/>
  <c r="G211" l="1"/>
  <c r="I211" l="1"/>
  <c r="J211" s="1"/>
  <c r="L211" s="1"/>
  <c r="H211"/>
  <c r="K211"/>
  <c r="M211" l="1"/>
  <c r="F212"/>
  <c r="G212" l="1"/>
  <c r="I212" l="1"/>
  <c r="J212" s="1"/>
  <c r="L212" s="1"/>
  <c r="H212"/>
  <c r="K212"/>
  <c r="M212" l="1"/>
  <c r="F213"/>
  <c r="G213" l="1"/>
  <c r="I213" l="1"/>
  <c r="J213" s="1"/>
  <c r="L213" s="1"/>
  <c r="H213"/>
  <c r="K213"/>
  <c r="M213" l="1"/>
  <c r="F214"/>
  <c r="G214" l="1"/>
  <c r="I214" l="1"/>
  <c r="J214" s="1"/>
  <c r="L214" s="1"/>
  <c r="H214"/>
  <c r="K214"/>
  <c r="M214" l="1"/>
  <c r="F215"/>
  <c r="G215" l="1"/>
  <c r="I215" l="1"/>
  <c r="J215" s="1"/>
  <c r="L215" s="1"/>
  <c r="H215"/>
  <c r="K215"/>
  <c r="M215" l="1"/>
  <c r="F216"/>
  <c r="G216" l="1"/>
  <c r="I216" l="1"/>
  <c r="J216" s="1"/>
  <c r="L216" s="1"/>
  <c r="H216"/>
  <c r="K216"/>
  <c r="M216" l="1"/>
  <c r="F217"/>
  <c r="G217" l="1"/>
  <c r="I217" l="1"/>
  <c r="J217" s="1"/>
  <c r="L217" s="1"/>
  <c r="H217"/>
  <c r="K217"/>
  <c r="M217" l="1"/>
  <c r="F218"/>
  <c r="G218" l="1"/>
  <c r="I218" l="1"/>
  <c r="J218" s="1"/>
  <c r="L218" s="1"/>
  <c r="H218"/>
  <c r="K218"/>
  <c r="M218" l="1"/>
  <c r="F219"/>
  <c r="G219" l="1"/>
  <c r="I219" l="1"/>
  <c r="J219" s="1"/>
  <c r="L219" s="1"/>
  <c r="H219"/>
  <c r="K219"/>
  <c r="M219" l="1"/>
  <c r="F220"/>
  <c r="G220" l="1"/>
  <c r="I220" l="1"/>
  <c r="J220" s="1"/>
  <c r="L220" s="1"/>
  <c r="H220"/>
  <c r="K220"/>
  <c r="M220" l="1"/>
  <c r="F221"/>
  <c r="G221" l="1"/>
  <c r="I221" l="1"/>
  <c r="J221" s="1"/>
  <c r="L221" s="1"/>
  <c r="H221"/>
  <c r="K221"/>
  <c r="F222" l="1"/>
  <c r="M221"/>
  <c r="G222" l="1"/>
  <c r="I222" l="1"/>
  <c r="J222" s="1"/>
  <c r="L222" s="1"/>
  <c r="H222"/>
  <c r="K222"/>
  <c r="F223" l="1"/>
  <c r="M222"/>
  <c r="G223" l="1"/>
  <c r="I223" l="1"/>
  <c r="J223" s="1"/>
  <c r="L223" s="1"/>
  <c r="H223"/>
  <c r="K223"/>
  <c r="F224" l="1"/>
  <c r="M223"/>
  <c r="G224" l="1"/>
  <c r="I224" l="1"/>
  <c r="J224" s="1"/>
  <c r="L224" s="1"/>
  <c r="H224"/>
  <c r="K224"/>
  <c r="F225" l="1"/>
  <c r="M224"/>
  <c r="G225" l="1"/>
  <c r="I225" l="1"/>
  <c r="J225" s="1"/>
  <c r="L225" s="1"/>
  <c r="H225"/>
  <c r="K225"/>
  <c r="F226" l="1"/>
  <c r="M225"/>
  <c r="G226" l="1"/>
  <c r="H226" l="1"/>
  <c r="K226"/>
  <c r="I226"/>
  <c r="J226" s="1"/>
  <c r="L226" s="1"/>
  <c r="F227" l="1"/>
  <c r="M226"/>
  <c r="G227" l="1"/>
  <c r="H227" l="1"/>
  <c r="K227"/>
  <c r="I227"/>
  <c r="J227" s="1"/>
  <c r="L227" s="1"/>
  <c r="F228" l="1"/>
  <c r="M227"/>
  <c r="G228" l="1"/>
  <c r="I228" l="1"/>
  <c r="J228" s="1"/>
  <c r="L228" s="1"/>
  <c r="H228"/>
  <c r="K228"/>
  <c r="F229" l="1"/>
  <c r="M228"/>
  <c r="G229" l="1"/>
  <c r="I229" l="1"/>
  <c r="J229" s="1"/>
  <c r="L229" s="1"/>
  <c r="H229"/>
  <c r="K229"/>
  <c r="F230" l="1"/>
  <c r="M229"/>
  <c r="G230" l="1"/>
  <c r="I230" l="1"/>
  <c r="J230" s="1"/>
  <c r="L230" s="1"/>
  <c r="H230"/>
  <c r="K230"/>
  <c r="F231" l="1"/>
  <c r="M230"/>
  <c r="G231" l="1"/>
  <c r="I231" l="1"/>
  <c r="J231" s="1"/>
  <c r="L231" s="1"/>
  <c r="H231"/>
  <c r="K231"/>
  <c r="M231" l="1"/>
  <c r="F232"/>
  <c r="G232" l="1"/>
  <c r="I232" l="1"/>
  <c r="J232" s="1"/>
  <c r="L232" s="1"/>
  <c r="H232"/>
  <c r="K232"/>
  <c r="M232" l="1"/>
  <c r="F233"/>
  <c r="G233" l="1"/>
  <c r="I233" l="1"/>
  <c r="J233" s="1"/>
  <c r="L233" s="1"/>
  <c r="H233"/>
  <c r="K233"/>
  <c r="M233" l="1"/>
  <c r="F234"/>
  <c r="G234" l="1"/>
  <c r="I234" l="1"/>
  <c r="J234" s="1"/>
  <c r="L234" s="1"/>
  <c r="H234"/>
  <c r="K234"/>
  <c r="M234" l="1"/>
  <c r="F235"/>
  <c r="G235" l="1"/>
  <c r="I235" l="1"/>
  <c r="J235" s="1"/>
  <c r="L235" s="1"/>
  <c r="H235"/>
  <c r="K235"/>
  <c r="M235" l="1"/>
  <c r="F236"/>
  <c r="G236" l="1"/>
  <c r="I236" l="1"/>
  <c r="J236" s="1"/>
  <c r="L236" s="1"/>
  <c r="H236"/>
  <c r="K236"/>
  <c r="M236" l="1"/>
  <c r="F237"/>
  <c r="G237" l="1"/>
  <c r="I237" l="1"/>
  <c r="J237" s="1"/>
  <c r="L237" s="1"/>
  <c r="H237"/>
  <c r="K237"/>
  <c r="M237" l="1"/>
  <c r="F238"/>
  <c r="G238" l="1"/>
  <c r="I238" l="1"/>
  <c r="J238" s="1"/>
  <c r="L238" s="1"/>
  <c r="H238"/>
  <c r="K238"/>
  <c r="M238" l="1"/>
  <c r="F239"/>
  <c r="G239" l="1"/>
  <c r="I239" l="1"/>
  <c r="J239" s="1"/>
  <c r="L239" s="1"/>
  <c r="H239"/>
  <c r="K239"/>
  <c r="M239" l="1"/>
  <c r="F240"/>
  <c r="G240" l="1"/>
  <c r="I240" l="1"/>
  <c r="J240" s="1"/>
  <c r="L240" s="1"/>
  <c r="H240"/>
  <c r="K240"/>
  <c r="M240" l="1"/>
  <c r="F241"/>
  <c r="G241" l="1"/>
  <c r="I241" l="1"/>
  <c r="J241" s="1"/>
  <c r="L241" s="1"/>
  <c r="H241"/>
  <c r="K241"/>
  <c r="M241" l="1"/>
  <c r="F242"/>
  <c r="G242" l="1"/>
  <c r="I242" l="1"/>
  <c r="J242" s="1"/>
  <c r="L242" s="1"/>
  <c r="H242"/>
  <c r="K242"/>
  <c r="M242" l="1"/>
  <c r="F243"/>
  <c r="G243" l="1"/>
  <c r="I243" l="1"/>
  <c r="J243" s="1"/>
  <c r="L243" s="1"/>
  <c r="H243"/>
  <c r="K243"/>
  <c r="M243" l="1"/>
  <c r="F244"/>
  <c r="G244" l="1"/>
  <c r="I244" l="1"/>
  <c r="J244" s="1"/>
  <c r="L244" s="1"/>
  <c r="H244"/>
  <c r="K244"/>
  <c r="M244" l="1"/>
  <c r="F245"/>
  <c r="G245" l="1"/>
  <c r="I245" l="1"/>
  <c r="J245" s="1"/>
  <c r="L245" s="1"/>
  <c r="H245"/>
  <c r="K245"/>
  <c r="M245" l="1"/>
  <c r="F246"/>
  <c r="G246" l="1"/>
  <c r="I246" l="1"/>
  <c r="J246" s="1"/>
  <c r="L246" s="1"/>
  <c r="H246"/>
  <c r="K246"/>
  <c r="M246" l="1"/>
  <c r="F247"/>
  <c r="G247" l="1"/>
  <c r="I247" l="1"/>
  <c r="J247" s="1"/>
  <c r="L247" s="1"/>
  <c r="H247"/>
  <c r="K247"/>
  <c r="M247" l="1"/>
  <c r="F248"/>
  <c r="G248" l="1"/>
  <c r="I248" l="1"/>
  <c r="J248" s="1"/>
  <c r="L248" s="1"/>
  <c r="H248"/>
  <c r="K248"/>
  <c r="M248" l="1"/>
  <c r="F249"/>
  <c r="G249" l="1"/>
  <c r="H249" l="1"/>
  <c r="K249"/>
  <c r="I249"/>
  <c r="J249" s="1"/>
  <c r="L249" s="1"/>
  <c r="M249" l="1"/>
  <c r="F250"/>
  <c r="G250" l="1"/>
  <c r="H250" l="1"/>
  <c r="K250"/>
  <c r="I250"/>
  <c r="J250" s="1"/>
  <c r="L250" s="1"/>
  <c r="M250" l="1"/>
  <c r="F251"/>
  <c r="G251" l="1"/>
  <c r="I251" l="1"/>
  <c r="J251" s="1"/>
  <c r="L251" s="1"/>
  <c r="H251"/>
  <c r="K251"/>
  <c r="M251" l="1"/>
  <c r="F252"/>
  <c r="G252" l="1"/>
  <c r="I252" l="1"/>
  <c r="J252" s="1"/>
  <c r="L252" s="1"/>
  <c r="H252"/>
  <c r="K252"/>
  <c r="M252" l="1"/>
  <c r="F253"/>
  <c r="G253" l="1"/>
  <c r="H253" l="1"/>
  <c r="K253"/>
  <c r="I253"/>
  <c r="J253" s="1"/>
  <c r="L253" s="1"/>
  <c r="M253" l="1"/>
  <c r="F254"/>
  <c r="G254" l="1"/>
  <c r="I254" l="1"/>
  <c r="J254" s="1"/>
  <c r="L254" s="1"/>
  <c r="H254"/>
  <c r="K254"/>
  <c r="M254" l="1"/>
  <c r="F255"/>
  <c r="G255" l="1"/>
  <c r="H255" l="1"/>
  <c r="K255"/>
  <c r="I255"/>
  <c r="J255" s="1"/>
  <c r="L255" s="1"/>
  <c r="M255" l="1"/>
  <c r="F256"/>
  <c r="G256" l="1"/>
  <c r="H256" l="1"/>
  <c r="K256"/>
  <c r="I256"/>
  <c r="J256" s="1"/>
  <c r="L256" s="1"/>
  <c r="M256" l="1"/>
  <c r="F257"/>
  <c r="G257" l="1"/>
  <c r="I257" l="1"/>
  <c r="J257" s="1"/>
  <c r="L257" s="1"/>
  <c r="H257"/>
  <c r="K257"/>
  <c r="M257" l="1"/>
  <c r="F258"/>
  <c r="G258" l="1"/>
  <c r="I258" l="1"/>
  <c r="J258" s="1"/>
  <c r="L258" s="1"/>
  <c r="H258"/>
  <c r="K258"/>
  <c r="M258" l="1"/>
  <c r="F259"/>
  <c r="G259" l="1"/>
  <c r="I259" l="1"/>
  <c r="J259" s="1"/>
  <c r="L259" s="1"/>
  <c r="H259"/>
  <c r="K259"/>
  <c r="M259" l="1"/>
  <c r="F260"/>
  <c r="G260" l="1"/>
  <c r="I260" l="1"/>
  <c r="J260" s="1"/>
  <c r="L260" s="1"/>
  <c r="H260"/>
  <c r="K260"/>
  <c r="M260" l="1"/>
  <c r="F261"/>
  <c r="G261" l="1"/>
  <c r="I261" l="1"/>
  <c r="J261" s="1"/>
  <c r="L261" s="1"/>
  <c r="H261"/>
  <c r="K261"/>
  <c r="M261" l="1"/>
  <c r="F262"/>
  <c r="G262" l="1"/>
  <c r="I262" l="1"/>
  <c r="J262" s="1"/>
  <c r="L262" s="1"/>
  <c r="H262"/>
  <c r="K262"/>
  <c r="M262" l="1"/>
  <c r="F263"/>
  <c r="G263" l="1"/>
  <c r="I263" l="1"/>
  <c r="J263" s="1"/>
  <c r="L263" s="1"/>
  <c r="H263"/>
  <c r="K263"/>
  <c r="M263" l="1"/>
  <c r="F264"/>
  <c r="G264" l="1"/>
  <c r="I264" l="1"/>
  <c r="J264" s="1"/>
  <c r="L264" s="1"/>
  <c r="H264"/>
  <c r="K264"/>
  <c r="M264" l="1"/>
  <c r="F265"/>
  <c r="G265" l="1"/>
  <c r="I265" l="1"/>
  <c r="J265" s="1"/>
  <c r="L265" s="1"/>
  <c r="H265"/>
  <c r="K265"/>
  <c r="M265" l="1"/>
  <c r="F266"/>
  <c r="G266" l="1"/>
  <c r="I266" l="1"/>
  <c r="J266" s="1"/>
  <c r="L266" s="1"/>
  <c r="H266"/>
  <c r="K266"/>
  <c r="M266" l="1"/>
  <c r="F267"/>
  <c r="G267" l="1"/>
  <c r="I267" l="1"/>
  <c r="J267" s="1"/>
  <c r="L267" s="1"/>
  <c r="H267"/>
  <c r="K267"/>
  <c r="M267" l="1"/>
  <c r="F268"/>
  <c r="G268" l="1"/>
  <c r="I268" l="1"/>
  <c r="J268" s="1"/>
  <c r="L268" s="1"/>
  <c r="H268"/>
  <c r="K268"/>
  <c r="M268" l="1"/>
  <c r="F269"/>
  <c r="G269" l="1"/>
  <c r="I269" l="1"/>
  <c r="J269" s="1"/>
  <c r="L269" s="1"/>
  <c r="H269"/>
  <c r="K269"/>
  <c r="M269" l="1"/>
  <c r="F270"/>
  <c r="G270" l="1"/>
  <c r="I270" l="1"/>
  <c r="J270" s="1"/>
  <c r="L270" s="1"/>
  <c r="H270"/>
  <c r="K270"/>
  <c r="F271" l="1"/>
  <c r="M270"/>
  <c r="G271" l="1"/>
  <c r="I271" l="1"/>
  <c r="J271" s="1"/>
  <c r="L271" s="1"/>
  <c r="H271"/>
  <c r="K271"/>
  <c r="F272" l="1"/>
  <c r="M271"/>
  <c r="G272" l="1"/>
  <c r="I272" l="1"/>
  <c r="J272" s="1"/>
  <c r="L272" s="1"/>
  <c r="H272"/>
  <c r="K272"/>
  <c r="F273" l="1"/>
  <c r="M272"/>
  <c r="G273" l="1"/>
  <c r="I273" l="1"/>
  <c r="J273" s="1"/>
  <c r="L273" s="1"/>
  <c r="H273"/>
  <c r="K273"/>
  <c r="F274" l="1"/>
  <c r="M273"/>
  <c r="G274" l="1"/>
  <c r="I274" l="1"/>
  <c r="J274" s="1"/>
  <c r="L274" s="1"/>
  <c r="H274"/>
  <c r="K274"/>
  <c r="F275" l="1"/>
  <c r="M274"/>
  <c r="G275" l="1"/>
  <c r="H275" l="1"/>
  <c r="K275"/>
  <c r="I275"/>
  <c r="J275" s="1"/>
  <c r="L275" s="1"/>
  <c r="F276" l="1"/>
  <c r="M275"/>
  <c r="G276" l="1"/>
  <c r="I276" l="1"/>
  <c r="J276" s="1"/>
  <c r="L276" s="1"/>
  <c r="H276"/>
  <c r="K276"/>
  <c r="F277" l="1"/>
  <c r="M276"/>
  <c r="G277" l="1"/>
  <c r="I277" l="1"/>
  <c r="J277" s="1"/>
  <c r="L277" s="1"/>
  <c r="H277"/>
  <c r="K277"/>
  <c r="F278" l="1"/>
  <c r="M277"/>
  <c r="G278" l="1"/>
  <c r="I278" l="1"/>
  <c r="J278" s="1"/>
  <c r="L278" s="1"/>
  <c r="H278"/>
  <c r="K278"/>
  <c r="F279" l="1"/>
  <c r="M278"/>
  <c r="G279" l="1"/>
  <c r="I279" l="1"/>
  <c r="J279" s="1"/>
  <c r="L279" s="1"/>
  <c r="H279"/>
  <c r="K279"/>
  <c r="F280" l="1"/>
  <c r="M279"/>
  <c r="G280" l="1"/>
  <c r="I280" l="1"/>
  <c r="J280" s="1"/>
  <c r="L280" s="1"/>
  <c r="H280"/>
  <c r="K280"/>
  <c r="F281" l="1"/>
  <c r="M280"/>
  <c r="G281" l="1"/>
  <c r="I281" l="1"/>
  <c r="J281" s="1"/>
  <c r="L281" s="1"/>
  <c r="H281"/>
  <c r="K281"/>
  <c r="F282" l="1"/>
  <c r="M281"/>
  <c r="G282" l="1"/>
  <c r="I282" l="1"/>
  <c r="J282" s="1"/>
  <c r="L282" s="1"/>
  <c r="H282"/>
  <c r="K282"/>
  <c r="F283" l="1"/>
  <c r="M282"/>
  <c r="G283" l="1"/>
  <c r="H283" l="1"/>
  <c r="K283"/>
  <c r="I283"/>
  <c r="J283" s="1"/>
  <c r="L283" s="1"/>
  <c r="F284" l="1"/>
  <c r="M283"/>
  <c r="G284" l="1"/>
  <c r="I284" l="1"/>
  <c r="J284" s="1"/>
  <c r="L284" s="1"/>
  <c r="H284"/>
  <c r="K284"/>
  <c r="F285" l="1"/>
  <c r="M284"/>
  <c r="G285" l="1"/>
  <c r="I285" l="1"/>
  <c r="J285" s="1"/>
  <c r="L285" s="1"/>
  <c r="H285"/>
  <c r="K285"/>
  <c r="F286" l="1"/>
  <c r="M285"/>
  <c r="G286" l="1"/>
  <c r="I286" l="1"/>
  <c r="J286" s="1"/>
  <c r="L286" s="1"/>
  <c r="H286"/>
  <c r="K286"/>
  <c r="F287" l="1"/>
  <c r="M286"/>
  <c r="G287" l="1"/>
  <c r="I287" l="1"/>
  <c r="J287" s="1"/>
  <c r="L287" s="1"/>
  <c r="H287"/>
  <c r="K287"/>
  <c r="F288" l="1"/>
  <c r="M287"/>
  <c r="G288" l="1"/>
  <c r="I288" l="1"/>
  <c r="J288" s="1"/>
  <c r="L288" s="1"/>
  <c r="H288"/>
  <c r="K288"/>
  <c r="F289" l="1"/>
  <c r="M288"/>
  <c r="G289" l="1"/>
  <c r="I289" l="1"/>
  <c r="J289" s="1"/>
  <c r="L289" s="1"/>
  <c r="H289"/>
  <c r="K289"/>
  <c r="F290" l="1"/>
  <c r="M289"/>
  <c r="G290" l="1"/>
  <c r="I290" l="1"/>
  <c r="J290" s="1"/>
  <c r="L290" s="1"/>
  <c r="H290"/>
  <c r="K290"/>
  <c r="F291" l="1"/>
  <c r="M290"/>
  <c r="G291" l="1"/>
  <c r="I291" l="1"/>
  <c r="J291" s="1"/>
  <c r="L291" s="1"/>
  <c r="H291"/>
  <c r="K291"/>
  <c r="F292" l="1"/>
  <c r="M291"/>
  <c r="G292" l="1"/>
  <c r="I292" l="1"/>
  <c r="J292" s="1"/>
  <c r="L292" s="1"/>
  <c r="H292"/>
  <c r="K292"/>
  <c r="F293" l="1"/>
  <c r="M292"/>
  <c r="G293" l="1"/>
  <c r="I293" l="1"/>
  <c r="J293" s="1"/>
  <c r="L293" s="1"/>
  <c r="K293"/>
  <c r="H293"/>
  <c r="F294" l="1"/>
  <c r="M293"/>
  <c r="G294" l="1"/>
  <c r="I294" l="1"/>
  <c r="J294" s="1"/>
  <c r="L294" s="1"/>
  <c r="H294"/>
  <c r="K294"/>
  <c r="F295" l="1"/>
  <c r="M294"/>
  <c r="G295" l="1"/>
  <c r="H295" l="1"/>
  <c r="K295"/>
  <c r="I295"/>
  <c r="J295" s="1"/>
  <c r="L295" s="1"/>
  <c r="F296" l="1"/>
  <c r="M295"/>
  <c r="G296" l="1"/>
  <c r="I296" l="1"/>
  <c r="J296" s="1"/>
  <c r="L296" s="1"/>
  <c r="H296"/>
  <c r="K296"/>
  <c r="F297" l="1"/>
  <c r="M296"/>
  <c r="G297" l="1"/>
  <c r="I297" l="1"/>
  <c r="J297" s="1"/>
  <c r="L297" s="1"/>
  <c r="H297"/>
  <c r="K297"/>
  <c r="F298" l="1"/>
  <c r="M297"/>
  <c r="G298" l="1"/>
  <c r="I298" l="1"/>
  <c r="J298" s="1"/>
  <c r="L298" s="1"/>
  <c r="K298"/>
  <c r="H298"/>
  <c r="F299" l="1"/>
  <c r="M298"/>
  <c r="G299" l="1"/>
  <c r="I299" l="1"/>
  <c r="J299" s="1"/>
  <c r="L299" s="1"/>
  <c r="H299"/>
  <c r="K299"/>
  <c r="M299" l="1"/>
  <c r="F300"/>
  <c r="G300" l="1"/>
  <c r="I300" l="1"/>
  <c r="J300" s="1"/>
  <c r="L300" s="1"/>
  <c r="H300"/>
  <c r="K300"/>
  <c r="M300" l="1"/>
  <c r="F301"/>
  <c r="G301" l="1"/>
  <c r="I301" l="1"/>
  <c r="J301" s="1"/>
  <c r="L301" s="1"/>
  <c r="K301"/>
  <c r="H301"/>
  <c r="M301" l="1"/>
  <c r="F302"/>
  <c r="G302" l="1"/>
  <c r="I302" l="1"/>
  <c r="J302" s="1"/>
  <c r="L302" s="1"/>
  <c r="H302"/>
  <c r="K302"/>
  <c r="M302" l="1"/>
  <c r="F303"/>
  <c r="G303" l="1"/>
  <c r="I303" l="1"/>
  <c r="J303" s="1"/>
  <c r="L303" s="1"/>
  <c r="H303"/>
  <c r="K303"/>
  <c r="M303" l="1"/>
  <c r="F304"/>
  <c r="G304" l="1"/>
  <c r="H304" l="1"/>
  <c r="K304"/>
  <c r="I304"/>
  <c r="J304" s="1"/>
  <c r="L304" s="1"/>
  <c r="M304" l="1"/>
  <c r="F305"/>
  <c r="G305" l="1"/>
  <c r="I305" l="1"/>
  <c r="J305" s="1"/>
  <c r="L305" s="1"/>
  <c r="H305"/>
  <c r="K305"/>
  <c r="M305" l="1"/>
  <c r="F306"/>
  <c r="G306" l="1"/>
  <c r="I306" l="1"/>
  <c r="J306" s="1"/>
  <c r="L306" s="1"/>
  <c r="H306"/>
  <c r="K306"/>
  <c r="M306" l="1"/>
  <c r="F307"/>
  <c r="G307" l="1"/>
  <c r="H307" l="1"/>
  <c r="K307"/>
  <c r="I307"/>
  <c r="J307" s="1"/>
  <c r="L307" s="1"/>
  <c r="M307" l="1"/>
  <c r="F308"/>
  <c r="G308" l="1"/>
  <c r="H308" l="1"/>
  <c r="K308"/>
  <c r="I308"/>
  <c r="J308" s="1"/>
  <c r="L308" s="1"/>
  <c r="M308" l="1"/>
  <c r="F309"/>
  <c r="G309" l="1"/>
  <c r="I309" l="1"/>
  <c r="J309" s="1"/>
  <c r="L309" s="1"/>
  <c r="H309"/>
  <c r="K309"/>
  <c r="M309" l="1"/>
  <c r="F310"/>
  <c r="G310" l="1"/>
  <c r="I310" l="1"/>
  <c r="J310" s="1"/>
  <c r="L310" s="1"/>
  <c r="K310"/>
  <c r="H310"/>
  <c r="F311" l="1"/>
  <c r="M310"/>
  <c r="G311" l="1"/>
  <c r="H311" l="1"/>
  <c r="K311"/>
  <c r="I311"/>
  <c r="J311" s="1"/>
  <c r="L311" s="1"/>
  <c r="F312" l="1"/>
  <c r="M311"/>
  <c r="G312" l="1"/>
  <c r="H312" l="1"/>
  <c r="K312"/>
  <c r="I312"/>
  <c r="J312" s="1"/>
  <c r="L312" s="1"/>
  <c r="F313" l="1"/>
  <c r="M312"/>
  <c r="G313" l="1"/>
  <c r="I313" l="1"/>
  <c r="J313" s="1"/>
  <c r="L313" s="1"/>
  <c r="K313"/>
  <c r="H313"/>
  <c r="F314" l="1"/>
  <c r="M313"/>
  <c r="G314" l="1"/>
  <c r="H314" l="1"/>
  <c r="K314"/>
  <c r="I314"/>
  <c r="J314" s="1"/>
  <c r="L314" s="1"/>
  <c r="F315" l="1"/>
  <c r="M314"/>
  <c r="G315" l="1"/>
  <c r="I315" l="1"/>
  <c r="J315" s="1"/>
  <c r="L315" s="1"/>
  <c r="H315"/>
  <c r="K315"/>
  <c r="F316" l="1"/>
  <c r="M315"/>
  <c r="G316" l="1"/>
  <c r="H316" l="1"/>
  <c r="K316"/>
  <c r="I316"/>
  <c r="J316" s="1"/>
  <c r="L316" s="1"/>
  <c r="F317" l="1"/>
  <c r="M316"/>
  <c r="G317" l="1"/>
  <c r="H317" l="1"/>
  <c r="K317"/>
  <c r="I317"/>
  <c r="J317" s="1"/>
  <c r="L317" s="1"/>
  <c r="F318" l="1"/>
  <c r="M317"/>
  <c r="G318" l="1"/>
  <c r="I318" l="1"/>
  <c r="J318" s="1"/>
  <c r="L318" s="1"/>
  <c r="H318"/>
  <c r="K318"/>
  <c r="F319" l="1"/>
  <c r="M318"/>
  <c r="G319" l="1"/>
  <c r="I319" l="1"/>
  <c r="J319" s="1"/>
  <c r="L319" s="1"/>
  <c r="K319"/>
  <c r="H319"/>
  <c r="F320" l="1"/>
  <c r="M319"/>
  <c r="G320" l="1"/>
  <c r="I320" l="1"/>
  <c r="J320" s="1"/>
  <c r="L320" s="1"/>
  <c r="H320"/>
  <c r="K320"/>
  <c r="F321" l="1"/>
  <c r="M320"/>
  <c r="G321" l="1"/>
  <c r="I321" l="1"/>
  <c r="J321" s="1"/>
  <c r="L321" s="1"/>
  <c r="H321"/>
  <c r="K321"/>
  <c r="F322" l="1"/>
  <c r="M321"/>
  <c r="G322" l="1"/>
  <c r="I322" l="1"/>
  <c r="J322" s="1"/>
  <c r="L322" s="1"/>
  <c r="H322"/>
  <c r="K322"/>
  <c r="F323" l="1"/>
  <c r="M322"/>
  <c r="G323" l="1"/>
  <c r="H323" l="1"/>
  <c r="K323"/>
  <c r="I323"/>
  <c r="J323" s="1"/>
  <c r="L323" s="1"/>
  <c r="F324" l="1"/>
  <c r="M323"/>
  <c r="G324" l="1"/>
  <c r="H324" l="1"/>
  <c r="K324"/>
  <c r="I324"/>
  <c r="J324" s="1"/>
  <c r="L324" s="1"/>
  <c r="F325" l="1"/>
  <c r="M324"/>
  <c r="G325" l="1"/>
  <c r="I325" l="1"/>
  <c r="J325" s="1"/>
  <c r="L325" s="1"/>
  <c r="K325"/>
  <c r="H325"/>
  <c r="F326" l="1"/>
  <c r="M325"/>
  <c r="G326" l="1"/>
  <c r="I326" l="1"/>
  <c r="J326" s="1"/>
  <c r="L326" s="1"/>
  <c r="H326"/>
  <c r="K326"/>
  <c r="F327" l="1"/>
  <c r="M326"/>
  <c r="G327" l="1"/>
  <c r="I327" l="1"/>
  <c r="J327" s="1"/>
  <c r="L327" s="1"/>
  <c r="H327"/>
  <c r="K327"/>
  <c r="F328" l="1"/>
  <c r="M327"/>
  <c r="G328" l="1"/>
  <c r="I328" l="1"/>
  <c r="J328" s="1"/>
  <c r="L328" s="1"/>
  <c r="H328"/>
  <c r="K328"/>
  <c r="F329" l="1"/>
  <c r="M328"/>
  <c r="G329" l="1"/>
  <c r="I329" l="1"/>
  <c r="J329" s="1"/>
  <c r="L329" s="1"/>
  <c r="H329"/>
  <c r="K329"/>
  <c r="F330" l="1"/>
  <c r="M329"/>
  <c r="G330" l="1"/>
  <c r="I330" l="1"/>
  <c r="J330" s="1"/>
  <c r="L330" s="1"/>
  <c r="H330"/>
  <c r="K330"/>
  <c r="F331" l="1"/>
  <c r="M330"/>
  <c r="G331" l="1"/>
  <c r="I331" l="1"/>
  <c r="J331" s="1"/>
  <c r="L331" s="1"/>
  <c r="K331"/>
  <c r="H331"/>
  <c r="F332" l="1"/>
  <c r="M331"/>
  <c r="G332" l="1"/>
  <c r="I332" l="1"/>
  <c r="J332" s="1"/>
  <c r="L332" s="1"/>
  <c r="H332"/>
  <c r="K332"/>
  <c r="F333" l="1"/>
  <c r="M332"/>
  <c r="G333" l="1"/>
  <c r="I333" l="1"/>
  <c r="J333" s="1"/>
  <c r="L333" s="1"/>
  <c r="H333"/>
  <c r="K333"/>
  <c r="F334" l="1"/>
  <c r="M333"/>
  <c r="G334" l="1"/>
  <c r="H334" l="1"/>
  <c r="K334"/>
  <c r="I334"/>
  <c r="J334" s="1"/>
  <c r="L334" s="1"/>
  <c r="F335" l="1"/>
  <c r="M334"/>
  <c r="G335" l="1"/>
  <c r="I335" l="1"/>
  <c r="J335" s="1"/>
  <c r="L335" s="1"/>
  <c r="H335"/>
  <c r="K335"/>
  <c r="F336" l="1"/>
  <c r="M335"/>
  <c r="G336" l="1"/>
  <c r="I336" l="1"/>
  <c r="J336" s="1"/>
  <c r="L336" s="1"/>
  <c r="H336"/>
  <c r="K336"/>
  <c r="F337" l="1"/>
  <c r="M336"/>
  <c r="G337" l="1"/>
  <c r="H337" l="1"/>
  <c r="K337"/>
  <c r="I337"/>
  <c r="J337" s="1"/>
  <c r="L337" s="1"/>
  <c r="F338" l="1"/>
  <c r="M337"/>
  <c r="G338" l="1"/>
  <c r="H338" l="1"/>
  <c r="K338"/>
  <c r="I338"/>
  <c r="J338" s="1"/>
  <c r="L338" s="1"/>
  <c r="F339" l="1"/>
  <c r="M338"/>
  <c r="G339" l="1"/>
  <c r="I339" l="1"/>
  <c r="J339" s="1"/>
  <c r="L339" s="1"/>
  <c r="H339"/>
  <c r="K339"/>
  <c r="F340" l="1"/>
  <c r="M339"/>
  <c r="G340" l="1"/>
  <c r="H340" l="1"/>
  <c r="K340"/>
  <c r="I340"/>
  <c r="J340" s="1"/>
  <c r="L340" s="1"/>
  <c r="F341" l="1"/>
  <c r="M340"/>
  <c r="G341" l="1"/>
  <c r="I341" l="1"/>
  <c r="J341" s="1"/>
  <c r="L341" s="1"/>
  <c r="H341"/>
  <c r="K341"/>
  <c r="F342" l="1"/>
  <c r="M341"/>
  <c r="G342" l="1"/>
  <c r="H342" l="1"/>
  <c r="K342"/>
  <c r="I342"/>
  <c r="J342" s="1"/>
  <c r="L342" s="1"/>
  <c r="F343" l="1"/>
  <c r="M342"/>
  <c r="G343" l="1"/>
  <c r="I343" l="1"/>
  <c r="J343" s="1"/>
  <c r="L343" s="1"/>
  <c r="K343"/>
  <c r="H343"/>
  <c r="F344" l="1"/>
  <c r="M343"/>
  <c r="G344" l="1"/>
  <c r="I344" l="1"/>
  <c r="J344" s="1"/>
  <c r="L344" s="1"/>
  <c r="H344"/>
  <c r="K344"/>
  <c r="F345" l="1"/>
  <c r="M344"/>
  <c r="G345" l="1"/>
  <c r="I345" l="1"/>
  <c r="J345" s="1"/>
  <c r="L345" s="1"/>
  <c r="H345"/>
  <c r="K345"/>
  <c r="F346" l="1"/>
  <c r="M345"/>
  <c r="G346" l="1"/>
  <c r="H346" l="1"/>
  <c r="K346"/>
  <c r="I346"/>
  <c r="J346" s="1"/>
  <c r="L346" s="1"/>
  <c r="F347" l="1"/>
  <c r="M346"/>
  <c r="G347" l="1"/>
  <c r="H347" l="1"/>
  <c r="K347"/>
  <c r="I347"/>
  <c r="J347" s="1"/>
  <c r="L347" s="1"/>
  <c r="F348" l="1"/>
  <c r="M347"/>
  <c r="G348" l="1"/>
  <c r="H348" l="1"/>
  <c r="K348"/>
  <c r="I348"/>
  <c r="J348" s="1"/>
  <c r="L348" s="1"/>
  <c r="F349" l="1"/>
  <c r="M348"/>
  <c r="G349" l="1"/>
  <c r="H349" l="1"/>
  <c r="K349"/>
  <c r="I349"/>
  <c r="J349" s="1"/>
  <c r="L349" s="1"/>
  <c r="F350" l="1"/>
  <c r="M349"/>
  <c r="G350" l="1"/>
  <c r="I350" l="1"/>
  <c r="J350" s="1"/>
  <c r="L350" s="1"/>
  <c r="H350"/>
  <c r="K350"/>
  <c r="F351" l="1"/>
  <c r="M350"/>
  <c r="G351" l="1"/>
  <c r="I351" l="1"/>
  <c r="J351" s="1"/>
  <c r="L351" s="1"/>
  <c r="H351"/>
  <c r="K351"/>
  <c r="F352" l="1"/>
  <c r="M351"/>
  <c r="G352" l="1"/>
  <c r="I352" l="1"/>
  <c r="J352" s="1"/>
  <c r="L352" s="1"/>
  <c r="K352"/>
  <c r="H352"/>
  <c r="F353" l="1"/>
  <c r="M352"/>
  <c r="G353" l="1"/>
  <c r="H353" l="1"/>
  <c r="K353"/>
  <c r="I353"/>
  <c r="J353" s="1"/>
  <c r="L353" s="1"/>
  <c r="F354" l="1"/>
  <c r="M353"/>
  <c r="G354" l="1"/>
  <c r="H354" l="1"/>
  <c r="K354"/>
  <c r="I354"/>
  <c r="J354" s="1"/>
  <c r="L354" s="1"/>
  <c r="F355" l="1"/>
  <c r="M354"/>
  <c r="G355" l="1"/>
  <c r="I355" l="1"/>
  <c r="J355" s="1"/>
  <c r="L355" s="1"/>
  <c r="H355"/>
  <c r="K355"/>
  <c r="F356" l="1"/>
  <c r="M355"/>
  <c r="G356" l="1"/>
  <c r="I356" l="1"/>
  <c r="J356" s="1"/>
  <c r="L356" s="1"/>
  <c r="H356"/>
  <c r="K356"/>
  <c r="F357" l="1"/>
  <c r="M356"/>
  <c r="G357" l="1"/>
  <c r="I357" l="1"/>
  <c r="J357" s="1"/>
  <c r="L357" s="1"/>
  <c r="H357"/>
  <c r="K357"/>
  <c r="F358" l="1"/>
  <c r="M357"/>
  <c r="G358" l="1"/>
  <c r="H358" l="1"/>
  <c r="K358"/>
  <c r="I358"/>
  <c r="J358" s="1"/>
  <c r="L358" s="1"/>
  <c r="F359" l="1"/>
  <c r="M358"/>
  <c r="G359" l="1"/>
  <c r="I359" l="1"/>
  <c r="J359" s="1"/>
  <c r="L359" s="1"/>
  <c r="H359"/>
  <c r="K359"/>
  <c r="F360" l="1"/>
  <c r="M359"/>
  <c r="G360" l="1"/>
  <c r="H360" l="1"/>
  <c r="K360"/>
  <c r="I360"/>
  <c r="J360" s="1"/>
  <c r="L360" s="1"/>
  <c r="F361" l="1"/>
  <c r="M360"/>
  <c r="G361" l="1"/>
  <c r="I361" l="1"/>
  <c r="J361" s="1"/>
  <c r="L361" s="1"/>
  <c r="H361"/>
  <c r="K361"/>
  <c r="F362" l="1"/>
  <c r="M361"/>
  <c r="G362" l="1"/>
  <c r="H362" l="1"/>
  <c r="K362"/>
  <c r="I362"/>
  <c r="J362" s="1"/>
  <c r="L362" s="1"/>
  <c r="F363" l="1"/>
  <c r="M362"/>
  <c r="G363" l="1"/>
  <c r="I363" l="1"/>
  <c r="J363" s="1"/>
  <c r="L363" s="1"/>
  <c r="H363"/>
  <c r="K363"/>
  <c r="F364" l="1"/>
  <c r="M363"/>
  <c r="G364" l="1"/>
  <c r="I364" l="1"/>
  <c r="J364" s="1"/>
  <c r="L364" s="1"/>
  <c r="K364"/>
  <c r="H364"/>
  <c r="F365" l="1"/>
  <c r="M364"/>
  <c r="G365" l="1"/>
  <c r="H365" l="1"/>
  <c r="K365"/>
  <c r="I365"/>
  <c r="J365" s="1"/>
  <c r="L365" s="1"/>
  <c r="F366" l="1"/>
  <c r="M365"/>
  <c r="G366" l="1"/>
  <c r="I366" l="1"/>
  <c r="J366" s="1"/>
  <c r="L366" s="1"/>
  <c r="H366"/>
  <c r="K366"/>
  <c r="F367" l="1"/>
  <c r="M366"/>
  <c r="G367" l="1"/>
  <c r="I367" l="1"/>
  <c r="J367" s="1"/>
  <c r="L367" s="1"/>
  <c r="K367"/>
  <c r="H367"/>
  <c r="F368" l="1"/>
  <c r="M367"/>
  <c r="G368" l="1"/>
  <c r="H368" l="1"/>
  <c r="K368"/>
  <c r="I368"/>
  <c r="J368" s="1"/>
  <c r="L368" s="1"/>
  <c r="F369" l="1"/>
  <c r="M368"/>
  <c r="G369" l="1"/>
  <c r="I369" l="1"/>
  <c r="J369" s="1"/>
  <c r="L369" s="1"/>
  <c r="H369"/>
  <c r="K369"/>
  <c r="F370" l="1"/>
  <c r="M369"/>
  <c r="G370" l="1"/>
  <c r="H370" l="1"/>
  <c r="K370"/>
  <c r="I370"/>
  <c r="J370" s="1"/>
  <c r="L370" s="1"/>
  <c r="F371" l="1"/>
  <c r="M370"/>
  <c r="G371" l="1"/>
  <c r="H371" l="1"/>
  <c r="K371"/>
  <c r="I371"/>
  <c r="J371" s="1"/>
  <c r="L371" s="1"/>
  <c r="F372" l="1"/>
  <c r="M371"/>
  <c r="G372" l="1"/>
  <c r="I372" l="1"/>
  <c r="J372" s="1"/>
  <c r="L372" s="1"/>
  <c r="H372"/>
  <c r="K372"/>
  <c r="F373" l="1"/>
  <c r="M372"/>
  <c r="G373" l="1"/>
  <c r="H373" l="1"/>
  <c r="K373"/>
  <c r="I373"/>
  <c r="J373" s="1"/>
  <c r="L373" s="1"/>
  <c r="F374" l="1"/>
  <c r="M373"/>
  <c r="G374" l="1"/>
  <c r="I374" l="1"/>
  <c r="J374" s="1"/>
  <c r="L374" s="1"/>
  <c r="H374"/>
  <c r="K374"/>
  <c r="F375" l="1"/>
  <c r="M374"/>
  <c r="G375" l="1"/>
  <c r="I375" l="1"/>
  <c r="J375" s="1"/>
  <c r="L375" s="1"/>
  <c r="H375"/>
  <c r="K375"/>
  <c r="F376" l="1"/>
  <c r="M375"/>
  <c r="G376" l="1"/>
  <c r="I376" l="1"/>
  <c r="J376" s="1"/>
  <c r="L376" s="1"/>
  <c r="H376"/>
  <c r="K376"/>
  <c r="F377" l="1"/>
  <c r="M376"/>
  <c r="G377" l="1"/>
  <c r="I377" l="1"/>
  <c r="J377" s="1"/>
  <c r="L377" s="1"/>
  <c r="H377"/>
  <c r="K377"/>
  <c r="F378" l="1"/>
  <c r="M377"/>
  <c r="G378" l="1"/>
  <c r="H378" l="1"/>
  <c r="K378"/>
  <c r="I378"/>
  <c r="J378" s="1"/>
  <c r="L378" s="1"/>
  <c r="F379" l="1"/>
  <c r="M378"/>
  <c r="G379" l="1"/>
  <c r="I379" l="1"/>
  <c r="J379" s="1"/>
  <c r="L379" s="1"/>
  <c r="K379"/>
  <c r="H379"/>
  <c r="F380" l="1"/>
  <c r="M379"/>
  <c r="G380" l="1"/>
  <c r="I380" l="1"/>
  <c r="J380" s="1"/>
  <c r="L380" s="1"/>
  <c r="H380"/>
  <c r="K380"/>
  <c r="F381" l="1"/>
  <c r="M380"/>
  <c r="G381" l="1"/>
  <c r="H381" l="1"/>
  <c r="K381"/>
  <c r="I381"/>
  <c r="J381" s="1"/>
  <c r="L381" s="1"/>
  <c r="F382" l="1"/>
  <c r="M381"/>
  <c r="G382" l="1"/>
  <c r="I382" l="1"/>
  <c r="J382" s="1"/>
  <c r="L382" s="1"/>
  <c r="K382"/>
  <c r="H382"/>
  <c r="F383" l="1"/>
  <c r="M382"/>
  <c r="G383" l="1"/>
  <c r="I383" l="1"/>
  <c r="J383" s="1"/>
  <c r="L383" s="1"/>
  <c r="H383"/>
  <c r="K383"/>
  <c r="F384" l="1"/>
  <c r="M383"/>
  <c r="G384" l="1"/>
  <c r="I384" l="1"/>
  <c r="J384" s="1"/>
  <c r="L384" s="1"/>
  <c r="H384"/>
  <c r="K384"/>
  <c r="F385" l="1"/>
  <c r="M384"/>
  <c r="G385" l="1"/>
  <c r="I385" l="1"/>
  <c r="J385" s="1"/>
  <c r="L385" s="1"/>
  <c r="H385"/>
  <c r="K385"/>
  <c r="F386" l="1"/>
  <c r="M385"/>
  <c r="G386" l="1"/>
  <c r="I386" l="1"/>
  <c r="J386" s="1"/>
  <c r="L386" s="1"/>
  <c r="H386"/>
  <c r="K386"/>
  <c r="F387" l="1"/>
  <c r="M386"/>
  <c r="G387" l="1"/>
  <c r="I387" l="1"/>
  <c r="J387" s="1"/>
  <c r="L387" s="1"/>
  <c r="H387"/>
  <c r="K387"/>
  <c r="M387" l="1"/>
  <c r="F388"/>
  <c r="G388" l="1"/>
  <c r="I388" l="1"/>
  <c r="J388" s="1"/>
  <c r="L388" s="1"/>
  <c r="K388"/>
  <c r="H388"/>
  <c r="M388" l="1"/>
  <c r="F389"/>
  <c r="G389" l="1"/>
  <c r="I389" l="1"/>
  <c r="J389" s="1"/>
  <c r="L389" s="1"/>
  <c r="H389"/>
  <c r="K389"/>
  <c r="M389" l="1"/>
  <c r="F390"/>
  <c r="G390" l="1"/>
  <c r="I390" l="1"/>
  <c r="J390" s="1"/>
  <c r="L390" s="1"/>
  <c r="H390"/>
  <c r="K390"/>
  <c r="M390" l="1"/>
  <c r="F391"/>
  <c r="G391" l="1"/>
  <c r="I391" l="1"/>
  <c r="J391" s="1"/>
  <c r="L391" s="1"/>
  <c r="H391"/>
  <c r="K391"/>
  <c r="M391" l="1"/>
  <c r="F392"/>
  <c r="G392" l="1"/>
  <c r="I392" l="1"/>
  <c r="J392" s="1"/>
  <c r="L392" s="1"/>
  <c r="H392"/>
  <c r="K392"/>
  <c r="M392" l="1"/>
  <c r="F393"/>
  <c r="G393" l="1"/>
  <c r="I393" l="1"/>
  <c r="J393" s="1"/>
  <c r="L393" s="1"/>
  <c r="H393"/>
  <c r="K393"/>
  <c r="M393" l="1"/>
  <c r="B8" s="1"/>
  <c r="F394"/>
  <c r="G394" l="1"/>
  <c r="H394" l="1"/>
  <c r="K394"/>
  <c r="I394"/>
  <c r="J394" s="1"/>
  <c r="L394" s="1"/>
  <c r="M394" l="1"/>
  <c r="F395"/>
  <c r="G395" l="1"/>
  <c r="H395" l="1"/>
  <c r="K395"/>
  <c r="I395"/>
  <c r="J395" s="1"/>
  <c r="L395" s="1"/>
  <c r="M395" l="1"/>
  <c r="F396"/>
  <c r="G396" l="1"/>
  <c r="I396" l="1"/>
  <c r="J396" s="1"/>
  <c r="L396" s="1"/>
  <c r="H396"/>
  <c r="K396"/>
  <c r="M396" l="1"/>
  <c r="F397"/>
  <c r="G397" l="1"/>
  <c r="I397" l="1"/>
  <c r="J397" s="1"/>
  <c r="L397" s="1"/>
  <c r="H397"/>
  <c r="K397"/>
  <c r="M397" l="1"/>
  <c r="F398"/>
  <c r="G398" l="1"/>
  <c r="H398" l="1"/>
  <c r="K398"/>
  <c r="I398"/>
  <c r="J398" s="1"/>
  <c r="L398" s="1"/>
  <c r="M398" l="1"/>
  <c r="F399"/>
  <c r="G399" l="1"/>
  <c r="I399" l="1"/>
  <c r="J399" s="1"/>
  <c r="L399" s="1"/>
  <c r="H399"/>
  <c r="K399"/>
  <c r="M399" l="1"/>
  <c r="F400"/>
  <c r="G400" l="1"/>
  <c r="I400" l="1"/>
  <c r="J400" s="1"/>
  <c r="L400" s="1"/>
  <c r="H400"/>
  <c r="K400"/>
  <c r="M400" l="1"/>
  <c r="F401"/>
  <c r="G401" l="1"/>
  <c r="I401" l="1"/>
  <c r="J401" s="1"/>
  <c r="L401" s="1"/>
  <c r="H401"/>
  <c r="K401"/>
  <c r="M401" l="1"/>
  <c r="F402"/>
  <c r="G402" l="1"/>
  <c r="H402" l="1"/>
  <c r="K402"/>
  <c r="I402"/>
  <c r="J402" s="1"/>
  <c r="L402" s="1"/>
  <c r="M402" l="1"/>
  <c r="F403"/>
  <c r="G403" l="1"/>
  <c r="H403" l="1"/>
  <c r="K403"/>
  <c r="I403"/>
  <c r="J403" s="1"/>
  <c r="L403" s="1"/>
  <c r="M403" l="1"/>
  <c r="F404"/>
  <c r="G404" l="1"/>
  <c r="I404" l="1"/>
  <c r="J404" s="1"/>
  <c r="L404" s="1"/>
  <c r="H404"/>
  <c r="K404"/>
  <c r="M404" l="1"/>
  <c r="F405"/>
  <c r="G405" l="1"/>
  <c r="H405" l="1"/>
  <c r="K405"/>
  <c r="I405"/>
  <c r="J405" s="1"/>
  <c r="L405" s="1"/>
  <c r="M405" l="1"/>
  <c r="F406"/>
  <c r="G406" l="1"/>
  <c r="I406" l="1"/>
  <c r="J406" s="1"/>
  <c r="L406" s="1"/>
  <c r="K406"/>
  <c r="H406"/>
  <c r="M406" l="1"/>
  <c r="F407"/>
  <c r="G407" l="1"/>
  <c r="I407" l="1"/>
  <c r="J407" s="1"/>
  <c r="L407" s="1"/>
  <c r="H407"/>
  <c r="K407"/>
  <c r="M407" l="1"/>
  <c r="F408"/>
  <c r="G408" l="1"/>
  <c r="H408" l="1"/>
  <c r="K408"/>
  <c r="I408"/>
  <c r="J408" s="1"/>
  <c r="L408" s="1"/>
  <c r="M408" l="1"/>
  <c r="F409"/>
  <c r="G409" l="1"/>
  <c r="I409" l="1"/>
  <c r="J409" s="1"/>
  <c r="L409" s="1"/>
  <c r="K409"/>
  <c r="H409"/>
  <c r="M409" l="1"/>
  <c r="F410"/>
  <c r="G410" l="1"/>
  <c r="H410" l="1"/>
  <c r="K410"/>
  <c r="I410"/>
  <c r="J410" s="1"/>
  <c r="L410" s="1"/>
  <c r="M410" l="1"/>
  <c r="F411"/>
  <c r="G411" l="1"/>
  <c r="I411" l="1"/>
  <c r="J411" s="1"/>
  <c r="L411" s="1"/>
  <c r="H411"/>
  <c r="K411"/>
  <c r="M411" l="1"/>
  <c r="F412"/>
  <c r="G412" l="1"/>
  <c r="H412" l="1"/>
  <c r="K412"/>
  <c r="I412"/>
  <c r="J412" s="1"/>
  <c r="L412" s="1"/>
  <c r="M412" l="1"/>
  <c r="F413"/>
  <c r="G413" l="1"/>
  <c r="H413" l="1"/>
  <c r="K413"/>
  <c r="I413"/>
  <c r="J413" s="1"/>
  <c r="L413" s="1"/>
  <c r="M413" l="1"/>
  <c r="F414"/>
  <c r="G414" l="1"/>
  <c r="I414" l="1"/>
  <c r="J414" s="1"/>
  <c r="L414" s="1"/>
  <c r="H414"/>
  <c r="K414"/>
  <c r="M414" l="1"/>
  <c r="F415"/>
  <c r="G415" l="1"/>
  <c r="I415" l="1"/>
  <c r="J415" s="1"/>
  <c r="L415" s="1"/>
  <c r="H415"/>
  <c r="K415"/>
  <c r="M415" l="1"/>
  <c r="F416"/>
  <c r="G416" l="1"/>
  <c r="I416" l="1"/>
  <c r="J416" s="1"/>
  <c r="L416" s="1"/>
  <c r="H416"/>
  <c r="K416"/>
  <c r="M416" l="1"/>
  <c r="F417"/>
  <c r="G417" l="1"/>
  <c r="I417" l="1"/>
  <c r="J417" s="1"/>
  <c r="L417" s="1"/>
  <c r="H417"/>
  <c r="K417"/>
  <c r="M417" l="1"/>
  <c r="F418"/>
  <c r="G418" l="1"/>
  <c r="I418" l="1"/>
  <c r="J418" s="1"/>
  <c r="L418" s="1"/>
  <c r="H418"/>
  <c r="K418"/>
  <c r="M418" l="1"/>
  <c r="F419"/>
  <c r="G419" l="1"/>
  <c r="I419" l="1"/>
  <c r="J419" s="1"/>
  <c r="L419" s="1"/>
  <c r="H419"/>
  <c r="K419"/>
  <c r="M419" l="1"/>
  <c r="F420"/>
  <c r="G420" l="1"/>
  <c r="I420" l="1"/>
  <c r="J420" s="1"/>
  <c r="L420" s="1"/>
  <c r="H420"/>
  <c r="K420"/>
  <c r="M420" l="1"/>
  <c r="F421"/>
  <c r="G421" l="1"/>
  <c r="I421" l="1"/>
  <c r="J421" s="1"/>
  <c r="L421" s="1"/>
  <c r="H421"/>
  <c r="K421"/>
  <c r="M421" l="1"/>
  <c r="F422"/>
  <c r="G422" l="1"/>
  <c r="I422" l="1"/>
  <c r="J422" s="1"/>
  <c r="L422" s="1"/>
  <c r="H422"/>
  <c r="K422"/>
  <c r="M422" l="1"/>
  <c r="F423"/>
  <c r="G423" l="1"/>
  <c r="I423" l="1"/>
  <c r="J423" s="1"/>
  <c r="L423" s="1"/>
  <c r="H423"/>
  <c r="K423"/>
  <c r="M423" l="1"/>
  <c r="F424"/>
  <c r="G424" l="1"/>
  <c r="I424" l="1"/>
  <c r="J424" s="1"/>
  <c r="L424" s="1"/>
  <c r="H424"/>
  <c r="K424"/>
  <c r="M424" l="1"/>
  <c r="F425"/>
  <c r="G425" l="1"/>
  <c r="I425" l="1"/>
  <c r="J425" s="1"/>
  <c r="L425" s="1"/>
  <c r="H425"/>
  <c r="K425"/>
  <c r="M425" l="1"/>
  <c r="F426"/>
  <c r="G426" l="1"/>
  <c r="I426" l="1"/>
  <c r="J426" s="1"/>
  <c r="L426" s="1"/>
  <c r="H426"/>
  <c r="K426"/>
  <c r="M426" l="1"/>
  <c r="F427"/>
  <c r="G427" l="1"/>
  <c r="I427" l="1"/>
  <c r="J427" s="1"/>
  <c r="L427" s="1"/>
  <c r="H427"/>
  <c r="K427"/>
  <c r="M427" l="1"/>
  <c r="F428"/>
  <c r="G428" l="1"/>
  <c r="I428" l="1"/>
  <c r="J428" s="1"/>
  <c r="L428" s="1"/>
  <c r="H428"/>
  <c r="K428"/>
  <c r="F429" l="1"/>
  <c r="M428"/>
  <c r="G429" l="1"/>
  <c r="I429" l="1"/>
  <c r="J429" s="1"/>
  <c r="L429" s="1"/>
  <c r="H429"/>
  <c r="K429"/>
  <c r="F430" l="1"/>
  <c r="M429"/>
  <c r="G430" l="1"/>
  <c r="I430" l="1"/>
  <c r="J430" s="1"/>
  <c r="L430" s="1"/>
  <c r="H430"/>
  <c r="K430"/>
  <c r="M430" l="1"/>
  <c r="F431"/>
  <c r="G431" l="1"/>
  <c r="I431" l="1"/>
  <c r="J431" s="1"/>
  <c r="L431" s="1"/>
  <c r="H431"/>
  <c r="K431"/>
  <c r="M431" l="1"/>
  <c r="F432"/>
  <c r="G432" l="1"/>
  <c r="I432" l="1"/>
  <c r="J432" s="1"/>
  <c r="L432" s="1"/>
  <c r="H432"/>
  <c r="K432"/>
  <c r="M432" l="1"/>
  <c r="F433"/>
  <c r="G433" l="1"/>
  <c r="I433" l="1"/>
  <c r="J433" s="1"/>
  <c r="L433" s="1"/>
  <c r="H433"/>
  <c r="K433"/>
  <c r="M433" l="1"/>
  <c r="F434"/>
  <c r="G434" l="1"/>
  <c r="I434" l="1"/>
  <c r="J434" s="1"/>
  <c r="L434" s="1"/>
  <c r="H434"/>
  <c r="K434"/>
  <c r="M434" l="1"/>
  <c r="F435"/>
  <c r="G435" l="1"/>
  <c r="I435" l="1"/>
  <c r="J435" s="1"/>
  <c r="L435" s="1"/>
  <c r="H435"/>
  <c r="K435"/>
  <c r="M435" l="1"/>
  <c r="F436"/>
  <c r="G436" l="1"/>
  <c r="I436" l="1"/>
  <c r="J436" s="1"/>
  <c r="L436" s="1"/>
  <c r="H436"/>
  <c r="K436"/>
  <c r="M436" l="1"/>
  <c r="F437"/>
  <c r="G437" l="1"/>
  <c r="I437" l="1"/>
  <c r="J437" s="1"/>
  <c r="L437" s="1"/>
  <c r="H437"/>
  <c r="K437"/>
  <c r="M437" l="1"/>
  <c r="F438"/>
  <c r="G438" l="1"/>
  <c r="I438" l="1"/>
  <c r="J438" s="1"/>
  <c r="L438" s="1"/>
  <c r="H438"/>
  <c r="K438"/>
  <c r="M438" l="1"/>
  <c r="F439"/>
  <c r="G439" l="1"/>
  <c r="I439" l="1"/>
  <c r="J439" s="1"/>
  <c r="L439" s="1"/>
  <c r="H439"/>
  <c r="K439"/>
  <c r="M439" l="1"/>
  <c r="F440"/>
  <c r="G440" l="1"/>
  <c r="I440" l="1"/>
  <c r="J440" s="1"/>
  <c r="L440" s="1"/>
  <c r="H440"/>
  <c r="K440"/>
  <c r="M440" l="1"/>
  <c r="F441"/>
  <c r="G441" l="1"/>
  <c r="I441" l="1"/>
  <c r="J441" s="1"/>
  <c r="L441" s="1"/>
  <c r="H441"/>
  <c r="K441"/>
  <c r="M441" l="1"/>
  <c r="F442"/>
  <c r="G442" l="1"/>
  <c r="I442" l="1"/>
  <c r="J442" s="1"/>
  <c r="L442" s="1"/>
  <c r="H442"/>
  <c r="K442"/>
  <c r="M442" l="1"/>
  <c r="F443"/>
  <c r="G443" l="1"/>
  <c r="I443" l="1"/>
  <c r="J443" s="1"/>
  <c r="L443" s="1"/>
  <c r="H443"/>
  <c r="K443"/>
  <c r="M443" l="1"/>
  <c r="F444"/>
  <c r="G444" l="1"/>
  <c r="I444" l="1"/>
  <c r="J444" s="1"/>
  <c r="L444" s="1"/>
  <c r="H444"/>
  <c r="K444"/>
  <c r="M444" l="1"/>
  <c r="F445"/>
  <c r="G445" l="1"/>
  <c r="I445" l="1"/>
  <c r="J445" s="1"/>
  <c r="L445" s="1"/>
  <c r="H445"/>
  <c r="K445"/>
  <c r="M445" l="1"/>
  <c r="F446"/>
  <c r="G446" l="1"/>
  <c r="I446" l="1"/>
  <c r="J446" s="1"/>
  <c r="L446" s="1"/>
  <c r="H446"/>
  <c r="K446"/>
  <c r="M446" l="1"/>
  <c r="F447"/>
  <c r="G447" l="1"/>
  <c r="I447" l="1"/>
  <c r="J447" s="1"/>
  <c r="L447" s="1"/>
  <c r="H447"/>
  <c r="K447"/>
  <c r="M447" l="1"/>
  <c r="F448"/>
  <c r="G448" l="1"/>
  <c r="I448" l="1"/>
  <c r="J448" s="1"/>
  <c r="L448" s="1"/>
  <c r="H448"/>
  <c r="K448"/>
  <c r="M448" l="1"/>
  <c r="F449"/>
  <c r="G449" l="1"/>
  <c r="I449" l="1"/>
  <c r="J449" s="1"/>
  <c r="L449" s="1"/>
  <c r="H449"/>
  <c r="K449"/>
  <c r="M449" l="1"/>
  <c r="F450"/>
  <c r="G450" l="1"/>
  <c r="I450" l="1"/>
  <c r="J450" s="1"/>
  <c r="L450" s="1"/>
  <c r="H450"/>
  <c r="K450"/>
  <c r="F451" l="1"/>
  <c r="M450"/>
  <c r="G451" l="1"/>
  <c r="H451" l="1"/>
  <c r="K451"/>
  <c r="I451"/>
  <c r="J451" s="1"/>
  <c r="L451" s="1"/>
  <c r="F452" l="1"/>
  <c r="M451"/>
  <c r="G452" l="1"/>
  <c r="H452" l="1"/>
  <c r="K452"/>
  <c r="I452"/>
  <c r="J452" s="1"/>
  <c r="L452" s="1"/>
  <c r="F453" l="1"/>
  <c r="M452"/>
  <c r="G453" l="1"/>
  <c r="I453" l="1"/>
  <c r="J453" s="1"/>
  <c r="L453" s="1"/>
  <c r="H453"/>
  <c r="K453"/>
  <c r="F454" l="1"/>
  <c r="M453"/>
  <c r="G454" l="1"/>
  <c r="H454" l="1"/>
  <c r="K454"/>
  <c r="I454"/>
  <c r="J454" s="1"/>
  <c r="L454" s="1"/>
  <c r="F455" l="1"/>
  <c r="M454"/>
  <c r="G455" l="1"/>
  <c r="I455" l="1"/>
  <c r="J455" s="1"/>
  <c r="L455" s="1"/>
  <c r="H455"/>
  <c r="K455"/>
  <c r="F456" l="1"/>
  <c r="M455"/>
  <c r="G456" l="1"/>
  <c r="I456" l="1"/>
  <c r="J456" s="1"/>
  <c r="L456" s="1"/>
  <c r="H456"/>
  <c r="K456"/>
  <c r="F457" l="1"/>
  <c r="M456"/>
  <c r="G457" l="1"/>
  <c r="I457" l="1"/>
  <c r="J457" s="1"/>
  <c r="L457" s="1"/>
  <c r="H457"/>
  <c r="K457"/>
  <c r="F458" l="1"/>
  <c r="M457"/>
  <c r="G458" l="1"/>
  <c r="I458" l="1"/>
  <c r="J458" s="1"/>
  <c r="L458" s="1"/>
  <c r="H458"/>
  <c r="K458"/>
  <c r="F459" l="1"/>
  <c r="M458"/>
  <c r="G459" l="1"/>
  <c r="I459" l="1"/>
  <c r="J459" s="1"/>
  <c r="L459" s="1"/>
  <c r="H459"/>
  <c r="K459"/>
  <c r="F460" l="1"/>
  <c r="M459"/>
  <c r="G460" l="1"/>
  <c r="I460" l="1"/>
  <c r="J460" s="1"/>
  <c r="L460" s="1"/>
  <c r="H460"/>
  <c r="K460"/>
  <c r="F461" l="1"/>
  <c r="M460"/>
  <c r="G461" l="1"/>
  <c r="I461" l="1"/>
  <c r="J461" s="1"/>
  <c r="L461" s="1"/>
  <c r="H461"/>
  <c r="K461"/>
  <c r="F462" l="1"/>
  <c r="M461"/>
  <c r="G462" l="1"/>
  <c r="I462" l="1"/>
  <c r="J462" s="1"/>
  <c r="L462" s="1"/>
  <c r="H462"/>
  <c r="K462"/>
  <c r="F463" l="1"/>
  <c r="M462"/>
  <c r="G463" l="1"/>
  <c r="I463" l="1"/>
  <c r="J463" s="1"/>
  <c r="L463" s="1"/>
  <c r="H463"/>
  <c r="K463"/>
  <c r="F464" l="1"/>
  <c r="M463"/>
  <c r="G464" l="1"/>
  <c r="I464" l="1"/>
  <c r="J464" s="1"/>
  <c r="L464" s="1"/>
  <c r="H464"/>
  <c r="K464"/>
  <c r="F465" l="1"/>
  <c r="M464"/>
  <c r="G465" l="1"/>
  <c r="I465" l="1"/>
  <c r="J465" s="1"/>
  <c r="L465" s="1"/>
  <c r="H465"/>
  <c r="K465"/>
  <c r="F466" l="1"/>
  <c r="M465"/>
  <c r="G466" l="1"/>
  <c r="I466" l="1"/>
  <c r="J466" s="1"/>
  <c r="L466" s="1"/>
  <c r="H466"/>
  <c r="K466"/>
  <c r="F467" l="1"/>
  <c r="M466"/>
  <c r="G467" l="1"/>
  <c r="I467" l="1"/>
  <c r="J467" s="1"/>
  <c r="L467" s="1"/>
  <c r="H467"/>
  <c r="K467"/>
  <c r="M467" l="1"/>
  <c r="F468"/>
  <c r="G468" l="1"/>
  <c r="I468" l="1"/>
  <c r="J468" s="1"/>
  <c r="L468" s="1"/>
  <c r="H468"/>
  <c r="K468"/>
  <c r="M468" l="1"/>
  <c r="F469"/>
  <c r="G469" l="1"/>
  <c r="I469" l="1"/>
  <c r="J469" s="1"/>
  <c r="L469" s="1"/>
  <c r="H469"/>
  <c r="K469"/>
  <c r="M469" l="1"/>
  <c r="F470"/>
  <c r="G470" l="1"/>
  <c r="I470" l="1"/>
  <c r="J470" s="1"/>
  <c r="L470" s="1"/>
  <c r="H470"/>
  <c r="K470"/>
  <c r="M470" l="1"/>
  <c r="F471"/>
  <c r="G471" l="1"/>
  <c r="I471" l="1"/>
  <c r="J471" s="1"/>
  <c r="L471" s="1"/>
  <c r="H471"/>
  <c r="K471"/>
  <c r="M471" l="1"/>
  <c r="F472"/>
  <c r="G472" l="1"/>
  <c r="H472" l="1"/>
  <c r="K472"/>
  <c r="I472"/>
  <c r="J472" s="1"/>
  <c r="L472" s="1"/>
  <c r="M472" l="1"/>
  <c r="F473"/>
  <c r="G473" l="1"/>
  <c r="H473" l="1"/>
  <c r="K473"/>
  <c r="I473"/>
  <c r="J473" s="1"/>
  <c r="L473" s="1"/>
  <c r="M473" l="1"/>
  <c r="F474"/>
  <c r="G474" l="1"/>
  <c r="H474" l="1"/>
  <c r="K474"/>
  <c r="I474"/>
  <c r="J474" s="1"/>
  <c r="L474" s="1"/>
  <c r="M474" l="1"/>
  <c r="F475"/>
  <c r="G475" l="1"/>
  <c r="I475" l="1"/>
  <c r="J475" s="1"/>
  <c r="L475" s="1"/>
  <c r="K475"/>
  <c r="H475"/>
  <c r="M475" l="1"/>
  <c r="F476"/>
  <c r="G476" l="1"/>
  <c r="H476" l="1"/>
  <c r="K476"/>
  <c r="I476"/>
  <c r="J476" s="1"/>
  <c r="L476" s="1"/>
  <c r="M476" l="1"/>
  <c r="F477"/>
  <c r="G477" l="1"/>
  <c r="H477" l="1"/>
  <c r="K477"/>
  <c r="I477"/>
  <c r="J477" s="1"/>
  <c r="L477" s="1"/>
  <c r="M477" l="1"/>
  <c r="F478"/>
  <c r="G478" l="1"/>
  <c r="I478" l="1"/>
  <c r="J478" s="1"/>
  <c r="L478" s="1"/>
  <c r="K478"/>
  <c r="H478"/>
  <c r="M478" l="1"/>
  <c r="F479"/>
  <c r="G479" l="1"/>
  <c r="H479" l="1"/>
  <c r="K479"/>
  <c r="I479"/>
  <c r="J479" s="1"/>
  <c r="L479" s="1"/>
  <c r="M479" l="1"/>
  <c r="F480"/>
  <c r="G480" l="1"/>
  <c r="H480" l="1"/>
  <c r="K480"/>
  <c r="I480"/>
  <c r="J480" s="1"/>
  <c r="L480" s="1"/>
  <c r="M480" l="1"/>
  <c r="F481"/>
  <c r="G481" l="1"/>
  <c r="H481" l="1"/>
  <c r="K481"/>
  <c r="I481"/>
  <c r="J481" s="1"/>
  <c r="L481" s="1"/>
  <c r="M481" l="1"/>
  <c r="F482"/>
  <c r="G482" l="1"/>
  <c r="I482" l="1"/>
  <c r="J482" s="1"/>
  <c r="L482" s="1"/>
  <c r="H482"/>
  <c r="K482"/>
  <c r="M482" l="1"/>
  <c r="F483"/>
  <c r="G483" l="1"/>
  <c r="I483" l="1"/>
  <c r="J483" s="1"/>
  <c r="L483" s="1"/>
  <c r="H483"/>
  <c r="K483"/>
  <c r="M483" l="1"/>
  <c r="F484"/>
  <c r="G484" l="1"/>
  <c r="H484" l="1"/>
  <c r="K484"/>
  <c r="I484"/>
  <c r="J484" s="1"/>
  <c r="L484" s="1"/>
  <c r="M484" l="1"/>
  <c r="F485"/>
  <c r="G485" l="1"/>
  <c r="H485" l="1"/>
  <c r="K485"/>
  <c r="I485"/>
  <c r="J485" s="1"/>
  <c r="L485" s="1"/>
  <c r="M485" l="1"/>
  <c r="F486"/>
  <c r="G486" l="1"/>
  <c r="I486" l="1"/>
  <c r="J486" s="1"/>
  <c r="L486" s="1"/>
  <c r="H486"/>
  <c r="K486"/>
  <c r="M486" l="1"/>
  <c r="F487"/>
  <c r="G487" l="1"/>
  <c r="H487" l="1"/>
  <c r="K487"/>
  <c r="I487"/>
  <c r="J487" s="1"/>
  <c r="L487" s="1"/>
  <c r="F488" l="1"/>
  <c r="M487"/>
  <c r="G488" l="1"/>
  <c r="H488" l="1"/>
  <c r="K488"/>
  <c r="I488"/>
  <c r="J488" s="1"/>
  <c r="L488" s="1"/>
  <c r="F489" l="1"/>
  <c r="M488"/>
  <c r="G489" l="1"/>
  <c r="H489" l="1"/>
  <c r="K489"/>
  <c r="I489"/>
  <c r="J489" s="1"/>
  <c r="L489" s="1"/>
  <c r="F490" l="1"/>
  <c r="M489"/>
  <c r="G490" l="1"/>
  <c r="I490" l="1"/>
  <c r="J490" s="1"/>
  <c r="L490" s="1"/>
  <c r="K490"/>
  <c r="H490"/>
  <c r="F491" l="1"/>
  <c r="M490"/>
  <c r="G491" l="1"/>
  <c r="H491" l="1"/>
  <c r="K491"/>
  <c r="I491"/>
  <c r="J491" s="1"/>
  <c r="L491" s="1"/>
  <c r="F492" l="1"/>
  <c r="M491"/>
  <c r="G492" l="1"/>
  <c r="I492" l="1"/>
  <c r="J492" s="1"/>
  <c r="L492" s="1"/>
  <c r="H492"/>
  <c r="K492"/>
  <c r="F493" l="1"/>
  <c r="M492"/>
  <c r="G493" l="1"/>
  <c r="I493" l="1"/>
  <c r="J493" s="1"/>
  <c r="L493" s="1"/>
  <c r="H493"/>
  <c r="K493"/>
  <c r="F494" l="1"/>
  <c r="M493"/>
  <c r="G494" l="1"/>
  <c r="I494" l="1"/>
  <c r="J494" s="1"/>
  <c r="L494" s="1"/>
  <c r="H494"/>
  <c r="K494"/>
  <c r="F495" l="1"/>
  <c r="M494"/>
  <c r="G495" l="1"/>
  <c r="I495" l="1"/>
  <c r="J495" s="1"/>
  <c r="L495" s="1"/>
  <c r="H495"/>
  <c r="K495"/>
  <c r="F496" l="1"/>
  <c r="M495"/>
  <c r="G496" l="1"/>
  <c r="I496" l="1"/>
  <c r="J496" s="1"/>
  <c r="L496" s="1"/>
  <c r="H496"/>
  <c r="K496"/>
  <c r="F497" l="1"/>
  <c r="M496"/>
  <c r="G497" l="1"/>
  <c r="I497" l="1"/>
  <c r="J497" s="1"/>
  <c r="L497" s="1"/>
  <c r="H497"/>
  <c r="K497"/>
  <c r="F498" l="1"/>
  <c r="M497"/>
  <c r="G498" l="1"/>
  <c r="I498" l="1"/>
  <c r="J498" s="1"/>
  <c r="L498" s="1"/>
  <c r="H498"/>
  <c r="K498"/>
  <c r="F499" l="1"/>
  <c r="M498"/>
  <c r="G499" l="1"/>
  <c r="I499" l="1"/>
  <c r="J499" s="1"/>
  <c r="L499" s="1"/>
  <c r="H499"/>
  <c r="K499"/>
  <c r="F500" l="1"/>
  <c r="M499"/>
  <c r="G500" l="1"/>
  <c r="I500" l="1"/>
  <c r="J500" s="1"/>
  <c r="L500" s="1"/>
  <c r="H500"/>
  <c r="K500"/>
  <c r="F501" l="1"/>
  <c r="M500"/>
  <c r="G501" l="1"/>
  <c r="I501" l="1"/>
  <c r="J501" s="1"/>
  <c r="L501" s="1"/>
  <c r="H501"/>
  <c r="K501"/>
  <c r="F502" l="1"/>
  <c r="M501"/>
  <c r="G502" l="1"/>
  <c r="I502" l="1"/>
  <c r="J502" s="1"/>
  <c r="L502" s="1"/>
  <c r="H502"/>
  <c r="K502"/>
  <c r="F503" l="1"/>
  <c r="M502"/>
  <c r="G503" l="1"/>
  <c r="I503" l="1"/>
  <c r="J503" s="1"/>
  <c r="L503" s="1"/>
  <c r="H503"/>
  <c r="K503"/>
  <c r="F504" l="1"/>
  <c r="M503"/>
  <c r="G504" l="1"/>
  <c r="I504" l="1"/>
  <c r="J504" s="1"/>
  <c r="L504" s="1"/>
  <c r="H504"/>
  <c r="K504"/>
  <c r="F505" l="1"/>
  <c r="M504"/>
  <c r="G505" l="1"/>
  <c r="I505" l="1"/>
  <c r="J505" s="1"/>
  <c r="L505" s="1"/>
  <c r="H505"/>
  <c r="K505"/>
  <c r="F506" l="1"/>
  <c r="M505"/>
  <c r="G506" l="1"/>
  <c r="I506" l="1"/>
  <c r="J506" s="1"/>
  <c r="L506" s="1"/>
  <c r="H506"/>
  <c r="K506"/>
  <c r="F507" l="1"/>
  <c r="M506"/>
  <c r="G507" l="1"/>
  <c r="I507" l="1"/>
  <c r="J507" s="1"/>
  <c r="L507" s="1"/>
  <c r="H507"/>
  <c r="K507"/>
  <c r="F508" l="1"/>
  <c r="M507"/>
  <c r="G508" l="1"/>
  <c r="I508" l="1"/>
  <c r="J508" s="1"/>
  <c r="L508" s="1"/>
  <c r="H508"/>
  <c r="K508"/>
  <c r="F509" l="1"/>
  <c r="M508"/>
  <c r="G509" l="1"/>
  <c r="I509" l="1"/>
  <c r="J509" s="1"/>
  <c r="L509" s="1"/>
  <c r="H509"/>
  <c r="K509"/>
  <c r="F510" l="1"/>
  <c r="M509"/>
  <c r="G510" l="1"/>
  <c r="I510" l="1"/>
  <c r="J510" s="1"/>
  <c r="L510" s="1"/>
  <c r="H510"/>
  <c r="K510"/>
  <c r="F511" l="1"/>
  <c r="M510"/>
  <c r="G511" l="1"/>
  <c r="H511" l="1"/>
  <c r="K511"/>
  <c r="I511"/>
  <c r="J511" s="1"/>
  <c r="L511" s="1"/>
  <c r="F512" l="1"/>
  <c r="M511"/>
  <c r="G512" l="1"/>
  <c r="H512" l="1"/>
  <c r="K512"/>
  <c r="I512"/>
  <c r="J512" s="1"/>
  <c r="L512" s="1"/>
  <c r="F513" l="1"/>
  <c r="M512"/>
  <c r="G513" l="1"/>
  <c r="H513" l="1"/>
  <c r="K513"/>
  <c r="I513"/>
  <c r="J513" s="1"/>
  <c r="L513" s="1"/>
  <c r="F514" l="1"/>
  <c r="M513"/>
  <c r="G514" l="1"/>
  <c r="I514" l="1"/>
  <c r="J514" s="1"/>
  <c r="L514" s="1"/>
  <c r="K514"/>
  <c r="H514"/>
  <c r="F515" l="1"/>
  <c r="M514"/>
  <c r="G515" l="1"/>
  <c r="H515" l="1"/>
  <c r="K515"/>
  <c r="I515"/>
  <c r="J515" s="1"/>
  <c r="L515" s="1"/>
  <c r="F516" l="1"/>
  <c r="M515"/>
  <c r="G516" l="1"/>
  <c r="H516" l="1"/>
  <c r="K516"/>
  <c r="I516"/>
  <c r="J516" s="1"/>
  <c r="L516" s="1"/>
  <c r="F517" l="1"/>
  <c r="M516"/>
  <c r="G517" l="1"/>
  <c r="I517" l="1"/>
  <c r="J517" s="1"/>
  <c r="L517" s="1"/>
  <c r="K517"/>
  <c r="H517"/>
  <c r="F518" l="1"/>
  <c r="M517"/>
  <c r="G518" l="1"/>
  <c r="H518" l="1"/>
  <c r="K518"/>
  <c r="I518"/>
  <c r="J518" s="1"/>
  <c r="L518" s="1"/>
  <c r="F519" l="1"/>
  <c r="M518"/>
  <c r="G519" l="1"/>
  <c r="H519" l="1"/>
  <c r="K519"/>
  <c r="I519"/>
  <c r="J519" s="1"/>
  <c r="L519" s="1"/>
  <c r="F520" l="1"/>
  <c r="M519"/>
  <c r="G520" l="1"/>
  <c r="H520" l="1"/>
  <c r="K520"/>
  <c r="I520"/>
  <c r="J520" s="1"/>
  <c r="L520" s="1"/>
  <c r="F521" l="1"/>
  <c r="M520"/>
  <c r="G521" l="1"/>
  <c r="H521" l="1"/>
  <c r="K521"/>
  <c r="I521"/>
  <c r="J521" s="1"/>
  <c r="L521" s="1"/>
  <c r="F522" l="1"/>
  <c r="M521"/>
  <c r="G522" l="1"/>
  <c r="H522" l="1"/>
  <c r="K522"/>
  <c r="I522"/>
  <c r="J522" s="1"/>
  <c r="L522" s="1"/>
  <c r="F523" l="1"/>
  <c r="M522"/>
  <c r="G523" l="1"/>
  <c r="H523" l="1"/>
  <c r="K523"/>
  <c r="I523"/>
  <c r="J523" s="1"/>
  <c r="L523" s="1"/>
  <c r="F524" l="1"/>
  <c r="M523"/>
  <c r="G524" l="1"/>
  <c r="H524" l="1"/>
  <c r="K524"/>
  <c r="I524"/>
  <c r="J524" s="1"/>
  <c r="L524" s="1"/>
  <c r="F525" l="1"/>
  <c r="M524"/>
  <c r="G525" l="1"/>
  <c r="I525" l="1"/>
  <c r="J525" s="1"/>
  <c r="L525" s="1"/>
  <c r="H525"/>
  <c r="K525"/>
  <c r="F526" l="1"/>
  <c r="M525"/>
  <c r="G526" l="1"/>
  <c r="H526" l="1"/>
  <c r="K526"/>
  <c r="I526"/>
  <c r="J526" s="1"/>
  <c r="L526" s="1"/>
  <c r="F527" l="1"/>
  <c r="M526"/>
  <c r="G527" l="1"/>
  <c r="H527" l="1"/>
  <c r="K527"/>
  <c r="I527"/>
  <c r="J527" s="1"/>
  <c r="L527" s="1"/>
  <c r="F528" l="1"/>
  <c r="M527"/>
  <c r="G528" l="1"/>
  <c r="H528" l="1"/>
  <c r="K528"/>
  <c r="I528"/>
  <c r="J528" s="1"/>
  <c r="L528" s="1"/>
  <c r="F529" l="1"/>
  <c r="M528"/>
  <c r="G529" l="1"/>
  <c r="H529" l="1"/>
  <c r="K529"/>
  <c r="I529"/>
  <c r="J529" s="1"/>
  <c r="L529" s="1"/>
  <c r="F530" l="1"/>
  <c r="M529"/>
  <c r="G530" l="1"/>
  <c r="H530" l="1"/>
  <c r="K530"/>
  <c r="I530"/>
  <c r="J530" s="1"/>
  <c r="L530" s="1"/>
  <c r="F531" l="1"/>
  <c r="M530"/>
  <c r="G531" l="1"/>
  <c r="I531" l="1"/>
  <c r="J531" s="1"/>
  <c r="L531" s="1"/>
  <c r="H531"/>
  <c r="K531"/>
  <c r="F532" l="1"/>
  <c r="M531"/>
  <c r="G532" l="1"/>
  <c r="I532" l="1"/>
  <c r="J532" s="1"/>
  <c r="L532" s="1"/>
  <c r="H532"/>
  <c r="K532"/>
  <c r="F533" l="1"/>
  <c r="M532"/>
  <c r="G533" l="1"/>
  <c r="I533" l="1"/>
  <c r="J533" s="1"/>
  <c r="L533" s="1"/>
  <c r="H533"/>
  <c r="K533"/>
  <c r="F534" l="1"/>
  <c r="M533"/>
  <c r="G534" l="1"/>
  <c r="I534" l="1"/>
  <c r="J534" s="1"/>
  <c r="L534" s="1"/>
  <c r="H534"/>
  <c r="K534"/>
  <c r="F535" l="1"/>
  <c r="M534"/>
  <c r="G535" l="1"/>
  <c r="H535" l="1"/>
  <c r="K535"/>
  <c r="I535"/>
  <c r="J535" s="1"/>
  <c r="L535" s="1"/>
  <c r="F536" l="1"/>
  <c r="M535"/>
  <c r="G536" l="1"/>
  <c r="I536" l="1"/>
  <c r="J536" s="1"/>
  <c r="L536" s="1"/>
  <c r="H536"/>
  <c r="K536"/>
  <c r="F537" l="1"/>
  <c r="M536"/>
  <c r="G537" l="1"/>
  <c r="H537" l="1"/>
  <c r="K537"/>
  <c r="I537"/>
  <c r="J537" s="1"/>
  <c r="L537" s="1"/>
  <c r="F538" l="1"/>
  <c r="M537"/>
  <c r="G538" l="1"/>
  <c r="I538" l="1"/>
  <c r="J538" s="1"/>
  <c r="L538" s="1"/>
  <c r="K538"/>
  <c r="H538"/>
  <c r="F539" l="1"/>
  <c r="M538"/>
  <c r="G539" l="1"/>
  <c r="H539" l="1"/>
  <c r="K539"/>
  <c r="I539"/>
  <c r="J539" s="1"/>
  <c r="L539" s="1"/>
  <c r="F540" l="1"/>
  <c r="M539"/>
  <c r="G540" l="1"/>
  <c r="H540" l="1"/>
  <c r="K540"/>
  <c r="I540"/>
  <c r="J540" s="1"/>
  <c r="L540" s="1"/>
  <c r="F541" l="1"/>
  <c r="M540"/>
  <c r="G541" l="1"/>
  <c r="I541" l="1"/>
  <c r="J541" s="1"/>
  <c r="L541" s="1"/>
  <c r="H541"/>
  <c r="K541"/>
  <c r="F542" l="1"/>
  <c r="M541"/>
  <c r="G542" l="1"/>
  <c r="I542" l="1"/>
  <c r="J542" s="1"/>
  <c r="L542" s="1"/>
  <c r="H542"/>
  <c r="K542"/>
  <c r="F543" l="1"/>
  <c r="M542"/>
  <c r="G543" l="1"/>
  <c r="H543" l="1"/>
  <c r="K543"/>
  <c r="I543"/>
  <c r="J543" s="1"/>
  <c r="L543" s="1"/>
  <c r="F544" l="1"/>
  <c r="M543"/>
  <c r="G544" l="1"/>
  <c r="H544" l="1"/>
  <c r="K544"/>
  <c r="I544"/>
  <c r="J544" s="1"/>
  <c r="L544" s="1"/>
  <c r="F545" l="1"/>
  <c r="M544"/>
  <c r="G545" l="1"/>
  <c r="H545" l="1"/>
  <c r="K545"/>
  <c r="I545"/>
  <c r="J545" s="1"/>
  <c r="L545" s="1"/>
  <c r="F546" l="1"/>
  <c r="M545"/>
  <c r="G546" l="1"/>
  <c r="I546" l="1"/>
  <c r="J546" s="1"/>
  <c r="L546" s="1"/>
  <c r="H546"/>
  <c r="K546"/>
  <c r="F547" l="1"/>
  <c r="M546"/>
  <c r="G547" l="1"/>
  <c r="H547" l="1"/>
  <c r="K547"/>
  <c r="I547"/>
  <c r="J547" s="1"/>
  <c r="L547" s="1"/>
  <c r="F548" l="1"/>
  <c r="M547"/>
  <c r="G548" l="1"/>
  <c r="I548" l="1"/>
  <c r="J548" s="1"/>
  <c r="L548" s="1"/>
  <c r="H548"/>
  <c r="K548"/>
  <c r="F549" l="1"/>
  <c r="M548"/>
  <c r="G549" l="1"/>
  <c r="H549" l="1"/>
  <c r="K549"/>
  <c r="I549"/>
  <c r="J549" s="1"/>
  <c r="L549" s="1"/>
  <c r="F550" l="1"/>
  <c r="M549"/>
  <c r="G550" l="1"/>
  <c r="H550" l="1"/>
  <c r="K550"/>
  <c r="I550"/>
  <c r="J550" s="1"/>
  <c r="L550" s="1"/>
  <c r="F551" l="1"/>
  <c r="M550"/>
  <c r="G551" l="1"/>
  <c r="I551" l="1"/>
  <c r="J551" s="1"/>
  <c r="L551" s="1"/>
  <c r="H551"/>
  <c r="K551"/>
  <c r="F552" l="1"/>
  <c r="M551"/>
  <c r="G552" l="1"/>
  <c r="H552" l="1"/>
  <c r="K552"/>
  <c r="I552"/>
  <c r="J552" s="1"/>
  <c r="L552" s="1"/>
  <c r="F553" l="1"/>
  <c r="M552"/>
  <c r="G553" l="1"/>
  <c r="H553" l="1"/>
  <c r="K553"/>
  <c r="I553"/>
  <c r="J553" s="1"/>
  <c r="L553" s="1"/>
  <c r="F554" l="1"/>
  <c r="M553"/>
  <c r="G554" l="1"/>
  <c r="I554" l="1"/>
  <c r="J554" s="1"/>
  <c r="L554" s="1"/>
  <c r="H554"/>
  <c r="K554"/>
  <c r="F555" l="1"/>
  <c r="M554"/>
  <c r="G555" l="1"/>
  <c r="I555" l="1"/>
  <c r="J555" s="1"/>
  <c r="L555" s="1"/>
  <c r="H555"/>
  <c r="K555"/>
  <c r="F556" l="1"/>
  <c r="M555"/>
  <c r="G556" l="1"/>
  <c r="H556" l="1"/>
  <c r="K556"/>
  <c r="I556"/>
  <c r="J556" s="1"/>
  <c r="L556" s="1"/>
  <c r="F557" l="1"/>
  <c r="M556"/>
  <c r="G557" l="1"/>
  <c r="H557" l="1"/>
  <c r="K557"/>
  <c r="I557"/>
  <c r="J557" s="1"/>
  <c r="L557" s="1"/>
  <c r="F558" l="1"/>
  <c r="M557"/>
  <c r="G558" l="1"/>
  <c r="H558" l="1"/>
  <c r="K558"/>
  <c r="I558"/>
  <c r="J558" s="1"/>
  <c r="L558" s="1"/>
  <c r="F559" l="1"/>
  <c r="M558"/>
  <c r="G559" l="1"/>
  <c r="H559" l="1"/>
  <c r="K559"/>
  <c r="I559"/>
  <c r="J559" s="1"/>
  <c r="L559" s="1"/>
  <c r="F560" l="1"/>
  <c r="M559"/>
  <c r="G560" l="1"/>
  <c r="H560" l="1"/>
  <c r="K560"/>
  <c r="I560"/>
  <c r="J560" s="1"/>
  <c r="L560" s="1"/>
  <c r="F561" l="1"/>
  <c r="M560"/>
  <c r="G561" l="1"/>
  <c r="H561" l="1"/>
  <c r="K561"/>
  <c r="I561"/>
  <c r="J561" s="1"/>
  <c r="L561" s="1"/>
  <c r="F562" l="1"/>
  <c r="M561"/>
  <c r="G562" l="1"/>
  <c r="H562" l="1"/>
  <c r="K562"/>
  <c r="I562"/>
  <c r="J562" s="1"/>
  <c r="L562" s="1"/>
  <c r="F563" l="1"/>
  <c r="M562"/>
  <c r="G563" l="1"/>
  <c r="H563" l="1"/>
  <c r="K563"/>
  <c r="I563"/>
  <c r="J563" s="1"/>
  <c r="L563" s="1"/>
  <c r="F564" l="1"/>
  <c r="M563"/>
  <c r="G564" l="1"/>
  <c r="I564" l="1"/>
  <c r="J564" s="1"/>
  <c r="L564" s="1"/>
  <c r="H564"/>
  <c r="K564"/>
  <c r="F565" l="1"/>
  <c r="M564"/>
  <c r="G565" l="1"/>
  <c r="I565" l="1"/>
  <c r="J565" s="1"/>
  <c r="L565" s="1"/>
  <c r="H565"/>
  <c r="K565"/>
  <c r="F566" l="1"/>
  <c r="M565"/>
  <c r="G566" l="1"/>
  <c r="H566" l="1"/>
  <c r="K566"/>
  <c r="I566"/>
  <c r="J566" s="1"/>
  <c r="L566" s="1"/>
  <c r="F567" l="1"/>
  <c r="M566"/>
  <c r="G567" l="1"/>
  <c r="H567" l="1"/>
  <c r="K567"/>
  <c r="I567"/>
  <c r="J567" s="1"/>
  <c r="L567" s="1"/>
  <c r="F568" l="1"/>
  <c r="M567"/>
  <c r="G568" l="1"/>
  <c r="I568" l="1"/>
  <c r="J568" s="1"/>
  <c r="L568" s="1"/>
  <c r="K568"/>
  <c r="H568"/>
  <c r="F569" l="1"/>
  <c r="M568"/>
  <c r="G569" l="1"/>
  <c r="H569" l="1"/>
  <c r="K569"/>
  <c r="I569"/>
  <c r="J569" s="1"/>
  <c r="L569" s="1"/>
  <c r="F570" l="1"/>
  <c r="M569"/>
  <c r="G570" l="1"/>
  <c r="H570" l="1"/>
  <c r="K570"/>
  <c r="I570"/>
  <c r="J570" s="1"/>
  <c r="L570" s="1"/>
  <c r="F571" l="1"/>
  <c r="M570"/>
  <c r="G571" l="1"/>
  <c r="H571" l="1"/>
  <c r="K571"/>
  <c r="I571"/>
  <c r="J571" s="1"/>
  <c r="L571" s="1"/>
  <c r="F572" l="1"/>
  <c r="M571"/>
  <c r="G572" l="1"/>
  <c r="I572" l="1"/>
  <c r="J572" s="1"/>
  <c r="L572" s="1"/>
  <c r="H572"/>
  <c r="K572"/>
  <c r="F573" l="1"/>
  <c r="M572"/>
  <c r="G573" l="1"/>
  <c r="I573" l="1"/>
  <c r="J573" s="1"/>
  <c r="L573" s="1"/>
  <c r="H573"/>
  <c r="K573"/>
  <c r="F574" l="1"/>
  <c r="M573"/>
  <c r="G574" l="1"/>
  <c r="I574" l="1"/>
  <c r="J574" s="1"/>
  <c r="L574" s="1"/>
  <c r="K574"/>
  <c r="H574"/>
  <c r="F575" l="1"/>
  <c r="M574"/>
  <c r="G575" l="1"/>
  <c r="H575" l="1"/>
  <c r="I575"/>
  <c r="J575" s="1"/>
  <c r="L575" s="1"/>
  <c r="K575"/>
  <c r="F576" l="1"/>
  <c r="M575"/>
  <c r="G576" l="1"/>
  <c r="I576" l="1"/>
  <c r="J576" s="1"/>
  <c r="L576" s="1"/>
  <c r="H576"/>
  <c r="K576"/>
  <c r="F577" l="1"/>
  <c r="M576"/>
  <c r="G577" l="1"/>
  <c r="H577" l="1"/>
  <c r="K577"/>
  <c r="I577"/>
  <c r="J577" s="1"/>
  <c r="L577" s="1"/>
  <c r="F578" l="1"/>
  <c r="M577"/>
  <c r="G578" l="1"/>
  <c r="I578" l="1"/>
  <c r="J578" s="1"/>
  <c r="L578" s="1"/>
  <c r="H578"/>
  <c r="K578"/>
  <c r="F579" l="1"/>
  <c r="M578"/>
  <c r="G579" l="1"/>
  <c r="H579" l="1"/>
  <c r="I579"/>
  <c r="J579" s="1"/>
  <c r="L579" s="1"/>
  <c r="K579"/>
  <c r="F580" l="1"/>
  <c r="M579"/>
  <c r="G580" l="1"/>
  <c r="H580" l="1"/>
  <c r="K580"/>
  <c r="I580"/>
  <c r="J580" s="1"/>
  <c r="L580" s="1"/>
  <c r="F581" l="1"/>
  <c r="M580"/>
  <c r="G581" l="1"/>
  <c r="H581" l="1"/>
  <c r="K581"/>
  <c r="I581"/>
  <c r="J581" s="1"/>
  <c r="L581" s="1"/>
  <c r="F582" l="1"/>
  <c r="M581"/>
  <c r="G582" l="1"/>
  <c r="H582" l="1"/>
  <c r="K582"/>
  <c r="I582"/>
  <c r="J582" s="1"/>
  <c r="L582" s="1"/>
  <c r="F583" l="1"/>
  <c r="M582"/>
  <c r="G583" l="1"/>
  <c r="K583" l="1"/>
  <c r="I583"/>
  <c r="J583" s="1"/>
  <c r="L583" s="1"/>
  <c r="H583"/>
  <c r="F584" l="1"/>
  <c r="M583"/>
  <c r="G584" l="1"/>
  <c r="H584" l="1"/>
  <c r="K584"/>
  <c r="I584"/>
  <c r="J584" s="1"/>
  <c r="L584" s="1"/>
  <c r="F585" l="1"/>
  <c r="M584"/>
  <c r="G585" l="1"/>
  <c r="H585" l="1"/>
  <c r="K585"/>
  <c r="I585"/>
  <c r="J585" s="1"/>
  <c r="L585" s="1"/>
  <c r="F586" l="1"/>
  <c r="M585"/>
  <c r="G586" l="1"/>
  <c r="H586" l="1"/>
  <c r="K586"/>
  <c r="I586"/>
  <c r="J586" s="1"/>
  <c r="L586" s="1"/>
  <c r="F587" l="1"/>
  <c r="M586"/>
  <c r="G587" l="1"/>
  <c r="H587" l="1"/>
  <c r="I587"/>
  <c r="J587" s="1"/>
  <c r="L587" s="1"/>
  <c r="K587"/>
  <c r="F588" l="1"/>
  <c r="M587"/>
  <c r="G588" l="1"/>
  <c r="H588" l="1"/>
  <c r="K588"/>
  <c r="I588"/>
  <c r="J588" s="1"/>
  <c r="L588" s="1"/>
  <c r="F589" l="1"/>
  <c r="M588"/>
  <c r="G589" l="1"/>
  <c r="I589" l="1"/>
  <c r="J589" s="1"/>
  <c r="L589" s="1"/>
  <c r="K589"/>
  <c r="H589"/>
  <c r="F590" l="1"/>
  <c r="M589"/>
  <c r="G590" l="1"/>
  <c r="I590" l="1"/>
  <c r="J590" s="1"/>
  <c r="L590" s="1"/>
  <c r="H590"/>
  <c r="K590"/>
  <c r="F591" l="1"/>
  <c r="M590"/>
  <c r="G591" l="1"/>
  <c r="H591" l="1"/>
  <c r="I591"/>
  <c r="J591" s="1"/>
  <c r="L591" s="1"/>
  <c r="K591"/>
  <c r="F592" l="1"/>
  <c r="M591"/>
  <c r="G592" l="1"/>
  <c r="H592" l="1"/>
  <c r="K592"/>
  <c r="I592"/>
  <c r="J592" s="1"/>
  <c r="L592" s="1"/>
  <c r="F593" l="1"/>
  <c r="M592"/>
  <c r="G593" l="1"/>
  <c r="H593" l="1"/>
  <c r="K593"/>
  <c r="I593"/>
  <c r="J593" s="1"/>
  <c r="L593" s="1"/>
  <c r="F594" l="1"/>
  <c r="M593"/>
  <c r="G594" l="1"/>
  <c r="H594" l="1"/>
  <c r="K594"/>
  <c r="I594"/>
  <c r="J594" s="1"/>
  <c r="L594" s="1"/>
  <c r="F595" l="1"/>
  <c r="M594"/>
  <c r="G595" l="1"/>
  <c r="H595" l="1"/>
  <c r="I595"/>
  <c r="J595" s="1"/>
  <c r="L595" s="1"/>
  <c r="K595"/>
  <c r="F596" l="1"/>
  <c r="M595"/>
  <c r="G596" l="1"/>
  <c r="H596" l="1"/>
  <c r="K596"/>
  <c r="I596"/>
  <c r="J596" s="1"/>
  <c r="L596" s="1"/>
  <c r="F597" l="1"/>
  <c r="M596"/>
  <c r="G597" l="1"/>
  <c r="H597" l="1"/>
  <c r="K597"/>
  <c r="I597"/>
  <c r="J597" s="1"/>
  <c r="L597" s="1"/>
  <c r="F598" l="1"/>
  <c r="M597"/>
  <c r="G598" l="1"/>
  <c r="H598" l="1"/>
  <c r="K598"/>
  <c r="I598"/>
  <c r="J598" s="1"/>
  <c r="L598" s="1"/>
  <c r="F599" l="1"/>
  <c r="M598"/>
  <c r="G599" l="1"/>
  <c r="H599" l="1"/>
  <c r="I599"/>
  <c r="J599" s="1"/>
  <c r="L599" s="1"/>
  <c r="K599"/>
  <c r="F600" l="1"/>
  <c r="M599"/>
  <c r="G600" l="1"/>
  <c r="H600" l="1"/>
  <c r="K600"/>
  <c r="I600"/>
  <c r="J600" s="1"/>
  <c r="L600" s="1"/>
  <c r="F601" l="1"/>
  <c r="M600"/>
  <c r="G601" l="1"/>
  <c r="H601" l="1"/>
  <c r="K601"/>
  <c r="I601"/>
  <c r="J601" s="1"/>
  <c r="L601" s="1"/>
  <c r="F602" l="1"/>
  <c r="M601"/>
  <c r="G602" l="1"/>
  <c r="H602" l="1"/>
  <c r="K602"/>
  <c r="I602"/>
  <c r="J602" s="1"/>
  <c r="L602" s="1"/>
  <c r="F603" l="1"/>
  <c r="M602"/>
  <c r="G603" l="1"/>
  <c r="H603" l="1"/>
  <c r="I603"/>
  <c r="J603" s="1"/>
  <c r="L603" s="1"/>
  <c r="K603"/>
  <c r="F604" l="1"/>
  <c r="M603"/>
  <c r="G604" l="1"/>
  <c r="H604" l="1"/>
  <c r="K604"/>
  <c r="I604"/>
  <c r="J604" s="1"/>
  <c r="L604" s="1"/>
  <c r="F605" l="1"/>
  <c r="M604"/>
  <c r="G605" l="1"/>
  <c r="I605" l="1"/>
  <c r="J605" s="1"/>
  <c r="L605" s="1"/>
  <c r="H605"/>
  <c r="K605"/>
  <c r="F606" l="1"/>
  <c r="M605"/>
  <c r="G606" l="1"/>
  <c r="H606" l="1"/>
  <c r="K606"/>
  <c r="I606"/>
  <c r="J606" s="1"/>
  <c r="L606" s="1"/>
  <c r="F607" l="1"/>
  <c r="M606"/>
  <c r="G607" l="1"/>
  <c r="H607" l="1"/>
  <c r="I607"/>
  <c r="J607" s="1"/>
  <c r="L607" s="1"/>
  <c r="K607"/>
  <c r="F608" l="1"/>
  <c r="M607"/>
  <c r="G608" l="1"/>
  <c r="H608" l="1"/>
  <c r="K608"/>
  <c r="I608"/>
  <c r="J608" s="1"/>
  <c r="L608" s="1"/>
  <c r="F609" l="1"/>
  <c r="M608"/>
  <c r="G609" l="1"/>
  <c r="H609" l="1"/>
  <c r="K609"/>
  <c r="I609"/>
  <c r="J609" s="1"/>
  <c r="L609" s="1"/>
  <c r="F610" l="1"/>
  <c r="M609"/>
  <c r="G610" l="1"/>
  <c r="I610" l="1"/>
  <c r="J610" s="1"/>
  <c r="L610" s="1"/>
  <c r="H610"/>
  <c r="K610"/>
  <c r="F611" l="1"/>
  <c r="M610"/>
  <c r="G611" l="1"/>
  <c r="H611" l="1"/>
  <c r="I611"/>
  <c r="J611" s="1"/>
  <c r="L611" s="1"/>
  <c r="K611"/>
  <c r="F612" l="1"/>
  <c r="M611"/>
  <c r="G612" l="1"/>
  <c r="H612" l="1"/>
  <c r="K612"/>
  <c r="I612"/>
  <c r="J612" s="1"/>
  <c r="L612" s="1"/>
  <c r="F613" l="1"/>
  <c r="M612"/>
  <c r="G613" l="1"/>
  <c r="I613" l="1"/>
  <c r="J613" s="1"/>
  <c r="L613" s="1"/>
  <c r="H613"/>
  <c r="K613"/>
  <c r="F614" l="1"/>
  <c r="M613"/>
  <c r="G614" l="1"/>
  <c r="H614" l="1"/>
  <c r="K614"/>
  <c r="I614"/>
  <c r="J614" s="1"/>
  <c r="L614" s="1"/>
  <c r="F615" l="1"/>
  <c r="M614"/>
  <c r="G615" l="1"/>
  <c r="H615" l="1"/>
  <c r="I615"/>
  <c r="J615" s="1"/>
  <c r="L615" s="1"/>
  <c r="K615"/>
  <c r="F616" l="1"/>
  <c r="M615"/>
  <c r="G616" l="1"/>
  <c r="H616" l="1"/>
  <c r="K616"/>
  <c r="I616"/>
  <c r="J616" s="1"/>
  <c r="L616" s="1"/>
  <c r="F617" l="1"/>
  <c r="M616"/>
  <c r="G617" l="1"/>
  <c r="H617" l="1"/>
  <c r="K617"/>
  <c r="I617"/>
  <c r="J617" s="1"/>
  <c r="L617" s="1"/>
  <c r="F618" l="1"/>
  <c r="M617"/>
  <c r="G618" l="1"/>
  <c r="I618" l="1"/>
  <c r="J618" s="1"/>
  <c r="L618" s="1"/>
  <c r="H618"/>
  <c r="K618"/>
  <c r="F619" l="1"/>
  <c r="M618"/>
  <c r="G619" l="1"/>
  <c r="K619" l="1"/>
  <c r="H619"/>
  <c r="I619"/>
  <c r="J619" s="1"/>
  <c r="L619" s="1"/>
  <c r="F620" l="1"/>
  <c r="M619"/>
  <c r="G620" l="1"/>
  <c r="I620" l="1"/>
  <c r="J620" s="1"/>
  <c r="L620" s="1"/>
  <c r="H620"/>
  <c r="K620"/>
  <c r="F621" l="1"/>
  <c r="M620"/>
  <c r="G621" l="1"/>
  <c r="I621" l="1"/>
  <c r="J621" s="1"/>
  <c r="L621" s="1"/>
  <c r="H621"/>
  <c r="K621"/>
  <c r="F622" l="1"/>
  <c r="M621"/>
  <c r="G622" l="1"/>
  <c r="I622" l="1"/>
  <c r="J622" s="1"/>
  <c r="L622" s="1"/>
  <c r="H622"/>
  <c r="K622"/>
  <c r="F623" l="1"/>
  <c r="M622"/>
  <c r="G623" l="1"/>
  <c r="K623" l="1"/>
  <c r="H623"/>
  <c r="I623"/>
  <c r="J623" s="1"/>
  <c r="L623" s="1"/>
  <c r="F624" l="1"/>
  <c r="M623"/>
  <c r="G624" l="1"/>
  <c r="H624" l="1"/>
  <c r="K624"/>
  <c r="I624"/>
  <c r="J624" s="1"/>
  <c r="L624" s="1"/>
  <c r="F625" l="1"/>
  <c r="M624"/>
  <c r="G625" l="1"/>
  <c r="H625" l="1"/>
  <c r="K625"/>
  <c r="I625"/>
  <c r="J625" s="1"/>
  <c r="L625" s="1"/>
  <c r="F626" l="1"/>
  <c r="M625"/>
  <c r="G626" l="1"/>
  <c r="I626" l="1"/>
  <c r="J626" s="1"/>
  <c r="L626" s="1"/>
  <c r="H626"/>
  <c r="K626"/>
  <c r="F627" l="1"/>
  <c r="M626"/>
  <c r="G627" l="1"/>
  <c r="H627" l="1"/>
  <c r="I627"/>
  <c r="J627" s="1"/>
  <c r="L627" s="1"/>
  <c r="K627"/>
  <c r="F628" l="1"/>
  <c r="M627"/>
  <c r="G628" l="1"/>
  <c r="H628" l="1"/>
  <c r="K628"/>
  <c r="I628"/>
  <c r="J628" s="1"/>
  <c r="L628" s="1"/>
  <c r="F629" l="1"/>
  <c r="M628"/>
  <c r="G629" l="1"/>
  <c r="H629" l="1"/>
  <c r="K629"/>
  <c r="I629"/>
  <c r="J629" s="1"/>
  <c r="L629" s="1"/>
  <c r="F630" l="1"/>
  <c r="M629"/>
  <c r="G630" l="1"/>
  <c r="H630" l="1"/>
  <c r="K630"/>
  <c r="I630"/>
  <c r="J630" s="1"/>
  <c r="L630" s="1"/>
  <c r="F631" l="1"/>
  <c r="M630"/>
  <c r="G631" l="1"/>
  <c r="H631" l="1"/>
  <c r="I631"/>
  <c r="J631" s="1"/>
  <c r="L631" s="1"/>
  <c r="K631"/>
  <c r="F632" l="1"/>
  <c r="M631"/>
  <c r="G632" l="1"/>
  <c r="H632" l="1"/>
  <c r="K632"/>
  <c r="I632"/>
  <c r="J632" s="1"/>
  <c r="L632" s="1"/>
  <c r="F633" l="1"/>
  <c r="M632"/>
  <c r="G633" l="1"/>
  <c r="I633" l="1"/>
  <c r="J633" s="1"/>
  <c r="L633" s="1"/>
  <c r="K633"/>
  <c r="H633"/>
  <c r="F634" l="1"/>
  <c r="M633"/>
  <c r="G634" l="1"/>
  <c r="H634" l="1"/>
  <c r="K634"/>
  <c r="I634"/>
  <c r="J634" s="1"/>
  <c r="L634" s="1"/>
  <c r="F635" l="1"/>
  <c r="M634"/>
  <c r="G635" l="1"/>
  <c r="H635" l="1"/>
  <c r="I635"/>
  <c r="J635" s="1"/>
  <c r="L635" s="1"/>
  <c r="K635"/>
  <c r="F636" l="1"/>
  <c r="M635"/>
  <c r="G636" l="1"/>
  <c r="H636" l="1"/>
  <c r="K636"/>
  <c r="I636"/>
  <c r="J636" s="1"/>
  <c r="L636" s="1"/>
  <c r="F637" l="1"/>
  <c r="M636"/>
  <c r="G637" l="1"/>
  <c r="H637" l="1"/>
  <c r="K637"/>
  <c r="I637"/>
  <c r="J637" s="1"/>
  <c r="L637" s="1"/>
  <c r="F638" l="1"/>
  <c r="M637"/>
  <c r="G638" l="1"/>
  <c r="I638" l="1"/>
  <c r="J638" s="1"/>
  <c r="L638" s="1"/>
  <c r="H638"/>
  <c r="K638"/>
  <c r="F639" l="1"/>
  <c r="M638"/>
  <c r="G639" l="1"/>
  <c r="H639" l="1"/>
  <c r="I639"/>
  <c r="J639" s="1"/>
  <c r="L639" s="1"/>
  <c r="K639"/>
  <c r="F640" l="1"/>
  <c r="M639"/>
  <c r="G640" l="1"/>
  <c r="H640" l="1"/>
  <c r="K640"/>
  <c r="I640"/>
  <c r="J640" s="1"/>
  <c r="L640" s="1"/>
  <c r="F641" l="1"/>
  <c r="M640"/>
  <c r="G641" l="1"/>
  <c r="H641" l="1"/>
  <c r="K641"/>
  <c r="I641"/>
  <c r="J641" s="1"/>
  <c r="L641" s="1"/>
  <c r="M641" l="1"/>
  <c r="F642"/>
  <c r="G642" l="1"/>
  <c r="H642" l="1"/>
  <c r="K642"/>
  <c r="I642"/>
  <c r="J642" s="1"/>
  <c r="L642" s="1"/>
  <c r="M642" l="1"/>
  <c r="F643"/>
  <c r="G643" l="1"/>
  <c r="H643" l="1"/>
  <c r="I643"/>
  <c r="J643" s="1"/>
  <c r="L643" s="1"/>
  <c r="K643"/>
  <c r="M643" l="1"/>
  <c r="F644"/>
  <c r="G644" l="1"/>
  <c r="H644" l="1"/>
  <c r="K644"/>
  <c r="I644"/>
  <c r="J644" s="1"/>
  <c r="L644" s="1"/>
  <c r="M644" l="1"/>
  <c r="F645"/>
  <c r="G645" l="1"/>
  <c r="I645" l="1"/>
  <c r="J645" s="1"/>
  <c r="L645" s="1"/>
  <c r="H645"/>
  <c r="K645"/>
  <c r="M645" l="1"/>
  <c r="F646"/>
  <c r="G646" l="1"/>
  <c r="I646" l="1"/>
  <c r="J646" s="1"/>
  <c r="L646" s="1"/>
  <c r="H646"/>
  <c r="K646"/>
  <c r="M646" l="1"/>
  <c r="F647"/>
  <c r="G647" l="1"/>
  <c r="K647" l="1"/>
  <c r="H647"/>
  <c r="I647"/>
  <c r="J647" s="1"/>
  <c r="L647" s="1"/>
  <c r="M647" l="1"/>
  <c r="F648"/>
  <c r="G648" l="1"/>
  <c r="I648" l="1"/>
  <c r="J648" s="1"/>
  <c r="L648" s="1"/>
  <c r="H648"/>
  <c r="K648"/>
  <c r="M648" l="1"/>
  <c r="F649"/>
  <c r="G649" l="1"/>
  <c r="I649" l="1"/>
  <c r="J649" s="1"/>
  <c r="L649" s="1"/>
  <c r="H649"/>
  <c r="K649"/>
  <c r="M649" l="1"/>
  <c r="F650"/>
  <c r="G650" l="1"/>
  <c r="H650" l="1"/>
  <c r="K650"/>
  <c r="I650"/>
  <c r="J650" s="1"/>
  <c r="L650" s="1"/>
  <c r="M650" l="1"/>
  <c r="F651"/>
  <c r="G651" l="1"/>
  <c r="H651" l="1"/>
  <c r="I651"/>
  <c r="J651" s="1"/>
  <c r="L651" s="1"/>
  <c r="K651"/>
  <c r="F652" l="1"/>
  <c r="M651"/>
  <c r="G652" l="1"/>
  <c r="H652" l="1"/>
  <c r="K652"/>
  <c r="I652"/>
  <c r="J652" s="1"/>
  <c r="L652" s="1"/>
  <c r="F653" l="1"/>
  <c r="M652"/>
  <c r="G653" l="1"/>
  <c r="H653" l="1"/>
  <c r="K653"/>
  <c r="I653"/>
  <c r="J653" s="1"/>
  <c r="L653" s="1"/>
  <c r="F654" l="1"/>
  <c r="M653"/>
  <c r="G654" l="1"/>
  <c r="H654" l="1"/>
  <c r="K654"/>
  <c r="I654"/>
  <c r="J654" s="1"/>
  <c r="L654" s="1"/>
  <c r="F655" l="1"/>
  <c r="M654"/>
  <c r="G655" l="1"/>
  <c r="H655" l="1"/>
  <c r="I655"/>
  <c r="J655" s="1"/>
  <c r="L655" s="1"/>
  <c r="K655"/>
  <c r="F656" l="1"/>
  <c r="M655"/>
  <c r="G656" l="1"/>
  <c r="H656" l="1"/>
  <c r="K656"/>
  <c r="I656"/>
  <c r="J656" s="1"/>
  <c r="L656" s="1"/>
  <c r="F657" l="1"/>
  <c r="M656"/>
  <c r="G657" l="1"/>
  <c r="H657" l="1"/>
  <c r="K657"/>
  <c r="I657"/>
  <c r="J657" s="1"/>
  <c r="L657" s="1"/>
  <c r="F658" l="1"/>
  <c r="M657"/>
  <c r="G658" l="1"/>
  <c r="H658" l="1"/>
  <c r="K658"/>
  <c r="I658"/>
  <c r="J658" s="1"/>
  <c r="L658" s="1"/>
  <c r="F659" l="1"/>
  <c r="M658"/>
  <c r="G659" l="1"/>
  <c r="K659" l="1"/>
  <c r="H659"/>
  <c r="I659"/>
  <c r="J659" s="1"/>
  <c r="L659" s="1"/>
  <c r="F660" l="1"/>
  <c r="M659"/>
  <c r="G660" l="1"/>
  <c r="H660" l="1"/>
  <c r="K660"/>
  <c r="I660"/>
  <c r="J660" s="1"/>
  <c r="L660" s="1"/>
  <c r="F661" l="1"/>
  <c r="M660"/>
  <c r="G661" l="1"/>
  <c r="H661" l="1"/>
  <c r="K661"/>
  <c r="I661"/>
  <c r="J661" s="1"/>
  <c r="L661" s="1"/>
  <c r="F662" l="1"/>
  <c r="M661"/>
  <c r="G662" l="1"/>
  <c r="I662" l="1"/>
  <c r="J662" s="1"/>
  <c r="L662" s="1"/>
  <c r="H662"/>
  <c r="K662"/>
  <c r="F663" l="1"/>
  <c r="M662"/>
  <c r="G663" l="1"/>
  <c r="H663" l="1"/>
  <c r="K663"/>
  <c r="I663"/>
  <c r="J663" s="1"/>
  <c r="L663" s="1"/>
  <c r="F664" l="1"/>
  <c r="M663"/>
  <c r="G664" l="1"/>
  <c r="H664" l="1"/>
  <c r="K664"/>
  <c r="I664"/>
  <c r="J664" s="1"/>
  <c r="L664" s="1"/>
  <c r="F665" l="1"/>
  <c r="M664"/>
  <c r="G665" l="1"/>
  <c r="H665" l="1"/>
  <c r="K665"/>
  <c r="I665"/>
  <c r="J665" s="1"/>
  <c r="L665" s="1"/>
  <c r="F666" l="1"/>
  <c r="M665"/>
  <c r="G666" l="1"/>
  <c r="I666" l="1"/>
  <c r="J666" s="1"/>
  <c r="L666" s="1"/>
  <c r="H666"/>
  <c r="K666"/>
  <c r="F667" l="1"/>
  <c r="M666"/>
  <c r="G667" l="1"/>
  <c r="I667" l="1"/>
  <c r="J667" s="1"/>
  <c r="L667" s="1"/>
  <c r="H667"/>
  <c r="K667"/>
  <c r="F668" l="1"/>
  <c r="M667"/>
  <c r="G668" l="1"/>
  <c r="I668" l="1"/>
  <c r="J668" s="1"/>
  <c r="L668" s="1"/>
  <c r="H668"/>
  <c r="K668"/>
  <c r="F669" l="1"/>
  <c r="M668"/>
  <c r="G669" l="1"/>
  <c r="I669" l="1"/>
  <c r="J669" s="1"/>
  <c r="L669" s="1"/>
  <c r="H669"/>
  <c r="K669"/>
  <c r="F670" l="1"/>
  <c r="M669"/>
  <c r="G670" l="1"/>
  <c r="I670" l="1"/>
  <c r="J670" s="1"/>
  <c r="L670" s="1"/>
  <c r="H670"/>
  <c r="K670"/>
  <c r="F671" l="1"/>
  <c r="M670"/>
  <c r="G671" l="1"/>
  <c r="I671" l="1"/>
  <c r="J671" s="1"/>
  <c r="L671" s="1"/>
  <c r="H671"/>
  <c r="K671"/>
  <c r="F672" l="1"/>
  <c r="M671"/>
  <c r="G672" l="1"/>
  <c r="I672" l="1"/>
  <c r="J672" s="1"/>
  <c r="L672" s="1"/>
  <c r="H672"/>
  <c r="K672"/>
  <c r="F673" l="1"/>
  <c r="M672"/>
  <c r="G673" l="1"/>
  <c r="I673" l="1"/>
  <c r="J673" s="1"/>
  <c r="L673" s="1"/>
  <c r="K673"/>
  <c r="H673"/>
  <c r="F674" l="1"/>
  <c r="M673"/>
  <c r="G674" l="1"/>
  <c r="I674" l="1"/>
  <c r="J674" s="1"/>
  <c r="L674" s="1"/>
  <c r="H674"/>
  <c r="K674"/>
  <c r="F675" l="1"/>
  <c r="M674"/>
  <c r="G675" l="1"/>
  <c r="I675" l="1"/>
  <c r="J675" s="1"/>
  <c r="L675" s="1"/>
  <c r="H675"/>
  <c r="K675"/>
  <c r="F676" l="1"/>
  <c r="M675"/>
  <c r="G676" l="1"/>
  <c r="H676" l="1"/>
  <c r="K676"/>
  <c r="I676"/>
  <c r="J676" s="1"/>
  <c r="L676" s="1"/>
  <c r="F677" l="1"/>
  <c r="M676"/>
  <c r="G677" l="1"/>
  <c r="H677" l="1"/>
  <c r="K677"/>
  <c r="I677"/>
  <c r="J677" s="1"/>
  <c r="L677" s="1"/>
  <c r="F678" l="1"/>
  <c r="M677"/>
  <c r="G678" l="1"/>
  <c r="H678" l="1"/>
  <c r="K678"/>
  <c r="I678"/>
  <c r="J678" s="1"/>
  <c r="L678" s="1"/>
  <c r="F679" l="1"/>
  <c r="M678"/>
  <c r="G679" l="1"/>
  <c r="H679" l="1"/>
  <c r="K679"/>
  <c r="I679"/>
  <c r="J679" s="1"/>
  <c r="L679" s="1"/>
  <c r="F680" l="1"/>
  <c r="M679"/>
  <c r="G680" l="1"/>
  <c r="H680" l="1"/>
  <c r="K680"/>
  <c r="I680"/>
  <c r="J680" s="1"/>
  <c r="L680" s="1"/>
  <c r="F681" l="1"/>
  <c r="M680"/>
  <c r="G681" l="1"/>
  <c r="H681" l="1"/>
  <c r="K681"/>
  <c r="I681"/>
  <c r="J681" s="1"/>
  <c r="L681" s="1"/>
  <c r="F682" l="1"/>
  <c r="M681"/>
  <c r="G682" l="1"/>
  <c r="H682" l="1"/>
  <c r="K682"/>
  <c r="I682"/>
  <c r="J682" s="1"/>
  <c r="L682" s="1"/>
  <c r="F683" l="1"/>
  <c r="M682"/>
  <c r="G683" l="1"/>
  <c r="H683" l="1"/>
  <c r="K683"/>
  <c r="I683"/>
  <c r="J683" s="1"/>
  <c r="L683" s="1"/>
  <c r="F684" l="1"/>
  <c r="M683"/>
  <c r="G684" l="1"/>
  <c r="H684" l="1"/>
  <c r="K684"/>
  <c r="I684"/>
  <c r="J684" s="1"/>
  <c r="L684" s="1"/>
  <c r="F685" l="1"/>
  <c r="M684"/>
  <c r="G685" l="1"/>
  <c r="H685" l="1"/>
  <c r="K685"/>
  <c r="I685"/>
  <c r="J685" s="1"/>
  <c r="L685" s="1"/>
  <c r="F686" l="1"/>
  <c r="M685"/>
  <c r="G686" l="1"/>
  <c r="H686" l="1"/>
  <c r="K686"/>
  <c r="I686"/>
  <c r="J686" s="1"/>
  <c r="L686" s="1"/>
  <c r="F687" l="1"/>
  <c r="M686"/>
  <c r="G687" l="1"/>
  <c r="I687" l="1"/>
  <c r="J687" s="1"/>
  <c r="L687" s="1"/>
  <c r="H687"/>
  <c r="K687"/>
  <c r="F688" l="1"/>
  <c r="M687"/>
  <c r="G688" l="1"/>
  <c r="I688" l="1"/>
  <c r="J688" s="1"/>
  <c r="L688" s="1"/>
  <c r="H688"/>
  <c r="K688"/>
  <c r="F689" l="1"/>
  <c r="M688"/>
  <c r="G689" l="1"/>
  <c r="H689" l="1"/>
  <c r="K689"/>
  <c r="I689"/>
  <c r="J689" s="1"/>
  <c r="L689" s="1"/>
  <c r="F690" l="1"/>
  <c r="M689"/>
  <c r="G690" l="1"/>
  <c r="H690" l="1"/>
  <c r="K690"/>
  <c r="I690"/>
  <c r="J690" s="1"/>
  <c r="L690" s="1"/>
  <c r="F691" l="1"/>
  <c r="M690"/>
  <c r="G691" l="1"/>
  <c r="I691" l="1"/>
  <c r="J691" s="1"/>
  <c r="L691" s="1"/>
  <c r="H691"/>
  <c r="K691"/>
  <c r="F692" l="1"/>
  <c r="M691"/>
  <c r="G692" l="1"/>
  <c r="H692" l="1"/>
  <c r="K692"/>
  <c r="I692"/>
  <c r="J692" s="1"/>
  <c r="L692" s="1"/>
  <c r="F693" l="1"/>
  <c r="M692"/>
  <c r="G693" l="1"/>
  <c r="I693" l="1"/>
  <c r="J693" s="1"/>
  <c r="L693" s="1"/>
  <c r="H693"/>
  <c r="K693"/>
  <c r="F694" l="1"/>
  <c r="M693"/>
  <c r="G694" l="1"/>
  <c r="I694" l="1"/>
  <c r="J694" s="1"/>
  <c r="L694" s="1"/>
  <c r="H694"/>
  <c r="K694"/>
  <c r="F695" l="1"/>
  <c r="M694"/>
  <c r="G695" l="1"/>
  <c r="H695" l="1"/>
  <c r="K695"/>
  <c r="I695"/>
  <c r="J695" s="1"/>
  <c r="L695" s="1"/>
  <c r="F696" l="1"/>
  <c r="M695"/>
  <c r="G696" l="1"/>
  <c r="H696" l="1"/>
  <c r="K696"/>
  <c r="I696"/>
  <c r="J696" s="1"/>
  <c r="L696" s="1"/>
  <c r="F697" l="1"/>
  <c r="M696"/>
  <c r="G697" l="1"/>
  <c r="I697" l="1"/>
  <c r="J697" s="1"/>
  <c r="L697" s="1"/>
  <c r="H697"/>
  <c r="K697"/>
  <c r="F698" l="1"/>
  <c r="M697"/>
  <c r="G698" l="1"/>
  <c r="H698" l="1"/>
  <c r="K698"/>
  <c r="I698"/>
  <c r="J698" s="1"/>
  <c r="L698" s="1"/>
  <c r="F699" l="1"/>
  <c r="M698"/>
  <c r="G699" l="1"/>
  <c r="H699" l="1"/>
  <c r="K699"/>
  <c r="I699"/>
  <c r="J699" s="1"/>
  <c r="L699" s="1"/>
  <c r="F700" l="1"/>
  <c r="M699"/>
  <c r="G700" l="1"/>
  <c r="I700" l="1"/>
  <c r="J700" s="1"/>
  <c r="L700" s="1"/>
  <c r="H700"/>
  <c r="K700"/>
  <c r="F701" l="1"/>
  <c r="M700"/>
  <c r="G701" l="1"/>
  <c r="H701" l="1"/>
  <c r="K701"/>
  <c r="I701"/>
  <c r="J701" s="1"/>
  <c r="L701" s="1"/>
  <c r="F702" l="1"/>
  <c r="M701"/>
  <c r="G702" l="1"/>
  <c r="I702" l="1"/>
  <c r="J702" s="1"/>
  <c r="L702" s="1"/>
  <c r="K702"/>
  <c r="H702"/>
  <c r="F703" l="1"/>
  <c r="M702"/>
  <c r="G703" l="1"/>
  <c r="H703" l="1"/>
  <c r="K703"/>
  <c r="I703"/>
  <c r="J703" s="1"/>
  <c r="L703" s="1"/>
  <c r="F704" l="1"/>
  <c r="M703"/>
  <c r="G704" l="1"/>
  <c r="I704" l="1"/>
  <c r="J704" s="1"/>
  <c r="L704" s="1"/>
  <c r="H704"/>
  <c r="K704"/>
  <c r="F705" l="1"/>
  <c r="M704"/>
  <c r="G705" l="1"/>
  <c r="H705" l="1"/>
  <c r="K705"/>
  <c r="I705"/>
  <c r="J705" s="1"/>
  <c r="L705" s="1"/>
  <c r="F706" l="1"/>
  <c r="M705"/>
  <c r="G706" l="1"/>
  <c r="H706" l="1"/>
  <c r="K706"/>
  <c r="I706"/>
  <c r="J706" s="1"/>
  <c r="L706" s="1"/>
  <c r="F707" l="1"/>
  <c r="M706"/>
  <c r="G707" l="1"/>
  <c r="H707" l="1"/>
  <c r="K707"/>
  <c r="I707"/>
  <c r="J707" s="1"/>
  <c r="L707" s="1"/>
  <c r="F708" l="1"/>
  <c r="M707"/>
  <c r="G708" l="1"/>
  <c r="H708" l="1"/>
  <c r="K708"/>
  <c r="I708"/>
  <c r="J708" s="1"/>
  <c r="L708" s="1"/>
  <c r="F709" l="1"/>
  <c r="M708"/>
  <c r="G709" l="1"/>
  <c r="H709" l="1"/>
  <c r="K709"/>
  <c r="I709"/>
  <c r="J709" s="1"/>
  <c r="L709" s="1"/>
  <c r="F710" l="1"/>
  <c r="M709"/>
  <c r="G710" l="1"/>
  <c r="H710" l="1"/>
  <c r="K710"/>
  <c r="I710"/>
  <c r="J710" s="1"/>
  <c r="L710" s="1"/>
  <c r="F711" l="1"/>
  <c r="M710"/>
  <c r="G711" l="1"/>
  <c r="H711" l="1"/>
  <c r="K711"/>
  <c r="I711"/>
  <c r="J711" s="1"/>
  <c r="L711" s="1"/>
  <c r="F712" l="1"/>
  <c r="M711"/>
  <c r="G712" l="1"/>
  <c r="H712" l="1"/>
  <c r="K712"/>
  <c r="I712"/>
  <c r="J712" s="1"/>
  <c r="L712" s="1"/>
  <c r="F713" l="1"/>
  <c r="M712"/>
  <c r="G713" l="1"/>
  <c r="H713" l="1"/>
  <c r="K713"/>
  <c r="I713"/>
  <c r="J713" s="1"/>
  <c r="L713" s="1"/>
  <c r="F714" l="1"/>
  <c r="M713"/>
  <c r="G714" l="1"/>
  <c r="H714" l="1"/>
  <c r="K714"/>
  <c r="I714"/>
  <c r="J714" s="1"/>
  <c r="L714" s="1"/>
  <c r="F715" l="1"/>
  <c r="M714"/>
  <c r="G715" l="1"/>
  <c r="H715" l="1"/>
  <c r="K715"/>
  <c r="I715"/>
  <c r="J715" s="1"/>
  <c r="L715" s="1"/>
  <c r="F716" l="1"/>
  <c r="M715"/>
  <c r="G716" l="1"/>
  <c r="H716" l="1"/>
  <c r="K716"/>
  <c r="I716"/>
  <c r="J716" s="1"/>
  <c r="L716" s="1"/>
  <c r="F717" l="1"/>
  <c r="M716"/>
  <c r="G717" l="1"/>
  <c r="H717" l="1"/>
  <c r="K717"/>
  <c r="I717"/>
  <c r="J717" s="1"/>
  <c r="L717" s="1"/>
  <c r="F718" l="1"/>
  <c r="M717"/>
  <c r="G718" l="1"/>
  <c r="H718" l="1"/>
  <c r="K718"/>
  <c r="I718"/>
  <c r="J718" s="1"/>
  <c r="L718" s="1"/>
  <c r="F719" l="1"/>
  <c r="M718"/>
  <c r="G719" l="1"/>
  <c r="H719" l="1"/>
  <c r="K719"/>
  <c r="I719"/>
  <c r="J719" s="1"/>
  <c r="L719" s="1"/>
  <c r="F720" l="1"/>
  <c r="M719"/>
  <c r="G720" l="1"/>
  <c r="H720" l="1"/>
  <c r="K720"/>
  <c r="I720"/>
  <c r="J720" s="1"/>
  <c r="L720" s="1"/>
  <c r="F721" l="1"/>
  <c r="M720"/>
  <c r="G721" l="1"/>
  <c r="H721" l="1"/>
  <c r="K721"/>
  <c r="I721"/>
  <c r="J721" s="1"/>
  <c r="L721" s="1"/>
  <c r="F722" l="1"/>
  <c r="M721"/>
  <c r="G722" l="1"/>
  <c r="H722" l="1"/>
  <c r="K722"/>
  <c r="I722"/>
  <c r="J722" s="1"/>
  <c r="L722" s="1"/>
  <c r="F723" l="1"/>
  <c r="M722"/>
  <c r="G723" l="1"/>
  <c r="H723" l="1"/>
  <c r="K723"/>
  <c r="I723"/>
  <c r="J723" s="1"/>
  <c r="L723" s="1"/>
  <c r="F724" l="1"/>
  <c r="M723"/>
  <c r="G724" l="1"/>
  <c r="H724" l="1"/>
  <c r="K724"/>
  <c r="I724"/>
  <c r="J724" s="1"/>
  <c r="L724" s="1"/>
  <c r="F725" l="1"/>
  <c r="M724"/>
  <c r="G725" l="1"/>
  <c r="H725" l="1"/>
  <c r="K725"/>
  <c r="I725"/>
  <c r="J725" s="1"/>
  <c r="L725" s="1"/>
  <c r="F726" l="1"/>
  <c r="M725"/>
  <c r="G726" l="1"/>
  <c r="H726" l="1"/>
  <c r="K726"/>
  <c r="I726"/>
  <c r="J726" s="1"/>
  <c r="L726" s="1"/>
  <c r="F727" l="1"/>
  <c r="M726"/>
  <c r="G727" l="1"/>
  <c r="H727" l="1"/>
  <c r="K727"/>
  <c r="I727"/>
  <c r="J727" s="1"/>
  <c r="L727" s="1"/>
  <c r="F728" l="1"/>
  <c r="M727"/>
  <c r="G728" l="1"/>
  <c r="H728" l="1"/>
  <c r="K728"/>
  <c r="I728"/>
  <c r="J728" s="1"/>
  <c r="L728" s="1"/>
  <c r="F729" l="1"/>
  <c r="M728"/>
  <c r="G729" l="1"/>
  <c r="H729" l="1"/>
  <c r="K729"/>
  <c r="I729"/>
  <c r="J729" s="1"/>
  <c r="L729" s="1"/>
  <c r="F730" l="1"/>
  <c r="M729"/>
  <c r="G730" l="1"/>
  <c r="H730" l="1"/>
  <c r="K730"/>
  <c r="I730"/>
  <c r="J730" s="1"/>
  <c r="L730" s="1"/>
  <c r="F731" l="1"/>
  <c r="M730"/>
  <c r="G731" l="1"/>
  <c r="I731" l="1"/>
  <c r="J731" s="1"/>
  <c r="L731" s="1"/>
  <c r="H731"/>
  <c r="K731"/>
  <c r="F732" l="1"/>
  <c r="M731"/>
  <c r="G732" l="1"/>
  <c r="H732" l="1"/>
  <c r="K732"/>
  <c r="I732"/>
  <c r="J732" s="1"/>
  <c r="L732" s="1"/>
  <c r="F733" l="1"/>
  <c r="M732"/>
  <c r="G733" l="1"/>
  <c r="H733" l="1"/>
  <c r="K733"/>
  <c r="I733"/>
  <c r="J733" s="1"/>
  <c r="L733" s="1"/>
  <c r="F734" l="1"/>
  <c r="M733"/>
  <c r="G734" l="1"/>
  <c r="I734" l="1"/>
  <c r="J734" s="1"/>
  <c r="L734" s="1"/>
  <c r="H734"/>
  <c r="K734"/>
  <c r="F735" l="1"/>
  <c r="M734"/>
  <c r="G735" l="1"/>
  <c r="I735" l="1"/>
  <c r="J735" s="1"/>
  <c r="L735" s="1"/>
  <c r="H735"/>
  <c r="K735"/>
  <c r="F736" l="1"/>
  <c r="M735"/>
  <c r="G736" l="1"/>
  <c r="H736" l="1"/>
  <c r="K736"/>
  <c r="I736"/>
  <c r="J736" s="1"/>
  <c r="L736" s="1"/>
  <c r="F737" l="1"/>
  <c r="M736"/>
  <c r="G737" l="1"/>
  <c r="H737" l="1"/>
  <c r="K737"/>
  <c r="I737"/>
  <c r="J737" s="1"/>
  <c r="L737" s="1"/>
  <c r="F738" l="1"/>
  <c r="M737"/>
  <c r="G738" l="1"/>
  <c r="H738" l="1"/>
  <c r="K738"/>
  <c r="I738"/>
  <c r="J738" s="1"/>
  <c r="L738" s="1"/>
  <c r="F739" l="1"/>
  <c r="M738"/>
  <c r="G739" l="1"/>
  <c r="H739" l="1"/>
  <c r="K739"/>
  <c r="I739"/>
  <c r="J739" s="1"/>
  <c r="L739" s="1"/>
  <c r="F740" l="1"/>
  <c r="M739"/>
  <c r="G740" l="1"/>
  <c r="H740" l="1"/>
  <c r="K740"/>
  <c r="I740"/>
  <c r="J740" s="1"/>
  <c r="L740" s="1"/>
  <c r="F741" l="1"/>
  <c r="M740"/>
  <c r="G741" l="1"/>
  <c r="H741" l="1"/>
  <c r="K741"/>
  <c r="I741"/>
  <c r="J741" s="1"/>
  <c r="L741" s="1"/>
  <c r="F742" l="1"/>
  <c r="M741"/>
  <c r="G742" l="1"/>
  <c r="H742" l="1"/>
  <c r="K742"/>
  <c r="I742"/>
  <c r="J742" s="1"/>
  <c r="L742" s="1"/>
  <c r="F743" l="1"/>
  <c r="M742"/>
  <c r="G743" l="1"/>
  <c r="H743" l="1"/>
  <c r="K743"/>
  <c r="I743"/>
  <c r="J743" s="1"/>
  <c r="L743" s="1"/>
  <c r="F744" l="1"/>
  <c r="M743"/>
  <c r="G744" l="1"/>
  <c r="I744" l="1"/>
  <c r="J744" s="1"/>
  <c r="L744" s="1"/>
  <c r="K744"/>
  <c r="H744"/>
  <c r="F745" l="1"/>
  <c r="M744"/>
  <c r="G745" l="1"/>
  <c r="I745" l="1"/>
  <c r="J745" s="1"/>
  <c r="L745" s="1"/>
  <c r="H745"/>
  <c r="K745"/>
  <c r="F746" l="1"/>
  <c r="M745"/>
  <c r="G746" l="1"/>
  <c r="I746" l="1"/>
  <c r="J746" s="1"/>
  <c r="L746" s="1"/>
  <c r="H746"/>
  <c r="K746"/>
  <c r="F747" l="1"/>
  <c r="M746"/>
  <c r="G747" l="1"/>
  <c r="I747" l="1"/>
  <c r="J747" s="1"/>
  <c r="L747" s="1"/>
  <c r="H747"/>
  <c r="K747"/>
  <c r="F748" l="1"/>
  <c r="M747"/>
  <c r="G748" l="1"/>
  <c r="I748" l="1"/>
  <c r="J748" s="1"/>
  <c r="L748" s="1"/>
  <c r="H748"/>
  <c r="K748"/>
  <c r="F749" l="1"/>
  <c r="M748"/>
  <c r="G749" l="1"/>
  <c r="I749" l="1"/>
  <c r="J749" s="1"/>
  <c r="L749" s="1"/>
  <c r="H749"/>
  <c r="K749"/>
  <c r="F750" l="1"/>
  <c r="M749"/>
  <c r="G750" l="1"/>
  <c r="I750" l="1"/>
  <c r="J750" s="1"/>
  <c r="L750" s="1"/>
  <c r="H750"/>
  <c r="K750"/>
  <c r="F751" l="1"/>
  <c r="M750"/>
  <c r="G751" l="1"/>
  <c r="I751" l="1"/>
  <c r="J751" s="1"/>
  <c r="L751" s="1"/>
  <c r="K751"/>
  <c r="H751"/>
  <c r="F752" l="1"/>
  <c r="M751"/>
  <c r="G752" l="1"/>
  <c r="I752" l="1"/>
  <c r="J752" s="1"/>
  <c r="L752" s="1"/>
  <c r="H752"/>
  <c r="K752"/>
  <c r="F753" l="1"/>
  <c r="M752"/>
  <c r="G753" l="1"/>
  <c r="I753" l="1"/>
  <c r="J753" s="1"/>
  <c r="L753" s="1"/>
  <c r="H753"/>
  <c r="K753"/>
  <c r="F754" l="1"/>
  <c r="M753"/>
  <c r="G754" l="1"/>
  <c r="I754" l="1"/>
  <c r="J754" s="1"/>
  <c r="L754" s="1"/>
  <c r="H754"/>
  <c r="K754"/>
  <c r="F755" l="1"/>
  <c r="M754"/>
  <c r="G755" l="1"/>
  <c r="H755" l="1"/>
  <c r="K755"/>
  <c r="I755"/>
  <c r="J755" s="1"/>
  <c r="L755" s="1"/>
  <c r="F756" l="1"/>
  <c r="M755"/>
  <c r="G756" l="1"/>
  <c r="H756" l="1"/>
  <c r="K756"/>
  <c r="I756"/>
  <c r="J756" s="1"/>
  <c r="L756" s="1"/>
  <c r="F757" l="1"/>
  <c r="M756"/>
  <c r="G757" l="1"/>
  <c r="H757" l="1"/>
  <c r="K757"/>
  <c r="I757"/>
  <c r="J757" s="1"/>
  <c r="L757" s="1"/>
  <c r="F758" l="1"/>
  <c r="M757"/>
  <c r="G758" l="1"/>
  <c r="H758" l="1"/>
  <c r="K758"/>
  <c r="I758"/>
  <c r="J758" s="1"/>
  <c r="L758" s="1"/>
  <c r="F759" l="1"/>
  <c r="M758"/>
  <c r="G759" l="1"/>
  <c r="H759" l="1"/>
  <c r="K759"/>
  <c r="I759"/>
  <c r="J759" s="1"/>
  <c r="L759" s="1"/>
  <c r="F760" l="1"/>
  <c r="M759"/>
  <c r="G760" l="1"/>
  <c r="I760" l="1"/>
  <c r="J760" s="1"/>
  <c r="L760" s="1"/>
  <c r="H760"/>
  <c r="K760"/>
  <c r="F761" l="1"/>
  <c r="M760"/>
  <c r="G761" l="1"/>
  <c r="I761" l="1"/>
  <c r="J761" s="1"/>
  <c r="L761" s="1"/>
  <c r="H761"/>
  <c r="K761"/>
  <c r="F762" l="1"/>
  <c r="M761"/>
  <c r="G762" l="1"/>
  <c r="I762" l="1"/>
  <c r="J762" s="1"/>
  <c r="L762" s="1"/>
  <c r="H762"/>
  <c r="K762"/>
  <c r="F763" l="1"/>
  <c r="M762"/>
  <c r="G763" l="1"/>
  <c r="I763" l="1"/>
  <c r="J763" s="1"/>
  <c r="L763" s="1"/>
  <c r="H763"/>
  <c r="K763"/>
  <c r="F764" l="1"/>
  <c r="M763"/>
  <c r="G764" l="1"/>
  <c r="H764" l="1"/>
  <c r="K764"/>
  <c r="I764"/>
  <c r="J764" s="1"/>
  <c r="L764" s="1"/>
  <c r="F765" l="1"/>
  <c r="M764"/>
  <c r="G765" l="1"/>
  <c r="H765" l="1"/>
  <c r="K765"/>
  <c r="I765"/>
  <c r="J765" s="1"/>
  <c r="L765" s="1"/>
  <c r="F766" l="1"/>
  <c r="M765"/>
  <c r="G766" l="1"/>
  <c r="H766" l="1"/>
  <c r="K766"/>
  <c r="I766"/>
  <c r="J766" s="1"/>
  <c r="L766" s="1"/>
  <c r="F767" l="1"/>
  <c r="M766"/>
  <c r="G767" l="1"/>
  <c r="I767" l="1"/>
  <c r="J767" s="1"/>
  <c r="L767" s="1"/>
  <c r="H767"/>
  <c r="K767"/>
  <c r="F768" l="1"/>
  <c r="M767"/>
  <c r="G768" l="1"/>
  <c r="H768" l="1"/>
  <c r="K768"/>
  <c r="I768"/>
  <c r="J768" s="1"/>
  <c r="L768" s="1"/>
  <c r="F769" l="1"/>
  <c r="M768"/>
  <c r="G769" l="1"/>
  <c r="H769" l="1"/>
  <c r="K769"/>
  <c r="I769"/>
  <c r="J769" s="1"/>
  <c r="L769" s="1"/>
  <c r="F770" l="1"/>
  <c r="M769"/>
  <c r="G770" l="1"/>
  <c r="I770" l="1"/>
  <c r="J770" s="1"/>
  <c r="L770" s="1"/>
  <c r="H770"/>
  <c r="K770"/>
  <c r="F771" l="1"/>
  <c r="M770"/>
  <c r="G771" l="1"/>
  <c r="H771" l="1"/>
  <c r="K771"/>
  <c r="I771"/>
  <c r="J771" s="1"/>
  <c r="L771" s="1"/>
  <c r="F772" l="1"/>
  <c r="M771"/>
  <c r="G772" l="1"/>
  <c r="H772" l="1"/>
  <c r="K772"/>
  <c r="I772"/>
  <c r="J772" s="1"/>
  <c r="L772" s="1"/>
  <c r="F773" l="1"/>
  <c r="M772"/>
  <c r="G773" l="1"/>
  <c r="H773" l="1"/>
  <c r="K773"/>
  <c r="I773"/>
  <c r="J773" s="1"/>
  <c r="L773" s="1"/>
  <c r="F774" l="1"/>
  <c r="M773"/>
  <c r="G774" l="1"/>
  <c r="H774" l="1"/>
  <c r="K774"/>
  <c r="I774"/>
  <c r="J774" s="1"/>
  <c r="L774" s="1"/>
  <c r="F775" l="1"/>
  <c r="M774"/>
  <c r="G775" l="1"/>
  <c r="H775" l="1"/>
  <c r="K775"/>
  <c r="I775"/>
  <c r="J775" s="1"/>
  <c r="L775" s="1"/>
  <c r="F776" l="1"/>
  <c r="M775"/>
  <c r="G776" l="1"/>
  <c r="H776" l="1"/>
  <c r="K776"/>
  <c r="I776"/>
  <c r="J776" s="1"/>
  <c r="L776" s="1"/>
  <c r="F777" l="1"/>
  <c r="M776"/>
  <c r="G777" l="1"/>
  <c r="H777" l="1"/>
  <c r="K777"/>
  <c r="I777"/>
  <c r="J777" s="1"/>
  <c r="L777" s="1"/>
  <c r="F778" l="1"/>
  <c r="M777"/>
  <c r="G778" l="1"/>
  <c r="I778" l="1"/>
  <c r="J778" s="1"/>
  <c r="L778" s="1"/>
  <c r="H778"/>
  <c r="K778"/>
  <c r="F779" l="1"/>
  <c r="M778"/>
  <c r="G779" l="1"/>
  <c r="H779" l="1"/>
  <c r="K779"/>
  <c r="I779"/>
  <c r="J779" s="1"/>
  <c r="L779" s="1"/>
  <c r="F780" l="1"/>
  <c r="M779"/>
  <c r="G780" l="1"/>
  <c r="I780" l="1"/>
  <c r="J780" s="1"/>
  <c r="L780" s="1"/>
  <c r="H780"/>
  <c r="K780"/>
  <c r="F781" l="1"/>
  <c r="M780"/>
  <c r="G781" l="1"/>
  <c r="H781" l="1"/>
  <c r="K781"/>
  <c r="I781"/>
  <c r="J781" s="1"/>
  <c r="L781" s="1"/>
  <c r="F782" l="1"/>
  <c r="G782" s="1"/>
  <c r="M781"/>
  <c r="I782" l="1"/>
  <c r="J782" s="1"/>
  <c r="L782" s="1"/>
  <c r="M782" s="1"/>
  <c r="H782"/>
  <c r="K782"/>
  <c r="B9" l="1"/>
  <c r="B11"/>
  <c r="B3" i="9"/>
  <c r="C3"/>
  <c r="B4"/>
  <c r="C4"/>
  <c r="B14"/>
</calcChain>
</file>

<file path=xl/comments1.xml><?xml version="1.0" encoding="utf-8"?>
<comments xmlns="http://schemas.openxmlformats.org/spreadsheetml/2006/main">
  <authors>
    <author>ESPINASSEjm</author>
  </authors>
  <commentList>
    <comment ref="D18" authorId="0">
      <text>
        <r>
          <rPr>
            <b/>
            <sz val="8"/>
            <color indexed="81"/>
            <rFont val="Tahoma"/>
            <family val="2"/>
          </rPr>
          <t>Valeur par défaut qui peut être modifiée dans le cas d'un bimoteur. Sans intérêt dans le cas d'un monomoteur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<sst xmlns="http://schemas.openxmlformats.org/spreadsheetml/2006/main" count="584" uniqueCount="413">
  <si>
    <t>Vue de côté</t>
  </si>
  <si>
    <t>Abscisse</t>
  </si>
  <si>
    <t>Ordonnée</t>
  </si>
  <si>
    <t>Flèche de bord d'attaque (deg)</t>
  </si>
  <si>
    <t>Envergure voilure</t>
  </si>
  <si>
    <t>Envergure empenage</t>
  </si>
  <si>
    <t>diedre (deg)</t>
  </si>
  <si>
    <t>diamètre de l'entrée d'air</t>
  </si>
  <si>
    <t>diamètre du moteur</t>
  </si>
  <si>
    <t>diamètre de la tuyère</t>
  </si>
  <si>
    <t>Angle d'inclinaison des moteurs (deg)</t>
  </si>
  <si>
    <t>Réservoirs voilure</t>
  </si>
  <si>
    <t>Réservoir fuselage</t>
  </si>
  <si>
    <t>Trains d'atterrissage</t>
  </si>
  <si>
    <t>Train principal</t>
  </si>
  <si>
    <t>Train avant</t>
  </si>
  <si>
    <t>Radar</t>
  </si>
  <si>
    <t>Ecoute</t>
  </si>
  <si>
    <t>Satcom</t>
  </si>
  <si>
    <t>Abscisse cdg train principal</t>
  </si>
  <si>
    <t>Abscisse cdg train avant</t>
  </si>
  <si>
    <t>Longueur réservoir fuselage</t>
  </si>
  <si>
    <t>Hauteur cdg satcom (par rapport à l'axe fuselage)</t>
  </si>
  <si>
    <t>Hauteur cdg écoute (par rapport à l'axe fuselage)</t>
  </si>
  <si>
    <t>Hauteur cdg radar (par rapport à l'axe fuselage)</t>
  </si>
  <si>
    <t>angle</t>
  </si>
  <si>
    <t>Longueur</t>
  </si>
  <si>
    <t>Angle de plané</t>
  </si>
  <si>
    <t>Sref cible</t>
  </si>
  <si>
    <t>différence</t>
  </si>
  <si>
    <t>Finesse totale</t>
  </si>
  <si>
    <t>Différence</t>
  </si>
  <si>
    <t>Planeur</t>
  </si>
  <si>
    <t>Fuselage</t>
  </si>
  <si>
    <t>Empennage</t>
  </si>
  <si>
    <t>Mat et nacelle</t>
  </si>
  <si>
    <t>Atterrisseurs</t>
  </si>
  <si>
    <t>Propulsion</t>
  </si>
  <si>
    <t>Groupe Moteur</t>
  </si>
  <si>
    <t>Circuit combustible</t>
  </si>
  <si>
    <t>Inconsommables</t>
  </si>
  <si>
    <t>Systèmes</t>
  </si>
  <si>
    <t>Servitudes</t>
  </si>
  <si>
    <t>Habitabilité</t>
  </si>
  <si>
    <t>Pilotage et navigation</t>
  </si>
  <si>
    <t>Transmissions</t>
  </si>
  <si>
    <t>Installations opérationnelles</t>
  </si>
  <si>
    <t>Amenagement toute mission</t>
  </si>
  <si>
    <t>Cabine</t>
  </si>
  <si>
    <t>Matériel de sécurité</t>
  </si>
  <si>
    <t>Eclairage</t>
  </si>
  <si>
    <t>Masse à vide</t>
  </si>
  <si>
    <t>Amenagement mission</t>
  </si>
  <si>
    <t>Masse à vide équipée</t>
  </si>
  <si>
    <t>Equipage</t>
  </si>
  <si>
    <t>Masse a vide en ordre d'exploitation</t>
  </si>
  <si>
    <t>Charge utile</t>
  </si>
  <si>
    <t>Combustible</t>
  </si>
  <si>
    <t>Masse maximale au decollage</t>
  </si>
  <si>
    <t>Volume(m3)</t>
  </si>
  <si>
    <t>Facteur de charge limite</t>
  </si>
  <si>
    <t>Facteur de charge limite positif</t>
  </si>
  <si>
    <t>Facteur de charge limite negatif</t>
  </si>
  <si>
    <t>Facteur de charge dimensionnant</t>
  </si>
  <si>
    <t>Vitesse verticale atterrissage</t>
  </si>
  <si>
    <t>Tuyères</t>
  </si>
  <si>
    <t>Avionnage</t>
  </si>
  <si>
    <t>Transmission</t>
  </si>
  <si>
    <t>S1</t>
  </si>
  <si>
    <t>S2</t>
  </si>
  <si>
    <t>Corde en bout de reservoir</t>
  </si>
  <si>
    <t>Volume disponible</t>
  </si>
  <si>
    <t>Volume occupé</t>
  </si>
  <si>
    <t>Test volume</t>
  </si>
  <si>
    <t>Masse en debut de croisiere</t>
  </si>
  <si>
    <t>Czα voilure complete</t>
  </si>
  <si>
    <t>Czα voilure</t>
  </si>
  <si>
    <t>Bilan de Cx0 : trainée de forme</t>
  </si>
  <si>
    <t>D'après plan global hawk</t>
  </si>
  <si>
    <t>Envergure empennage</t>
  </si>
  <si>
    <t>Facteur d'échelle</t>
  </si>
  <si>
    <t>Données globales</t>
  </si>
  <si>
    <t>Calage voilure (°)</t>
  </si>
  <si>
    <t>Cz</t>
  </si>
  <si>
    <t>Voilure (forme)</t>
  </si>
  <si>
    <t>Voilure (portance)</t>
  </si>
  <si>
    <t>Empennage (forme)</t>
  </si>
  <si>
    <t>Empennage (portance)</t>
  </si>
  <si>
    <t>Diedre(°)</t>
  </si>
  <si>
    <t>Czα empennage complet</t>
  </si>
  <si>
    <t>Czα empennage</t>
  </si>
  <si>
    <t>Coefficient de deflection</t>
  </si>
  <si>
    <t>Braquage empennage(°)</t>
  </si>
  <si>
    <t>Alpha0(°)</t>
  </si>
  <si>
    <t>Fuselage (forme)</t>
  </si>
  <si>
    <t>Fuselage (portance)</t>
  </si>
  <si>
    <t>Incidence avion (°)</t>
  </si>
  <si>
    <t>Point de cassure cockpit (m)</t>
  </si>
  <si>
    <t>Fuselage avant</t>
  </si>
  <si>
    <t>Si</t>
  </si>
  <si>
    <t>Czαi</t>
  </si>
  <si>
    <t>dαi/dα</t>
  </si>
  <si>
    <t>Contribution au Czα</t>
  </si>
  <si>
    <t>Fuselage central</t>
  </si>
  <si>
    <t>Fuselage arrière</t>
  </si>
  <si>
    <t>Czα fuselage</t>
  </si>
  <si>
    <t>Fuselage complet</t>
  </si>
  <si>
    <t>Groupe n°</t>
  </si>
  <si>
    <t>Densité de l'air</t>
  </si>
  <si>
    <t>Altitude (ft)</t>
  </si>
  <si>
    <t>Altitude (m)</t>
  </si>
  <si>
    <t>Pression (Pa)</t>
  </si>
  <si>
    <t>Masse volumique (kg/m^3)</t>
  </si>
  <si>
    <t>Accélération gravitationnelle (m/s²)</t>
  </si>
  <si>
    <t>Vitesse du son (m/s)</t>
  </si>
  <si>
    <t>Température totale (K)</t>
  </si>
  <si>
    <t>Pression totale (Pa)</t>
  </si>
  <si>
    <t>Vitesse avion (m/s)</t>
  </si>
  <si>
    <t>Température (K)</t>
  </si>
  <si>
    <t>gamma</t>
  </si>
  <si>
    <t>Cp</t>
  </si>
  <si>
    <t>Densité carburant (kg/l)</t>
  </si>
  <si>
    <t>r (J/K)</t>
  </si>
  <si>
    <t>Viscosité cinématique (m²/s)</t>
  </si>
  <si>
    <t>BE Drone HALE</t>
  </si>
  <si>
    <t>Mach de croisière</t>
  </si>
  <si>
    <t>Nombre de moteurs</t>
  </si>
  <si>
    <t>Facteur d'échelle moteur</t>
  </si>
  <si>
    <t>Données voilure</t>
  </si>
  <si>
    <t>Données de constantes</t>
  </si>
  <si>
    <t>Allongement</t>
  </si>
  <si>
    <t>Epaisseur relative</t>
  </si>
  <si>
    <t>Effilement</t>
  </si>
  <si>
    <t>Flèche au BA (°)</t>
  </si>
  <si>
    <t>Données empennage</t>
  </si>
  <si>
    <t>Coefficient de volume</t>
  </si>
  <si>
    <t>Données fuselage</t>
  </si>
  <si>
    <t>Dièdre (°)</t>
  </si>
  <si>
    <t>Longueur fuselage</t>
  </si>
  <si>
    <t>Point de cassure du cockpit</t>
  </si>
  <si>
    <t>Longueur de la manche à air</t>
  </si>
  <si>
    <t>Longueur du moteur</t>
  </si>
  <si>
    <t>Longueur de la tuyère</t>
  </si>
  <si>
    <t>BE Drone HALE - Dessin aménagé</t>
  </si>
  <si>
    <t>Abscisse début des ailes</t>
  </si>
  <si>
    <t>Corde emplanture</t>
  </si>
  <si>
    <t>Corde saumon</t>
  </si>
  <si>
    <t>Abscisse début d'empennage</t>
  </si>
  <si>
    <t>Flèche de bord d'attaque empennage</t>
  </si>
  <si>
    <t>Corde emplanture empennage</t>
  </si>
  <si>
    <t>Corde saumon empennage</t>
  </si>
  <si>
    <t>Abscisse plan de l'entrée d'air</t>
  </si>
  <si>
    <t>Diamètre fuselage</t>
  </si>
  <si>
    <t>Abscisse début réservoir fuselage</t>
  </si>
  <si>
    <t>Abscisse début écoute</t>
  </si>
  <si>
    <t>Abscisse début radar</t>
  </si>
  <si>
    <t>Abscisse début satcom</t>
  </si>
  <si>
    <t>Dessin fuselage</t>
  </si>
  <si>
    <t>Dessin moteur(s)</t>
  </si>
  <si>
    <t>Dessin empennage</t>
  </si>
  <si>
    <t>Dessin voilure</t>
  </si>
  <si>
    <t>Dessin réservoirs</t>
  </si>
  <si>
    <t>Vue de dessus</t>
  </si>
  <si>
    <t>Vue de face</t>
  </si>
  <si>
    <t>Nacelle (portance)</t>
  </si>
  <si>
    <t>Nacelle (forme)</t>
  </si>
  <si>
    <t>Czα</t>
  </si>
  <si>
    <t>Bilan de Cz : portance</t>
  </si>
  <si>
    <t>Portance maximale</t>
  </si>
  <si>
    <t>Czmax voilure</t>
  </si>
  <si>
    <t>Czmax profil voilure (Xfoil)</t>
  </si>
  <si>
    <t>Empennage (induite)</t>
  </si>
  <si>
    <t>Cxi</t>
  </si>
  <si>
    <t>Cxi reference empennage</t>
  </si>
  <si>
    <t>Czα reference empennage</t>
  </si>
  <si>
    <t>Cz reference empennage</t>
  </si>
  <si>
    <t>Fuselage (induite)</t>
  </si>
  <si>
    <t>Voilure (induite)</t>
  </si>
  <si>
    <t>Czα reference voilure</t>
  </si>
  <si>
    <t>Cz reference voilure</t>
  </si>
  <si>
    <t>Cxi reference voilure</t>
  </si>
  <si>
    <t>Alpha0 (Xfoil) (°)</t>
  </si>
  <si>
    <t>NACA 24012</t>
  </si>
  <si>
    <t>Bilan de Cxi : trainée induite</t>
  </si>
  <si>
    <r>
      <t xml:space="preserve">angle d'incidence </t>
    </r>
    <r>
      <rPr>
        <sz val="10"/>
        <rFont val="Calibri"/>
        <family val="2"/>
      </rPr>
      <t>α [°]</t>
    </r>
  </si>
  <si>
    <t>actuel</t>
  </si>
  <si>
    <t>Cx</t>
  </si>
  <si>
    <t>Bilan de la finesse</t>
  </si>
  <si>
    <t>Bilan de Cx: trainée complète</t>
  </si>
  <si>
    <t>Nacelle (induite) [négligé]</t>
  </si>
  <si>
    <t>Diametre</t>
  </si>
  <si>
    <t>Masse</t>
  </si>
  <si>
    <t>Debit air point fixe</t>
  </si>
  <si>
    <t>Poussée disponible</t>
  </si>
  <si>
    <t>Poussée utile</t>
  </si>
  <si>
    <t>Debit massique</t>
  </si>
  <si>
    <t>Données moteur de base</t>
  </si>
  <si>
    <t>Debit air point fixe (kg/s)</t>
  </si>
  <si>
    <t>Masse (kg)</t>
  </si>
  <si>
    <t>Diametre (m)</t>
  </si>
  <si>
    <t>Longueur (m)</t>
  </si>
  <si>
    <t>Sigma(Mach)</t>
  </si>
  <si>
    <t>delta(gamma)</t>
  </si>
  <si>
    <t>Surface entrée d'air (m²)</t>
  </si>
  <si>
    <t>Diamètre entrée d'air (m)</t>
  </si>
  <si>
    <t>D'après abaques pour moteur de base</t>
  </si>
  <si>
    <t>Poussée nette</t>
  </si>
  <si>
    <t>Consommation spécifique</t>
  </si>
  <si>
    <t>Longueur manche à air</t>
  </si>
  <si>
    <t>Rayon de courbure manche</t>
  </si>
  <si>
    <t>Rayon de courbre manche</t>
  </si>
  <si>
    <t>Diametre manche à air (m)</t>
  </si>
  <si>
    <t>Longueur manche à air (m)</t>
  </si>
  <si>
    <t>Diamètre fuselage (m)</t>
  </si>
  <si>
    <t>Envergure</t>
  </si>
  <si>
    <t>Corde à l'emplanture</t>
  </si>
  <si>
    <t>Corde à l'extremité</t>
  </si>
  <si>
    <t>Fleche bord attaque (°)</t>
  </si>
  <si>
    <t>Fleche a 50% de la corde (°)</t>
  </si>
  <si>
    <t>Corde moyenne aero.</t>
  </si>
  <si>
    <t>Nombre de Reynolds</t>
  </si>
  <si>
    <t>Voilure</t>
  </si>
  <si>
    <t>NACA 0009</t>
  </si>
  <si>
    <t>Profil</t>
  </si>
  <si>
    <t>Sref (m²)</t>
  </si>
  <si>
    <t>Envergure (m)</t>
  </si>
  <si>
    <t>Longueur fuselage (m)</t>
  </si>
  <si>
    <t>Cf</t>
  </si>
  <si>
    <t>Sm</t>
  </si>
  <si>
    <t>Maitre Couple (m²)</t>
  </si>
  <si>
    <t>a</t>
  </si>
  <si>
    <t>c</t>
  </si>
  <si>
    <t>Cx0</t>
  </si>
  <si>
    <t>Diamètre (m)</t>
  </si>
  <si>
    <t>Sm Totale</t>
  </si>
  <si>
    <t>Ki</t>
  </si>
  <si>
    <t>Interaction</t>
  </si>
  <si>
    <t>Addidive</t>
  </si>
  <si>
    <t>Hors voilure</t>
  </si>
  <si>
    <t>Sext</t>
  </si>
  <si>
    <t>Cx0 profil (Xfoil)</t>
  </si>
  <si>
    <t>Cx (d'après abbaque)</t>
  </si>
  <si>
    <t>Total</t>
  </si>
  <si>
    <t>Diamètre tuyère (m)</t>
  </si>
  <si>
    <t>Test longueur tuyère</t>
  </si>
  <si>
    <t>Czα incompressible</t>
  </si>
  <si>
    <t>MVOE initiale</t>
  </si>
  <si>
    <t>MTOW initiale</t>
  </si>
  <si>
    <t>Longueur tuyère (m)</t>
  </si>
  <si>
    <t>Abscisse bord d'attaque emplanture (m)</t>
  </si>
  <si>
    <t>Abscisse avant moteur (m)</t>
  </si>
  <si>
    <t>Abscisse debut tuyere</t>
  </si>
  <si>
    <t>Abscisse centre de gravité(m)</t>
  </si>
  <si>
    <t>Atterisseurs</t>
  </si>
  <si>
    <t>Nacelles</t>
  </si>
  <si>
    <t>Tuyère</t>
  </si>
  <si>
    <t>Manche à air</t>
  </si>
  <si>
    <t>Moteur</t>
  </si>
  <si>
    <t>Abscisse train auxiliaire</t>
  </si>
  <si>
    <t>Abscisse train principal</t>
  </si>
  <si>
    <t>Mats et nacelles</t>
  </si>
  <si>
    <t>Abscisse debut (m) (rappel)</t>
  </si>
  <si>
    <t>H</t>
  </si>
  <si>
    <t>Ycg</t>
  </si>
  <si>
    <t>Reservoir fuselage</t>
  </si>
  <si>
    <t>Abscisse reservoir fuselage</t>
  </si>
  <si>
    <t>Longueur reservoir fuselage</t>
  </si>
  <si>
    <t>Equipements</t>
  </si>
  <si>
    <t>Hauteur cdg radar</t>
  </si>
  <si>
    <t>Longueur radar</t>
  </si>
  <si>
    <t>Hauteur cdg écoute</t>
  </si>
  <si>
    <t>Longueur ecoute</t>
  </si>
  <si>
    <t xml:space="preserve">Hauteur cdg satcom </t>
  </si>
  <si>
    <t>Longueur satcom</t>
  </si>
  <si>
    <t>Diametre satcom</t>
  </si>
  <si>
    <t>Centrage à vide</t>
  </si>
  <si>
    <t>Centrage amenagement mission</t>
  </si>
  <si>
    <t>Centrage à vide équipée</t>
  </si>
  <si>
    <t>Centrage Equipage</t>
  </si>
  <si>
    <t>Centrage a vide en ordre d'exploitation</t>
  </si>
  <si>
    <t>Total planeur</t>
  </si>
  <si>
    <t>Total propulsion</t>
  </si>
  <si>
    <t>Total systèmes</t>
  </si>
  <si>
    <t>Total amenagement</t>
  </si>
  <si>
    <t>Centrage avion decollage</t>
  </si>
  <si>
    <t>Centrage avion debut croisiere</t>
  </si>
  <si>
    <t>Centrage initial</t>
  </si>
  <si>
    <t>Difference</t>
  </si>
  <si>
    <t>Distance</t>
  </si>
  <si>
    <t>X Foyer</t>
  </si>
  <si>
    <t>Masse en remplissage quelconque</t>
  </si>
  <si>
    <t>Taux de remplissage</t>
  </si>
  <si>
    <t>Centrage en remplissage quelconque</t>
  </si>
  <si>
    <t>Marge statique avion plein</t>
  </si>
  <si>
    <t>Marge statique remplissage qqconque</t>
  </si>
  <si>
    <t>Cm profil (Xfoil)</t>
  </si>
  <si>
    <r>
      <t>Cz</t>
    </r>
    <r>
      <rPr>
        <sz val="10"/>
        <rFont val="Calibri"/>
        <family val="2"/>
      </rPr>
      <t>α</t>
    </r>
  </si>
  <si>
    <r>
      <t>Somme des Cz</t>
    </r>
    <r>
      <rPr>
        <sz val="10"/>
        <rFont val="Calibri"/>
        <family val="2"/>
      </rPr>
      <t>α</t>
    </r>
  </si>
  <si>
    <t>Nacelle(s) (portance)</t>
  </si>
  <si>
    <t>Position Y de la CMA</t>
  </si>
  <si>
    <t>Vitesse avion (kts)</t>
  </si>
  <si>
    <t>Poussée utile (Z = 0)</t>
  </si>
  <si>
    <t>Consommation spécifique (croisière)</t>
  </si>
  <si>
    <t>Consommation spécifique (Z = 0, V = 0)</t>
  </si>
  <si>
    <t>Poussée (croisière) [N]</t>
  </si>
  <si>
    <t>Poussée (Z = 0, V = 0) [N]</t>
  </si>
  <si>
    <t>vieux</t>
  </si>
  <si>
    <t>finesse</t>
  </si>
  <si>
    <t>finesse maximale</t>
  </si>
  <si>
    <t>Cz en fmax</t>
  </si>
  <si>
    <t>pas d'angle</t>
  </si>
  <si>
    <t>angle de braquage de l'empennage</t>
  </si>
  <si>
    <t>angle de calage</t>
  </si>
  <si>
    <t>Masse en 40% de remplissage</t>
  </si>
  <si>
    <t>Centrage en 40% de remplissage</t>
  </si>
  <si>
    <t>Centrage en 0% de remplissage</t>
  </si>
  <si>
    <t>Masse en 0% de remplissage</t>
  </si>
  <si>
    <t>Marge statique avion vide</t>
  </si>
  <si>
    <t>Poids à porter</t>
  </si>
  <si>
    <t>Portance actuelle</t>
  </si>
  <si>
    <t>doit être 0 pour le processus de l'optimisation</t>
  </si>
  <si>
    <t>Portance nécessaire</t>
  </si>
  <si>
    <t>Force nécessaire de l'empennage</t>
  </si>
  <si>
    <t>pas de l'angle</t>
  </si>
  <si>
    <t>avion complet</t>
  </si>
  <si>
    <t>Force [N]</t>
  </si>
  <si>
    <t>angle de calage [°]</t>
  </si>
  <si>
    <t>angle de braquage [°]</t>
  </si>
  <si>
    <t>Cz voilure</t>
  </si>
  <si>
    <t>Cx avion complet</t>
  </si>
  <si>
    <t>Cz fuselage</t>
  </si>
  <si>
    <t>Cz avion complet</t>
  </si>
  <si>
    <t>Polaire équilibré</t>
  </si>
  <si>
    <t>Cz empennage nécessaire</t>
  </si>
  <si>
    <t>Vitesse maximale (VMO) [kts]</t>
  </si>
  <si>
    <t>Vitesse maximale (VMO) [m/s]</t>
  </si>
  <si>
    <t>Mach maximal (MMO)</t>
  </si>
  <si>
    <t>forfaitaire roulage (kg)</t>
  </si>
  <si>
    <t>pas de l'altitude</t>
  </si>
  <si>
    <t>Equivalent de vitesse (EV)</t>
  </si>
  <si>
    <t>altitude [m]</t>
  </si>
  <si>
    <t>Poussée disponible [N]</t>
  </si>
  <si>
    <t>Vitesse verticale [m/s]</t>
  </si>
  <si>
    <t>temps de montée [s]</t>
  </si>
  <si>
    <t>consommation [kg]</t>
  </si>
  <si>
    <t>Vitesses verticales possibles</t>
  </si>
  <si>
    <t>gamma supposé constant</t>
  </si>
  <si>
    <t>Mach pendant la montée</t>
  </si>
  <si>
    <t>Poussée disponible maximale [N]</t>
  </si>
  <si>
    <t>consommation spécifique [kg/daN/h]</t>
  </si>
  <si>
    <t>Trainée</t>
  </si>
  <si>
    <t>Durée de la montée [s]</t>
  </si>
  <si>
    <t>Consommation pendant la montée [kg]</t>
  </si>
  <si>
    <t>Consommation début croisière [kg]</t>
  </si>
  <si>
    <t>Consommation début croisière [%]</t>
  </si>
  <si>
    <t>Masse de l'avion au début de la croisière [kg]</t>
  </si>
  <si>
    <t>moyenne</t>
  </si>
  <si>
    <t>Cz nécessaire</t>
  </si>
  <si>
    <t>Masse actuelle [kg]</t>
  </si>
  <si>
    <t>masse volumique [kg/m³]</t>
  </si>
  <si>
    <t>Vitesse avion [m/s]</t>
  </si>
  <si>
    <t>pas d'altitude [m]</t>
  </si>
  <si>
    <t>accélération gravitationnelle [N]</t>
  </si>
  <si>
    <t>vitesse du son [m/s]</t>
  </si>
  <si>
    <t>angles nécéssaires</t>
  </si>
  <si>
    <t>Masse de l'avion début descente [kg]</t>
  </si>
  <si>
    <t>consommation horaire fixée [kg/h]</t>
  </si>
  <si>
    <t>forfaitaire atterrissage (kg)</t>
  </si>
  <si>
    <t>Cz en finesse maximale</t>
  </si>
  <si>
    <t>pente de descente [°]</t>
  </si>
  <si>
    <t>Pression totale nécessaire [Pa]</t>
  </si>
  <si>
    <t>Carburant consommé utilisé [kg]</t>
  </si>
  <si>
    <t>Carburant consommé calculé [kg]</t>
  </si>
  <si>
    <t>temps de descente [s]</t>
  </si>
  <si>
    <t>temps de descente [min]</t>
  </si>
  <si>
    <t>distance parcourue [km]</t>
  </si>
  <si>
    <t>pas d'altitude</t>
  </si>
  <si>
    <t>altitude</t>
  </si>
  <si>
    <t>Vitesse vraie nécessaire [m/s]</t>
  </si>
  <si>
    <t>Vitesse verticale resultante [m/s]</t>
  </si>
  <si>
    <t>Carburant disponible [kg]</t>
  </si>
  <si>
    <t>Temps de la croisière [min]</t>
  </si>
  <si>
    <t>Temps de la croisière [h]</t>
  </si>
  <si>
    <t>Distance parcourue [km]</t>
  </si>
  <si>
    <t>pas de temps [min]</t>
  </si>
  <si>
    <t>temps</t>
  </si>
  <si>
    <t>Masse actuelle</t>
  </si>
  <si>
    <t>Incidence avion</t>
  </si>
  <si>
    <t>Poussée nécessaire</t>
  </si>
  <si>
    <t>braquage empennage</t>
  </si>
  <si>
    <t>carburant consommé par pas</t>
  </si>
  <si>
    <t>angle d'incidence correspondante [°]</t>
  </si>
  <si>
    <t>Trainée [N]</t>
  </si>
  <si>
    <t>maximum</t>
  </si>
  <si>
    <t>Altitude maximale avec MTOW [m]</t>
  </si>
  <si>
    <t>Vitesse à la montée maximale avec MTOW [Mach]</t>
  </si>
  <si>
    <t>Masse lineairement approximée [kg]</t>
  </si>
  <si>
    <t>Masse de l'avion [kg]</t>
  </si>
  <si>
    <t>Vitesse verticale avec MTOW [m/s]</t>
  </si>
  <si>
    <t>Vitesse verticale avec masse approximée [m/s]</t>
  </si>
  <si>
    <t>incidence voilure correspondante [°]</t>
  </si>
  <si>
    <t>incidence avion correspondante [°]</t>
  </si>
  <si>
    <t>Incidence maximale de l'avion [°]</t>
  </si>
  <si>
    <t>angle de braquage emp</t>
  </si>
  <si>
    <t>vitesse de montée à taux maximal [Mach]</t>
  </si>
  <si>
    <t>carburant consommé en somme</t>
  </si>
  <si>
    <t>Masse mi-croisière [kg]</t>
  </si>
  <si>
    <t>Remplissage mi-croisière</t>
  </si>
  <si>
    <t>Masse en remplissage mi-croisière</t>
  </si>
  <si>
    <t>Centrage en mi-croisière</t>
  </si>
  <si>
    <t>vitesse minimale [m/s]</t>
  </si>
  <si>
    <t>vitesse correspondante [m/s]</t>
  </si>
  <si>
    <t>Durée de la montée [h]</t>
  </si>
</sst>
</file>

<file path=xl/styles.xml><?xml version="1.0" encoding="utf-8"?>
<styleSheet xmlns="http://schemas.openxmlformats.org/spreadsheetml/2006/main">
  <numFmts count="7">
    <numFmt numFmtId="164" formatCode="0.000"/>
    <numFmt numFmtId="165" formatCode="0.000E+00"/>
    <numFmt numFmtId="166" formatCode="0.00000"/>
    <numFmt numFmtId="167" formatCode="0.00000000"/>
    <numFmt numFmtId="168" formatCode="0.0000000"/>
    <numFmt numFmtId="169" formatCode="0.0%"/>
    <numFmt numFmtId="170" formatCode="0.0000"/>
  </numFmts>
  <fonts count="1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0"/>
      <color indexed="10"/>
      <name val="Arial"/>
      <family val="2"/>
    </font>
    <font>
      <sz val="10"/>
      <color indexed="5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FF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41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51"/>
        <bgColor indexed="13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6" tint="-0.249977111117893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rgb="FF000000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6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9" fontId="0" fillId="4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5" borderId="0" xfId="0" applyFill="1"/>
    <xf numFmtId="0" fontId="0" fillId="5" borderId="0" xfId="0" applyFill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2" borderId="1" xfId="0" applyFill="1" applyBorder="1" applyAlignment="1">
      <alignment vertical="center" wrapText="1"/>
    </xf>
    <xf numFmtId="0" fontId="0" fillId="6" borderId="1" xfId="0" applyFill="1" applyBorder="1" applyAlignment="1">
      <alignment vertical="center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3" fillId="5" borderId="0" xfId="0" applyFont="1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1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3" fillId="5" borderId="11" xfId="0" applyFont="1" applyFill="1" applyBorder="1"/>
    <xf numFmtId="0" fontId="3" fillId="5" borderId="13" xfId="0" applyFont="1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0" xfId="0" applyFill="1" applyAlignment="1">
      <alignment vertical="center" wrapText="1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vertical="center"/>
    </xf>
    <xf numFmtId="0" fontId="5" fillId="7" borderId="1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7" fillId="10" borderId="1" xfId="0" applyFont="1" applyFill="1" applyBorder="1"/>
    <xf numFmtId="0" fontId="7" fillId="10" borderId="1" xfId="0" applyFont="1" applyFill="1" applyBorder="1" applyAlignment="1">
      <alignment horizontal="center"/>
    </xf>
    <xf numFmtId="0" fontId="7" fillId="11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6" xfId="0" applyFill="1" applyBorder="1"/>
    <xf numFmtId="0" fontId="0" fillId="6" borderId="11" xfId="0" applyFill="1" applyBorder="1"/>
    <xf numFmtId="0" fontId="0" fillId="6" borderId="17" xfId="0" applyFill="1" applyBorder="1" applyAlignment="1">
      <alignment horizontal="center"/>
    </xf>
    <xf numFmtId="0" fontId="0" fillId="6" borderId="18" xfId="0" applyFill="1" applyBorder="1"/>
    <xf numFmtId="0" fontId="0" fillId="6" borderId="0" xfId="0" applyFill="1" applyBorder="1"/>
    <xf numFmtId="0" fontId="0" fillId="6" borderId="19" xfId="0" applyFill="1" applyBorder="1" applyAlignment="1">
      <alignment horizontal="center"/>
    </xf>
    <xf numFmtId="0" fontId="0" fillId="6" borderId="20" xfId="0" applyFill="1" applyBorder="1"/>
    <xf numFmtId="0" fontId="0" fillId="6" borderId="21" xfId="0" applyFill="1" applyBorder="1" applyAlignment="1">
      <alignment horizontal="center"/>
    </xf>
    <xf numFmtId="49" fontId="7" fillId="11" borderId="1" xfId="0" applyNumberFormat="1" applyFont="1" applyFill="1" applyBorder="1" applyAlignment="1">
      <alignment horizontal="center" wrapText="1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0" fillId="0" borderId="0" xfId="0" applyFill="1" applyBorder="1"/>
    <xf numFmtId="2" fontId="0" fillId="0" borderId="0" xfId="0" applyNumberFormat="1"/>
    <xf numFmtId="1" fontId="0" fillId="0" borderId="0" xfId="0" applyNumberFormat="1"/>
    <xf numFmtId="1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/>
    <xf numFmtId="2" fontId="0" fillId="0" borderId="1" xfId="0" applyNumberFormat="1" applyBorder="1" applyAlignment="1"/>
    <xf numFmtId="0" fontId="0" fillId="8" borderId="1" xfId="0" applyFill="1" applyBorder="1" applyAlignment="1"/>
    <xf numFmtId="0" fontId="0" fillId="7" borderId="1" xfId="0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2" fontId="0" fillId="12" borderId="25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0" borderId="0" xfId="0" applyNumberFormat="1"/>
    <xf numFmtId="166" fontId="0" fillId="0" borderId="0" xfId="0" applyNumberFormat="1" applyAlignment="1">
      <alignment horizontal="center"/>
    </xf>
    <xf numFmtId="2" fontId="0" fillId="12" borderId="1" xfId="0" applyNumberFormat="1" applyFont="1" applyFill="1" applyBorder="1"/>
    <xf numFmtId="166" fontId="0" fillId="0" borderId="1" xfId="0" applyNumberFormat="1" applyBorder="1"/>
    <xf numFmtId="2" fontId="0" fillId="12" borderId="1" xfId="0" applyNumberFormat="1" applyFill="1" applyBorder="1"/>
    <xf numFmtId="10" fontId="0" fillId="0" borderId="1" xfId="0" applyNumberFormat="1" applyBorder="1"/>
    <xf numFmtId="1" fontId="0" fillId="0" borderId="0" xfId="0" applyNumberFormat="1" applyBorder="1"/>
    <xf numFmtId="0" fontId="0" fillId="0" borderId="0" xfId="0" applyBorder="1"/>
    <xf numFmtId="9" fontId="0" fillId="0" borderId="1" xfId="0" applyNumberFormat="1" applyBorder="1"/>
    <xf numFmtId="3" fontId="0" fillId="0" borderId="0" xfId="0" applyNumberFormat="1"/>
    <xf numFmtId="3" fontId="0" fillId="0" borderId="1" xfId="0" applyNumberFormat="1" applyBorder="1"/>
    <xf numFmtId="0" fontId="0" fillId="5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2" fontId="11" fillId="12" borderId="25" xfId="0" applyNumberFormat="1" applyFont="1" applyFill="1" applyBorder="1" applyAlignment="1">
      <alignment horizontal="center"/>
    </xf>
    <xf numFmtId="2" fontId="11" fillId="12" borderId="1" xfId="0" applyNumberFormat="1" applyFont="1" applyFill="1" applyBorder="1"/>
    <xf numFmtId="0" fontId="11" fillId="2" borderId="1" xfId="0" applyFont="1" applyFill="1" applyBorder="1" applyAlignment="1">
      <alignment horizontal="center"/>
    </xf>
    <xf numFmtId="2" fontId="0" fillId="12" borderId="26" xfId="0" applyNumberFormat="1" applyFont="1" applyFill="1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11" fillId="0" borderId="0" xfId="0" applyFont="1"/>
    <xf numFmtId="0" fontId="0" fillId="3" borderId="0" xfId="0" applyFill="1" applyBorder="1" applyAlignment="1">
      <alignment horizontal="center"/>
    </xf>
    <xf numFmtId="167" fontId="0" fillId="0" borderId="0" xfId="0" applyNumberFormat="1"/>
    <xf numFmtId="0" fontId="11" fillId="10" borderId="1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19" borderId="1" xfId="0" applyFont="1" applyFill="1" applyBorder="1"/>
    <xf numFmtId="0" fontId="1" fillId="2" borderId="1" xfId="0" applyFont="1" applyFill="1" applyBorder="1"/>
    <xf numFmtId="2" fontId="0" fillId="0" borderId="0" xfId="0" applyNumberFormat="1" applyBorder="1"/>
    <xf numFmtId="2" fontId="1" fillId="12" borderId="1" xfId="0" applyNumberFormat="1" applyFont="1" applyFill="1" applyBorder="1"/>
    <xf numFmtId="3" fontId="1" fillId="0" borderId="1" xfId="0" applyNumberFormat="1" applyFont="1" applyBorder="1"/>
    <xf numFmtId="3" fontId="0" fillId="21" borderId="1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4" fontId="0" fillId="21" borderId="1" xfId="0" applyNumberFormat="1" applyFill="1" applyBorder="1" applyAlignment="1">
      <alignment horizontal="center"/>
    </xf>
    <xf numFmtId="164" fontId="0" fillId="0" borderId="1" xfId="0" applyNumberFormat="1" applyBorder="1"/>
    <xf numFmtId="164" fontId="0" fillId="0" borderId="0" xfId="0" applyNumberFormat="1"/>
    <xf numFmtId="0" fontId="1" fillId="0" borderId="0" xfId="0" applyFont="1" applyFill="1" applyBorder="1"/>
    <xf numFmtId="2" fontId="1" fillId="0" borderId="0" xfId="0" applyNumberFormat="1" applyFont="1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0" fillId="21" borderId="0" xfId="0" applyFill="1" applyAlignment="1">
      <alignment horizontal="center"/>
    </xf>
    <xf numFmtId="0" fontId="0" fillId="21" borderId="1" xfId="0" applyFill="1" applyBorder="1" applyAlignment="1">
      <alignment horizontal="center"/>
    </xf>
    <xf numFmtId="0" fontId="1" fillId="22" borderId="1" xfId="0" applyFont="1" applyFill="1" applyBorder="1" applyAlignment="1">
      <alignment horizontal="left"/>
    </xf>
    <xf numFmtId="0" fontId="1" fillId="22" borderId="1" xfId="0" applyFont="1" applyFill="1" applyBorder="1" applyAlignment="1">
      <alignment horizontal="center"/>
    </xf>
    <xf numFmtId="0" fontId="0" fillId="21" borderId="16" xfId="0" applyFill="1" applyBorder="1" applyAlignment="1">
      <alignment horizontal="left"/>
    </xf>
    <xf numFmtId="0" fontId="0" fillId="21" borderId="17" xfId="0" applyFill="1" applyBorder="1" applyAlignment="1">
      <alignment horizontal="center"/>
    </xf>
    <xf numFmtId="0" fontId="0" fillId="21" borderId="18" xfId="0" applyFill="1" applyBorder="1" applyAlignment="1">
      <alignment horizontal="left"/>
    </xf>
    <xf numFmtId="0" fontId="0" fillId="21" borderId="19" xfId="0" applyFill="1" applyBorder="1" applyAlignment="1">
      <alignment horizontal="center"/>
    </xf>
    <xf numFmtId="0" fontId="0" fillId="21" borderId="20" xfId="0" applyFill="1" applyBorder="1" applyAlignment="1">
      <alignment horizontal="left"/>
    </xf>
    <xf numFmtId="0" fontId="0" fillId="21" borderId="21" xfId="0" applyFill="1" applyBorder="1" applyAlignment="1">
      <alignment horizontal="center"/>
    </xf>
    <xf numFmtId="0" fontId="0" fillId="21" borderId="18" xfId="0" applyFill="1" applyBorder="1" applyAlignment="1">
      <alignment horizontal="center"/>
    </xf>
    <xf numFmtId="0" fontId="0" fillId="21" borderId="20" xfId="0" applyFill="1" applyBorder="1" applyAlignment="1">
      <alignment horizontal="center"/>
    </xf>
    <xf numFmtId="0" fontId="1" fillId="0" borderId="1" xfId="0" applyFont="1" applyBorder="1"/>
    <xf numFmtId="0" fontId="11" fillId="0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2" fontId="1" fillId="19" borderId="1" xfId="0" applyNumberFormat="1" applyFont="1" applyFill="1" applyBorder="1" applyAlignment="1">
      <alignment horizontal="center"/>
    </xf>
    <xf numFmtId="0" fontId="1" fillId="10" borderId="39" xfId="0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2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23" borderId="1" xfId="0" applyFont="1" applyFill="1" applyBorder="1"/>
    <xf numFmtId="2" fontId="1" fillId="24" borderId="1" xfId="0" applyNumberFormat="1" applyFont="1" applyFill="1" applyBorder="1"/>
    <xf numFmtId="0" fontId="1" fillId="23" borderId="1" xfId="0" applyFont="1" applyFill="1" applyBorder="1" applyAlignment="1">
      <alignment horizontal="left"/>
    </xf>
    <xf numFmtId="0" fontId="1" fillId="0" borderId="1" xfId="0" applyFont="1" applyFill="1" applyBorder="1" applyAlignment="1">
      <alignment horizontal="right"/>
    </xf>
    <xf numFmtId="0" fontId="1" fillId="25" borderId="1" xfId="0" applyFont="1" applyFill="1" applyBorder="1"/>
    <xf numFmtId="164" fontId="1" fillId="0" borderId="0" xfId="0" applyNumberFormat="1" applyFont="1" applyBorder="1"/>
    <xf numFmtId="0" fontId="1" fillId="25" borderId="40" xfId="0" applyFont="1" applyFill="1" applyBorder="1"/>
    <xf numFmtId="2" fontId="1" fillId="0" borderId="0" xfId="0" applyNumberFormat="1" applyFont="1" applyBorder="1"/>
    <xf numFmtId="3" fontId="1" fillId="0" borderId="1" xfId="0" applyNumberFormat="1" applyFont="1" applyBorder="1" applyAlignment="1">
      <alignment horizontal="right"/>
    </xf>
    <xf numFmtId="2" fontId="1" fillId="0" borderId="1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2" fontId="1" fillId="0" borderId="1" xfId="0" applyNumberFormat="1" applyFont="1" applyFill="1" applyBorder="1" applyAlignment="1">
      <alignment horizontal="right"/>
    </xf>
    <xf numFmtId="0" fontId="1" fillId="0" borderId="0" xfId="0" applyFont="1" applyBorder="1" applyAlignment="1">
      <alignment horizontal="left"/>
    </xf>
    <xf numFmtId="168" fontId="1" fillId="0" borderId="0" xfId="0" applyNumberFormat="1" applyFont="1" applyBorder="1" applyAlignment="1">
      <alignment horizontal="right"/>
    </xf>
    <xf numFmtId="10" fontId="1" fillId="0" borderId="1" xfId="0" applyNumberFormat="1" applyFont="1" applyBorder="1" applyAlignment="1">
      <alignment horizontal="right"/>
    </xf>
    <xf numFmtId="0" fontId="1" fillId="24" borderId="1" xfId="0" applyFont="1" applyFill="1" applyBorder="1"/>
    <xf numFmtId="0" fontId="1" fillId="0" borderId="0" xfId="0" applyFont="1" applyFill="1" applyBorder="1" applyAlignment="1">
      <alignment horizontal="right"/>
    </xf>
    <xf numFmtId="3" fontId="1" fillId="0" borderId="0" xfId="0" applyNumberFormat="1" applyFont="1" applyBorder="1" applyAlignment="1">
      <alignment horizontal="right"/>
    </xf>
    <xf numFmtId="2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2" fontId="1" fillId="0" borderId="0" xfId="0" applyNumberFormat="1" applyFont="1" applyFill="1" applyBorder="1" applyAlignment="1">
      <alignment horizontal="right"/>
    </xf>
    <xf numFmtId="10" fontId="1" fillId="0" borderId="0" xfId="0" applyNumberFormat="1" applyFont="1" applyBorder="1" applyAlignment="1">
      <alignment horizontal="right"/>
    </xf>
    <xf numFmtId="0" fontId="1" fillId="0" borderId="0" xfId="0" applyFont="1" applyBorder="1" applyAlignment="1">
      <alignment horizontal="center" vertical="center" wrapText="1"/>
    </xf>
    <xf numFmtId="3" fontId="1" fillId="26" borderId="0" xfId="0" applyNumberFormat="1" applyFont="1" applyFill="1" applyBorder="1"/>
    <xf numFmtId="164" fontId="1" fillId="26" borderId="0" xfId="0" applyNumberFormat="1" applyFont="1" applyFill="1" applyBorder="1"/>
    <xf numFmtId="2" fontId="1" fillId="26" borderId="0" xfId="0" applyNumberFormat="1" applyFont="1" applyFill="1" applyBorder="1"/>
    <xf numFmtId="0" fontId="1" fillId="27" borderId="1" xfId="0" applyFont="1" applyFill="1" applyBorder="1" applyAlignment="1">
      <alignment horizontal="center" vertical="center" wrapText="1"/>
    </xf>
    <xf numFmtId="0" fontId="1" fillId="20" borderId="1" xfId="0" applyFont="1" applyFill="1" applyBorder="1" applyAlignment="1">
      <alignment horizontal="center" vertical="center" wrapText="1"/>
    </xf>
    <xf numFmtId="0" fontId="1" fillId="28" borderId="1" xfId="0" applyFont="1" applyFill="1" applyBorder="1"/>
    <xf numFmtId="0" fontId="1" fillId="29" borderId="1" xfId="0" applyFont="1" applyFill="1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0" borderId="1" xfId="0" applyFill="1" applyBorder="1" applyAlignment="1">
      <alignment horizontal="right"/>
    </xf>
    <xf numFmtId="3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0" fontId="0" fillId="2" borderId="1" xfId="0" applyFont="1" applyFill="1" applyBorder="1" applyAlignment="1">
      <alignment horizontal="left"/>
    </xf>
    <xf numFmtId="0" fontId="0" fillId="0" borderId="1" xfId="0" applyBorder="1" applyAlignment="1">
      <alignment horizontal="right"/>
    </xf>
    <xf numFmtId="0" fontId="1" fillId="2" borderId="1" xfId="0" applyFont="1" applyFill="1" applyBorder="1" applyAlignment="1">
      <alignment wrapText="1"/>
    </xf>
    <xf numFmtId="0" fontId="0" fillId="0" borderId="1" xfId="0" applyFill="1" applyBorder="1"/>
    <xf numFmtId="0" fontId="1" fillId="6" borderId="1" xfId="0" applyFont="1" applyFill="1" applyBorder="1"/>
    <xf numFmtId="0" fontId="0" fillId="30" borderId="1" xfId="0" applyFill="1" applyBorder="1"/>
    <xf numFmtId="0" fontId="1" fillId="31" borderId="40" xfId="0" applyFont="1" applyFill="1" applyBorder="1" applyAlignment="1">
      <alignment horizontal="center" vertical="center" wrapText="1"/>
    </xf>
    <xf numFmtId="0" fontId="1" fillId="31" borderId="1" xfId="0" applyFont="1" applyFill="1" applyBorder="1" applyAlignment="1">
      <alignment horizontal="center" vertical="center" wrapText="1"/>
    </xf>
    <xf numFmtId="3" fontId="1" fillId="6" borderId="0" xfId="0" applyNumberFormat="1" applyFont="1" applyFill="1"/>
    <xf numFmtId="164" fontId="0" fillId="6" borderId="0" xfId="0" applyNumberFormat="1" applyFill="1"/>
    <xf numFmtId="0" fontId="0" fillId="4" borderId="1" xfId="0" applyFill="1" applyBorder="1"/>
    <xf numFmtId="0" fontId="1" fillId="0" borderId="0" xfId="0" applyFont="1"/>
    <xf numFmtId="0" fontId="1" fillId="31" borderId="28" xfId="0" applyFont="1" applyFill="1" applyBorder="1" applyAlignment="1">
      <alignment horizontal="center" vertical="center" wrapText="1"/>
    </xf>
    <xf numFmtId="1" fontId="0" fillId="4" borderId="1" xfId="0" applyNumberFormat="1" applyFill="1" applyBorder="1"/>
    <xf numFmtId="0" fontId="1" fillId="31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1" fillId="32" borderId="0" xfId="0" applyFont="1" applyFill="1" applyBorder="1"/>
    <xf numFmtId="0" fontId="1" fillId="33" borderId="1" xfId="0" applyFont="1" applyFill="1" applyBorder="1"/>
    <xf numFmtId="164" fontId="1" fillId="25" borderId="1" xfId="0" applyNumberFormat="1" applyFont="1" applyFill="1" applyBorder="1"/>
    <xf numFmtId="0" fontId="0" fillId="0" borderId="1" xfId="0" applyBorder="1" applyAlignment="1">
      <alignment horizontal="center"/>
    </xf>
    <xf numFmtId="0" fontId="4" fillId="27" borderId="0" xfId="0" applyFont="1" applyFill="1" applyBorder="1"/>
    <xf numFmtId="0" fontId="1" fillId="27" borderId="0" xfId="0" applyFont="1" applyFill="1" applyBorder="1"/>
    <xf numFmtId="0" fontId="1" fillId="18" borderId="0" xfId="0" applyFont="1" applyFill="1" applyBorder="1"/>
    <xf numFmtId="0" fontId="1" fillId="17" borderId="0" xfId="0" applyFont="1" applyFill="1" applyBorder="1"/>
    <xf numFmtId="0" fontId="1" fillId="23" borderId="41" xfId="0" applyFont="1" applyFill="1" applyBorder="1" applyAlignment="1">
      <alignment horizontal="left"/>
    </xf>
    <xf numFmtId="0" fontId="0" fillId="2" borderId="1" xfId="0" applyFont="1" applyFill="1" applyBorder="1"/>
    <xf numFmtId="169" fontId="0" fillId="0" borderId="1" xfId="0" applyNumberFormat="1" applyBorder="1"/>
    <xf numFmtId="170" fontId="0" fillId="0" borderId="1" xfId="0" applyNumberFormat="1" applyBorder="1"/>
    <xf numFmtId="0" fontId="0" fillId="2" borderId="29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7" borderId="29" xfId="0" applyFill="1" applyBorder="1" applyAlignment="1">
      <alignment horizontal="center"/>
    </xf>
    <xf numFmtId="0" fontId="1" fillId="7" borderId="28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14" fillId="0" borderId="18" xfId="0" applyFont="1" applyBorder="1" applyAlignment="1">
      <alignment horizontal="left" wrapText="1"/>
    </xf>
    <xf numFmtId="0" fontId="14" fillId="0" borderId="0" xfId="0" applyFont="1" applyAlignment="1">
      <alignment horizontal="left" wrapText="1"/>
    </xf>
    <xf numFmtId="0" fontId="0" fillId="7" borderId="28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0" fontId="0" fillId="14" borderId="29" xfId="0" applyFill="1" applyBorder="1" applyAlignment="1">
      <alignment horizontal="center"/>
    </xf>
    <xf numFmtId="0" fontId="0" fillId="14" borderId="28" xfId="0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" xfId="0" applyBorder="1" applyAlignment="1">
      <alignment horizontal="center"/>
    </xf>
    <xf numFmtId="2" fontId="0" fillId="15" borderId="25" xfId="0" applyNumberFormat="1" applyFont="1" applyFill="1" applyBorder="1" applyAlignment="1">
      <alignment horizontal="center"/>
    </xf>
    <xf numFmtId="2" fontId="11" fillId="16" borderId="25" xfId="0" applyNumberFormat="1" applyFont="1" applyFill="1" applyBorder="1" applyAlignment="1">
      <alignment horizontal="center"/>
    </xf>
    <xf numFmtId="2" fontId="0" fillId="16" borderId="25" xfId="0" applyNumberFormat="1" applyFont="1" applyFill="1" applyBorder="1" applyAlignment="1">
      <alignment horizontal="center"/>
    </xf>
    <xf numFmtId="2" fontId="1" fillId="15" borderId="27" xfId="0" applyNumberFormat="1" applyFont="1" applyFill="1" applyBorder="1" applyAlignment="1">
      <alignment horizontal="center"/>
    </xf>
    <xf numFmtId="2" fontId="0" fillId="15" borderId="27" xfId="0" applyNumberFormat="1" applyFont="1" applyFill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0" borderId="31" xfId="0" applyFont="1" applyBorder="1" applyAlignment="1"/>
    <xf numFmtId="0" fontId="6" fillId="0" borderId="32" xfId="0" applyFont="1" applyBorder="1" applyAlignment="1"/>
    <xf numFmtId="0" fontId="6" fillId="0" borderId="33" xfId="0" applyFont="1" applyBorder="1" applyAlignment="1"/>
    <xf numFmtId="0" fontId="6" fillId="0" borderId="34" xfId="0" applyFont="1" applyBorder="1" applyAlignment="1"/>
    <xf numFmtId="0" fontId="6" fillId="0" borderId="35" xfId="0" applyFont="1" applyBorder="1" applyAlignment="1"/>
    <xf numFmtId="0" fontId="4" fillId="2" borderId="36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5" fillId="7" borderId="37" xfId="0" applyFont="1" applyFill="1" applyBorder="1" applyAlignment="1">
      <alignment horizontal="center" vertical="center"/>
    </xf>
    <xf numFmtId="0" fontId="5" fillId="7" borderId="38" xfId="0" applyFont="1" applyFill="1" applyBorder="1" applyAlignment="1">
      <alignment horizontal="center" vertical="center"/>
    </xf>
  </cellXfs>
  <cellStyles count="1">
    <cellStyle name="Standard" xfId="0" builtinId="0"/>
  </cellStyles>
  <dxfs count="11">
    <dxf>
      <fill>
        <patternFill>
          <bgColor theme="5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Polaire avion complète - équilibré</a:t>
            </a:r>
          </a:p>
        </c:rich>
      </c:tx>
      <c:layout/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1661891117478763E-2"/>
          <c:y val="0.10365853658536585"/>
          <c:w val="0.85243553008595951"/>
          <c:h val="0.76981707317073345"/>
        </c:manualLayout>
      </c:layout>
      <c:scatterChart>
        <c:scatterStyle val="smoothMarker"/>
        <c:ser>
          <c:idx val="0"/>
          <c:order val="0"/>
          <c:tx>
            <c:v>Avion complet</c:v>
          </c:tx>
          <c:spPr>
            <a:ln w="57150"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Aerodynamique!$Z$6:$Z$306</c:f>
              <c:numCache>
                <c:formatCode>General</c:formatCode>
                <c:ptCount val="301"/>
                <c:pt idx="0">
                  <c:v>2.3918266620114623E-2</c:v>
                </c:pt>
                <c:pt idx="1">
                  <c:v>2.3754204108668336E-2</c:v>
                </c:pt>
                <c:pt idx="2">
                  <c:v>2.35912094072342E-2</c:v>
                </c:pt>
                <c:pt idx="3">
                  <c:v>2.3429282515812229E-2</c:v>
                </c:pt>
                <c:pt idx="4">
                  <c:v>2.326842343440241E-2</c:v>
                </c:pt>
                <c:pt idx="5">
                  <c:v>2.3108632163004746E-2</c:v>
                </c:pt>
                <c:pt idx="6">
                  <c:v>2.2949908701619247E-2</c:v>
                </c:pt>
                <c:pt idx="7">
                  <c:v>2.2792253050245903E-2</c:v>
                </c:pt>
                <c:pt idx="8">
                  <c:v>2.2635665208884718E-2</c:v>
                </c:pt>
                <c:pt idx="9">
                  <c:v>2.2480145177535694E-2</c:v>
                </c:pt>
                <c:pt idx="10">
                  <c:v>2.2325692956198823E-2</c:v>
                </c:pt>
                <c:pt idx="11">
                  <c:v>2.2172308544874113E-2</c:v>
                </c:pt>
                <c:pt idx="12">
                  <c:v>2.2019991943561561E-2</c:v>
                </c:pt>
                <c:pt idx="13">
                  <c:v>2.1868743152261168E-2</c:v>
                </c:pt>
                <c:pt idx="14">
                  <c:v>2.1718562170972934E-2</c:v>
                </c:pt>
                <c:pt idx="15">
                  <c:v>2.1569448999696855E-2</c:v>
                </c:pt>
                <c:pt idx="16">
                  <c:v>2.1421403638432934E-2</c:v>
                </c:pt>
                <c:pt idx="17">
                  <c:v>2.1274426087181171E-2</c:v>
                </c:pt>
                <c:pt idx="18">
                  <c:v>2.112851634594157E-2</c:v>
                </c:pt>
                <c:pt idx="19">
                  <c:v>2.0983674414714125E-2</c:v>
                </c:pt>
                <c:pt idx="20">
                  <c:v>2.0839900293498834E-2</c:v>
                </c:pt>
                <c:pt idx="21">
                  <c:v>2.0697193982295709E-2</c:v>
                </c:pt>
                <c:pt idx="22">
                  <c:v>2.0555555481104743E-2</c:v>
                </c:pt>
                <c:pt idx="23">
                  <c:v>2.0414984789925927E-2</c:v>
                </c:pt>
                <c:pt idx="24">
                  <c:v>2.0275481908759271E-2</c:v>
                </c:pt>
                <c:pt idx="25">
                  <c:v>2.0137046837604772E-2</c:v>
                </c:pt>
                <c:pt idx="26">
                  <c:v>1.9999679576462436E-2</c:v>
                </c:pt>
                <c:pt idx="27">
                  <c:v>1.9863380125332255E-2</c:v>
                </c:pt>
                <c:pt idx="28">
                  <c:v>1.9728148484214236E-2</c:v>
                </c:pt>
                <c:pt idx="29">
                  <c:v>1.9593984653108371E-2</c:v>
                </c:pt>
                <c:pt idx="30">
                  <c:v>1.9460888632014665E-2</c:v>
                </c:pt>
                <c:pt idx="31">
                  <c:v>1.9328860420933118E-2</c:v>
                </c:pt>
                <c:pt idx="32">
                  <c:v>1.9197900019863733E-2</c:v>
                </c:pt>
                <c:pt idx="33">
                  <c:v>1.9068007428806502E-2</c:v>
                </c:pt>
                <c:pt idx="34">
                  <c:v>1.8939182647761427E-2</c:v>
                </c:pt>
                <c:pt idx="35">
                  <c:v>1.881142567672851E-2</c:v>
                </c:pt>
                <c:pt idx="36">
                  <c:v>1.8684736515707755E-2</c:v>
                </c:pt>
                <c:pt idx="37">
                  <c:v>1.8559115164699155E-2</c:v>
                </c:pt>
                <c:pt idx="38">
                  <c:v>1.8434561623702713E-2</c:v>
                </c:pt>
                <c:pt idx="39">
                  <c:v>1.8311075892718433E-2</c:v>
                </c:pt>
                <c:pt idx="40">
                  <c:v>1.8188657971746312E-2</c:v>
                </c:pt>
                <c:pt idx="41">
                  <c:v>1.806730786078635E-2</c:v>
                </c:pt>
                <c:pt idx="42">
                  <c:v>1.7947025559838542E-2</c:v>
                </c:pt>
                <c:pt idx="43">
                  <c:v>1.7827811068902889E-2</c:v>
                </c:pt>
                <c:pt idx="44">
                  <c:v>1.7709664387979406E-2</c:v>
                </c:pt>
                <c:pt idx="45">
                  <c:v>1.7592585517068073E-2</c:v>
                </c:pt>
                <c:pt idx="46">
                  <c:v>1.7476574456168899E-2</c:v>
                </c:pt>
                <c:pt idx="47">
                  <c:v>1.7361631205281884E-2</c:v>
                </c:pt>
                <c:pt idx="48">
                  <c:v>1.7247755764407027E-2</c:v>
                </c:pt>
                <c:pt idx="49">
                  <c:v>1.7134948133544325E-2</c:v>
                </c:pt>
                <c:pt idx="50">
                  <c:v>1.7023208312693786E-2</c:v>
                </c:pt>
                <c:pt idx="51">
                  <c:v>1.6912536301855404E-2</c:v>
                </c:pt>
                <c:pt idx="52">
                  <c:v>1.6802932101029181E-2</c:v>
                </c:pt>
                <c:pt idx="53">
                  <c:v>1.6694395710215117E-2</c:v>
                </c:pt>
                <c:pt idx="54">
                  <c:v>1.6586927129413207E-2</c:v>
                </c:pt>
                <c:pt idx="55">
                  <c:v>1.6480526358623456E-2</c:v>
                </c:pt>
                <c:pt idx="56">
                  <c:v>1.6375193397845867E-2</c:v>
                </c:pt>
                <c:pt idx="57">
                  <c:v>1.6270928247080433E-2</c:v>
                </c:pt>
                <c:pt idx="58">
                  <c:v>1.6167730906327154E-2</c:v>
                </c:pt>
                <c:pt idx="59">
                  <c:v>1.606560137558604E-2</c:v>
                </c:pt>
                <c:pt idx="60">
                  <c:v>1.5964539654857078E-2</c:v>
                </c:pt>
                <c:pt idx="61">
                  <c:v>1.5864545744140278E-2</c:v>
                </c:pt>
                <c:pt idx="62">
                  <c:v>1.5765619643435633E-2</c:v>
                </c:pt>
                <c:pt idx="63">
                  <c:v>1.5667761352743149E-2</c:v>
                </c:pt>
                <c:pt idx="64">
                  <c:v>1.5570970872062821E-2</c:v>
                </c:pt>
                <c:pt idx="65">
                  <c:v>1.5475248201394653E-2</c:v>
                </c:pt>
                <c:pt idx="66">
                  <c:v>1.538059334073864E-2</c:v>
                </c:pt>
                <c:pt idx="67">
                  <c:v>1.5287006290094789E-2</c:v>
                </c:pt>
                <c:pt idx="68">
                  <c:v>1.5194487049463095E-2</c:v>
                </c:pt>
                <c:pt idx="69">
                  <c:v>1.5103035618843557E-2</c:v>
                </c:pt>
                <c:pt idx="70">
                  <c:v>1.5012651998236181E-2</c:v>
                </c:pt>
                <c:pt idx="71">
                  <c:v>1.4923336187640959E-2</c:v>
                </c:pt>
                <c:pt idx="72">
                  <c:v>1.4835088187057898E-2</c:v>
                </c:pt>
                <c:pt idx="73">
                  <c:v>1.4747907996486993E-2</c:v>
                </c:pt>
                <c:pt idx="74">
                  <c:v>1.4661795615928246E-2</c:v>
                </c:pt>
                <c:pt idx="75">
                  <c:v>1.4576751045381659E-2</c:v>
                </c:pt>
                <c:pt idx="76">
                  <c:v>1.4492774284847229E-2</c:v>
                </c:pt>
                <c:pt idx="77">
                  <c:v>1.4409865334324959E-2</c:v>
                </c:pt>
                <c:pt idx="78">
                  <c:v>1.4328024193814844E-2</c:v>
                </c:pt>
                <c:pt idx="79">
                  <c:v>1.4247250863316891E-2</c:v>
                </c:pt>
                <c:pt idx="80">
                  <c:v>1.4167545342831092E-2</c:v>
                </c:pt>
                <c:pt idx="81">
                  <c:v>1.4088907632357452E-2</c:v>
                </c:pt>
                <c:pt idx="82">
                  <c:v>1.4011337731895971E-2</c:v>
                </c:pt>
                <c:pt idx="83">
                  <c:v>1.3934835641446649E-2</c:v>
                </c:pt>
                <c:pt idx="84">
                  <c:v>1.3859401361009485E-2</c:v>
                </c:pt>
                <c:pt idx="85">
                  <c:v>1.3785034890584478E-2</c:v>
                </c:pt>
                <c:pt idx="86">
                  <c:v>1.3711736230171629E-2</c:v>
                </c:pt>
                <c:pt idx="87">
                  <c:v>1.3639505379770938E-2</c:v>
                </c:pt>
                <c:pt idx="88">
                  <c:v>1.3568342339382406E-2</c:v>
                </c:pt>
                <c:pt idx="89">
                  <c:v>1.3498247109006031E-2</c:v>
                </c:pt>
                <c:pt idx="90">
                  <c:v>1.3429219688641816E-2</c:v>
                </c:pt>
                <c:pt idx="91">
                  <c:v>1.3361260078289758E-2</c:v>
                </c:pt>
                <c:pt idx="92">
                  <c:v>1.329436827794986E-2</c:v>
                </c:pt>
                <c:pt idx="93">
                  <c:v>1.3228544287622117E-2</c:v>
                </c:pt>
                <c:pt idx="94">
                  <c:v>1.3163788107306533E-2</c:v>
                </c:pt>
                <c:pt idx="95">
                  <c:v>1.3100099737003107E-2</c:v>
                </c:pt>
                <c:pt idx="96">
                  <c:v>1.3037479176711839E-2</c:v>
                </c:pt>
                <c:pt idx="97">
                  <c:v>1.297592642643273E-2</c:v>
                </c:pt>
                <c:pt idx="98">
                  <c:v>1.2915441486165779E-2</c:v>
                </c:pt>
                <c:pt idx="99">
                  <c:v>1.2856024355910987E-2</c:v>
                </c:pt>
                <c:pt idx="100">
                  <c:v>1.2797675035668352E-2</c:v>
                </c:pt>
                <c:pt idx="101">
                  <c:v>1.2740393525437875E-2</c:v>
                </c:pt>
                <c:pt idx="102">
                  <c:v>1.2684179825219558E-2</c:v>
                </c:pt>
                <c:pt idx="103">
                  <c:v>1.2629033935013396E-2</c:v>
                </c:pt>
                <c:pt idx="104">
                  <c:v>1.2574955854819393E-2</c:v>
                </c:pt>
                <c:pt idx="105">
                  <c:v>1.2521945584637548E-2</c:v>
                </c:pt>
                <c:pt idx="106">
                  <c:v>1.2470003124467862E-2</c:v>
                </c:pt>
                <c:pt idx="107">
                  <c:v>1.2419128474310336E-2</c:v>
                </c:pt>
                <c:pt idx="108">
                  <c:v>1.2369321634164966E-2</c:v>
                </c:pt>
                <c:pt idx="109">
                  <c:v>1.2320582604031753E-2</c:v>
                </c:pt>
                <c:pt idx="110">
                  <c:v>1.2272911383910699E-2</c:v>
                </c:pt>
                <c:pt idx="111">
                  <c:v>1.2226307973801802E-2</c:v>
                </c:pt>
                <c:pt idx="112">
                  <c:v>1.2180772373705066E-2</c:v>
                </c:pt>
                <c:pt idx="113">
                  <c:v>1.2136304583620486E-2</c:v>
                </c:pt>
                <c:pt idx="114">
                  <c:v>1.2092904603548064E-2</c:v>
                </c:pt>
                <c:pt idx="115">
                  <c:v>1.2050572433487804E-2</c:v>
                </c:pt>
                <c:pt idx="116">
                  <c:v>1.2009308073439697E-2</c:v>
                </c:pt>
                <c:pt idx="117">
                  <c:v>1.196911152340375E-2</c:v>
                </c:pt>
                <c:pt idx="118">
                  <c:v>1.1929982783379962E-2</c:v>
                </c:pt>
                <c:pt idx="119">
                  <c:v>1.1891921853368331E-2</c:v>
                </c:pt>
                <c:pt idx="120">
                  <c:v>1.1854928733368858E-2</c:v>
                </c:pt>
                <c:pt idx="121">
                  <c:v>1.1819003423381545E-2</c:v>
                </c:pt>
                <c:pt idx="122">
                  <c:v>1.1784145923406387E-2</c:v>
                </c:pt>
                <c:pt idx="123">
                  <c:v>1.175035623344339E-2</c:v>
                </c:pt>
                <c:pt idx="124">
                  <c:v>1.1717634353492549E-2</c:v>
                </c:pt>
                <c:pt idx="125">
                  <c:v>1.1685980283553868E-2</c:v>
                </c:pt>
                <c:pt idx="126">
                  <c:v>1.1655394023627343E-2</c:v>
                </c:pt>
                <c:pt idx="127">
                  <c:v>1.1625875573712977E-2</c:v>
                </c:pt>
                <c:pt idx="128">
                  <c:v>1.1597424933810769E-2</c:v>
                </c:pt>
                <c:pt idx="129">
                  <c:v>1.157004210392072E-2</c:v>
                </c:pt>
                <c:pt idx="130">
                  <c:v>1.1543727084042828E-2</c:v>
                </c:pt>
                <c:pt idx="131">
                  <c:v>1.1518479874177095E-2</c:v>
                </c:pt>
                <c:pt idx="132">
                  <c:v>1.1494300474323519E-2</c:v>
                </c:pt>
                <c:pt idx="133">
                  <c:v>1.1471188884482102E-2</c:v>
                </c:pt>
                <c:pt idx="134">
                  <c:v>1.1449145104652843E-2</c:v>
                </c:pt>
                <c:pt idx="135">
                  <c:v>1.1428169134835742E-2</c:v>
                </c:pt>
                <c:pt idx="136">
                  <c:v>1.1408260975030801E-2</c:v>
                </c:pt>
                <c:pt idx="137">
                  <c:v>1.1389420625238015E-2</c:v>
                </c:pt>
                <c:pt idx="138">
                  <c:v>1.1371648085457388E-2</c:v>
                </c:pt>
                <c:pt idx="139">
                  <c:v>1.135494335568892E-2</c:v>
                </c:pt>
                <c:pt idx="140">
                  <c:v>1.1339306435932612E-2</c:v>
                </c:pt>
                <c:pt idx="141">
                  <c:v>1.1324737326188458E-2</c:v>
                </c:pt>
                <c:pt idx="142">
                  <c:v>1.1311236026456463E-2</c:v>
                </c:pt>
                <c:pt idx="143">
                  <c:v>1.1298802536736628E-2</c:v>
                </c:pt>
                <c:pt idx="144">
                  <c:v>1.1287436857028951E-2</c:v>
                </c:pt>
                <c:pt idx="145">
                  <c:v>1.1277138987333429E-2</c:v>
                </c:pt>
                <c:pt idx="146">
                  <c:v>1.1267908927650068E-2</c:v>
                </c:pt>
                <c:pt idx="147">
                  <c:v>1.1259746677978865E-2</c:v>
                </c:pt>
                <c:pt idx="148">
                  <c:v>1.1252652238319819E-2</c:v>
                </c:pt>
                <c:pt idx="149">
                  <c:v>1.1246625608672933E-2</c:v>
                </c:pt>
                <c:pt idx="150">
                  <c:v>1.1241666789038204E-2</c:v>
                </c:pt>
                <c:pt idx="151">
                  <c:v>1.1237775779415633E-2</c:v>
                </c:pt>
                <c:pt idx="152">
                  <c:v>1.1234952579805219E-2</c:v>
                </c:pt>
                <c:pt idx="153">
                  <c:v>1.1233197190206963E-2</c:v>
                </c:pt>
                <c:pt idx="154">
                  <c:v>1.1232509610620868E-2</c:v>
                </c:pt>
                <c:pt idx="155">
                  <c:v>1.1232889841046928E-2</c:v>
                </c:pt>
                <c:pt idx="156">
                  <c:v>1.1234337881485149E-2</c:v>
                </c:pt>
                <c:pt idx="157">
                  <c:v>1.1236853731935526E-2</c:v>
                </c:pt>
                <c:pt idx="158">
                  <c:v>1.1240437392398063E-2</c:v>
                </c:pt>
                <c:pt idx="159">
                  <c:v>1.1245088862872754E-2</c:v>
                </c:pt>
                <c:pt idx="160">
                  <c:v>1.1250808143359608E-2</c:v>
                </c:pt>
                <c:pt idx="161">
                  <c:v>1.1257595233858617E-2</c:v>
                </c:pt>
                <c:pt idx="162">
                  <c:v>1.1265450134369786E-2</c:v>
                </c:pt>
                <c:pt idx="163">
                  <c:v>1.1274372844893113E-2</c:v>
                </c:pt>
                <c:pt idx="164">
                  <c:v>1.1284363365428597E-2</c:v>
                </c:pt>
                <c:pt idx="165">
                  <c:v>1.129542169597624E-2</c:v>
                </c:pt>
                <c:pt idx="166">
                  <c:v>1.1307547836536041E-2</c:v>
                </c:pt>
                <c:pt idx="167">
                  <c:v>1.1320741787107999E-2</c:v>
                </c:pt>
                <c:pt idx="168">
                  <c:v>1.1335003547692117E-2</c:v>
                </c:pt>
                <c:pt idx="169">
                  <c:v>1.135033311828839E-2</c:v>
                </c:pt>
                <c:pt idx="170">
                  <c:v>1.1366730498896827E-2</c:v>
                </c:pt>
                <c:pt idx="171">
                  <c:v>1.1384195689517417E-2</c:v>
                </c:pt>
                <c:pt idx="172">
                  <c:v>1.1402728690150167E-2</c:v>
                </c:pt>
                <c:pt idx="173">
                  <c:v>1.1422329500795074E-2</c:v>
                </c:pt>
                <c:pt idx="174">
                  <c:v>1.1442998121452139E-2</c:v>
                </c:pt>
                <c:pt idx="175">
                  <c:v>1.1464734552121363E-2</c:v>
                </c:pt>
                <c:pt idx="176">
                  <c:v>1.1487538792802746E-2</c:v>
                </c:pt>
                <c:pt idx="177">
                  <c:v>1.1511410843496283E-2</c:v>
                </c:pt>
                <c:pt idx="178">
                  <c:v>1.1536350704201984E-2</c:v>
                </c:pt>
                <c:pt idx="179">
                  <c:v>1.156235837491984E-2</c:v>
                </c:pt>
                <c:pt idx="180">
                  <c:v>1.1589433855649854E-2</c:v>
                </c:pt>
                <c:pt idx="181">
                  <c:v>1.1617577146392027E-2</c:v>
                </c:pt>
                <c:pt idx="182">
                  <c:v>1.1646788247146357E-2</c:v>
                </c:pt>
                <c:pt idx="183">
                  <c:v>1.1677067157912849E-2</c:v>
                </c:pt>
                <c:pt idx="184">
                  <c:v>1.1708413878691494E-2</c:v>
                </c:pt>
                <c:pt idx="185">
                  <c:v>1.1740828409482299E-2</c:v>
                </c:pt>
                <c:pt idx="186">
                  <c:v>1.1774310750285262E-2</c:v>
                </c:pt>
                <c:pt idx="187">
                  <c:v>1.1808860901100384E-2</c:v>
                </c:pt>
                <c:pt idx="188">
                  <c:v>1.1844478861927663E-2</c:v>
                </c:pt>
                <c:pt idx="189">
                  <c:v>1.18811646327671E-2</c:v>
                </c:pt>
                <c:pt idx="190">
                  <c:v>1.1918918213618696E-2</c:v>
                </c:pt>
                <c:pt idx="191">
                  <c:v>1.195773960448245E-2</c:v>
                </c:pt>
                <c:pt idx="192">
                  <c:v>1.1997628805358361E-2</c:v>
                </c:pt>
                <c:pt idx="193">
                  <c:v>1.2038585816246433E-2</c:v>
                </c:pt>
                <c:pt idx="194">
                  <c:v>1.208061063714666E-2</c:v>
                </c:pt>
                <c:pt idx="195">
                  <c:v>1.2123703268059047E-2</c:v>
                </c:pt>
                <c:pt idx="196">
                  <c:v>1.2167863708983592E-2</c:v>
                </c:pt>
                <c:pt idx="197">
                  <c:v>1.2213091959920293E-2</c:v>
                </c:pt>
                <c:pt idx="198">
                  <c:v>1.2259388020869155E-2</c:v>
                </c:pt>
                <c:pt idx="199">
                  <c:v>1.2306751891830175E-2</c:v>
                </c:pt>
                <c:pt idx="200">
                  <c:v>1.235518357280335E-2</c:v>
                </c:pt>
                <c:pt idx="201">
                  <c:v>1.2404683063788686E-2</c:v>
                </c:pt>
                <c:pt idx="202">
                  <c:v>1.245525036478618E-2</c:v>
                </c:pt>
                <c:pt idx="203">
                  <c:v>1.2506885475795829E-2</c:v>
                </c:pt>
                <c:pt idx="204">
                  <c:v>1.2559588396817638E-2</c:v>
                </c:pt>
                <c:pt idx="205">
                  <c:v>1.2613359127851607E-2</c:v>
                </c:pt>
                <c:pt idx="206">
                  <c:v>1.2668197668897733E-2</c:v>
                </c:pt>
                <c:pt idx="207">
                  <c:v>1.2724104019956016E-2</c:v>
                </c:pt>
                <c:pt idx="208">
                  <c:v>1.2781078181026457E-2</c:v>
                </c:pt>
                <c:pt idx="209">
                  <c:v>1.2839120152109059E-2</c:v>
                </c:pt>
                <c:pt idx="210">
                  <c:v>1.2898229933203817E-2</c:v>
                </c:pt>
                <c:pt idx="211">
                  <c:v>1.2958407524310734E-2</c:v>
                </c:pt>
                <c:pt idx="212">
                  <c:v>1.3019652925429807E-2</c:v>
                </c:pt>
                <c:pt idx="213">
                  <c:v>1.3081966136561041E-2</c:v>
                </c:pt>
                <c:pt idx="214">
                  <c:v>1.3145347157704431E-2</c:v>
                </c:pt>
                <c:pt idx="215">
                  <c:v>1.3209795988859982E-2</c:v>
                </c:pt>
                <c:pt idx="216">
                  <c:v>1.3275312630027687E-2</c:v>
                </c:pt>
                <c:pt idx="217">
                  <c:v>1.3341897081207553E-2</c:v>
                </c:pt>
                <c:pt idx="218">
                  <c:v>1.3409549342399575E-2</c:v>
                </c:pt>
                <c:pt idx="219">
                  <c:v>1.3478269413603758E-2</c:v>
                </c:pt>
                <c:pt idx="220">
                  <c:v>1.3548057294820096E-2</c:v>
                </c:pt>
                <c:pt idx="221">
                  <c:v>1.3618912986048594E-2</c:v>
                </c:pt>
                <c:pt idx="222">
                  <c:v>1.369083648728925E-2</c:v>
                </c:pt>
                <c:pt idx="223">
                  <c:v>1.3763827798542065E-2</c:v>
                </c:pt>
                <c:pt idx="224">
                  <c:v>1.3837886919807035E-2</c:v>
                </c:pt>
                <c:pt idx="225">
                  <c:v>1.3913013851084165E-2</c:v>
                </c:pt>
                <c:pt idx="226">
                  <c:v>1.3989208592373452E-2</c:v>
                </c:pt>
                <c:pt idx="227">
                  <c:v>1.4066471143674901E-2</c:v>
                </c:pt>
                <c:pt idx="228">
                  <c:v>1.4144801504988503E-2</c:v>
                </c:pt>
                <c:pt idx="229">
                  <c:v>1.4224199676314265E-2</c:v>
                </c:pt>
                <c:pt idx="230">
                  <c:v>1.4304665657652189E-2</c:v>
                </c:pt>
                <c:pt idx="231">
                  <c:v>1.4386199449002265E-2</c:v>
                </c:pt>
                <c:pt idx="232">
                  <c:v>1.4468801050364502E-2</c:v>
                </c:pt>
                <c:pt idx="233">
                  <c:v>1.4552470461738898E-2</c:v>
                </c:pt>
                <c:pt idx="234">
                  <c:v>1.4637207683125451E-2</c:v>
                </c:pt>
                <c:pt idx="235">
                  <c:v>1.4723012714524164E-2</c:v>
                </c:pt>
                <c:pt idx="236">
                  <c:v>1.4809885555935032E-2</c:v>
                </c:pt>
                <c:pt idx="237">
                  <c:v>1.4897826207358061E-2</c:v>
                </c:pt>
                <c:pt idx="238">
                  <c:v>1.4986834668793244E-2</c:v>
                </c:pt>
                <c:pt idx="239">
                  <c:v>1.5076910940240589E-2</c:v>
                </c:pt>
                <c:pt idx="240">
                  <c:v>1.5168055021700091E-2</c:v>
                </c:pt>
                <c:pt idx="241">
                  <c:v>1.526026691317175E-2</c:v>
                </c:pt>
                <c:pt idx="242">
                  <c:v>1.5353546614655569E-2</c:v>
                </c:pt>
                <c:pt idx="243">
                  <c:v>1.5447894126151543E-2</c:v>
                </c:pt>
                <c:pt idx="244">
                  <c:v>1.5543309447659678E-2</c:v>
                </c:pt>
                <c:pt idx="245">
                  <c:v>1.5639792579179971E-2</c:v>
                </c:pt>
                <c:pt idx="246">
                  <c:v>1.5737343520712422E-2</c:v>
                </c:pt>
                <c:pt idx="247">
                  <c:v>1.5835962272257031E-2</c:v>
                </c:pt>
                <c:pt idx="248">
                  <c:v>1.5935648833813796E-2</c:v>
                </c:pt>
                <c:pt idx="249">
                  <c:v>1.6036403205382722E-2</c:v>
                </c:pt>
                <c:pt idx="250">
                  <c:v>1.6138225386963804E-2</c:v>
                </c:pt>
                <c:pt idx="251">
                  <c:v>1.6241115378557047E-2</c:v>
                </c:pt>
                <c:pt idx="252">
                  <c:v>1.6345073180162446E-2</c:v>
                </c:pt>
                <c:pt idx="253">
                  <c:v>1.6450098791780002E-2</c:v>
                </c:pt>
                <c:pt idx="254">
                  <c:v>1.6556192213409714E-2</c:v>
                </c:pt>
                <c:pt idx="255">
                  <c:v>1.6663353445051592E-2</c:v>
                </c:pt>
                <c:pt idx="256">
                  <c:v>1.677158248670562E-2</c:v>
                </c:pt>
                <c:pt idx="257">
                  <c:v>1.6880879338371811E-2</c:v>
                </c:pt>
                <c:pt idx="258">
                  <c:v>1.6991244000050157E-2</c:v>
                </c:pt>
                <c:pt idx="259">
                  <c:v>1.7102676471740665E-2</c:v>
                </c:pt>
                <c:pt idx="260">
                  <c:v>1.7215176753443324E-2</c:v>
                </c:pt>
                <c:pt idx="261">
                  <c:v>1.7328744845158148E-2</c:v>
                </c:pt>
                <c:pt idx="262">
                  <c:v>1.7443380746885128E-2</c:v>
                </c:pt>
                <c:pt idx="263">
                  <c:v>1.755908445862427E-2</c:v>
                </c:pt>
                <c:pt idx="264">
                  <c:v>1.7675855980375563E-2</c:v>
                </c:pt>
                <c:pt idx="265">
                  <c:v>1.7793695312139018E-2</c:v>
                </c:pt>
                <c:pt idx="266">
                  <c:v>1.7912602453914631E-2</c:v>
                </c:pt>
                <c:pt idx="267">
                  <c:v>1.8032577405702403E-2</c:v>
                </c:pt>
                <c:pt idx="268">
                  <c:v>1.8153620167502327E-2</c:v>
                </c:pt>
                <c:pt idx="269">
                  <c:v>1.8275730739314416E-2</c:v>
                </c:pt>
                <c:pt idx="270">
                  <c:v>1.8398909121138663E-2</c:v>
                </c:pt>
                <c:pt idx="271">
                  <c:v>1.8523155312975065E-2</c:v>
                </c:pt>
                <c:pt idx="272">
                  <c:v>1.8648469314823626E-2</c:v>
                </c:pt>
                <c:pt idx="273">
                  <c:v>1.8774851126684346E-2</c:v>
                </c:pt>
                <c:pt idx="274">
                  <c:v>1.8902300748557224E-2</c:v>
                </c:pt>
                <c:pt idx="275">
                  <c:v>1.9030818180442256E-2</c:v>
                </c:pt>
                <c:pt idx="276">
                  <c:v>1.9160403422339455E-2</c:v>
                </c:pt>
                <c:pt idx="277">
                  <c:v>1.9291056474248804E-2</c:v>
                </c:pt>
                <c:pt idx="278">
                  <c:v>1.9422777336170313E-2</c:v>
                </c:pt>
                <c:pt idx="279">
                  <c:v>1.9555566008103983E-2</c:v>
                </c:pt>
                <c:pt idx="280">
                  <c:v>1.9689422490049804E-2</c:v>
                </c:pt>
                <c:pt idx="281">
                  <c:v>1.9824346782007798E-2</c:v>
                </c:pt>
                <c:pt idx="282">
                  <c:v>1.9960338883977937E-2</c:v>
                </c:pt>
                <c:pt idx="283">
                  <c:v>2.0097398795960231E-2</c:v>
                </c:pt>
                <c:pt idx="284">
                  <c:v>2.0235526517954697E-2</c:v>
                </c:pt>
                <c:pt idx="285">
                  <c:v>2.0374722049961311E-2</c:v>
                </c:pt>
                <c:pt idx="286">
                  <c:v>2.0514985391980083E-2</c:v>
                </c:pt>
                <c:pt idx="287">
                  <c:v>2.0656316544011018E-2</c:v>
                </c:pt>
                <c:pt idx="288">
                  <c:v>2.0798715506054111E-2</c:v>
                </c:pt>
                <c:pt idx="289">
                  <c:v>2.0942182278109362E-2</c:v>
                </c:pt>
                <c:pt idx="290">
                  <c:v>2.1086716860176772E-2</c:v>
                </c:pt>
                <c:pt idx="291">
                  <c:v>2.1232319252256333E-2</c:v>
                </c:pt>
                <c:pt idx="292">
                  <c:v>2.1378989454348053E-2</c:v>
                </c:pt>
                <c:pt idx="293">
                  <c:v>2.1526727466451935E-2</c:v>
                </c:pt>
                <c:pt idx="294">
                  <c:v>2.1675533288567972E-2</c:v>
                </c:pt>
                <c:pt idx="295">
                  <c:v>2.1825406920696174E-2</c:v>
                </c:pt>
                <c:pt idx="296">
                  <c:v>2.1976348362836535E-2</c:v>
                </c:pt>
                <c:pt idx="297">
                  <c:v>2.2128357614989044E-2</c:v>
                </c:pt>
                <c:pt idx="298">
                  <c:v>2.2281434677153711E-2</c:v>
                </c:pt>
                <c:pt idx="299">
                  <c:v>2.2435579549330554E-2</c:v>
                </c:pt>
                <c:pt idx="300">
                  <c:v>2.2590792231519535E-2</c:v>
                </c:pt>
              </c:numCache>
            </c:numRef>
          </c:xVal>
          <c:yVal>
            <c:numRef>
              <c:f>Aerodynamique!$Y$6:$Y$306</c:f>
              <c:numCache>
                <c:formatCode>General</c:formatCode>
                <c:ptCount val="301"/>
                <c:pt idx="0">
                  <c:v>-0.69859595070514302</c:v>
                </c:pt>
                <c:pt idx="1">
                  <c:v>-0.69364679383741801</c:v>
                </c:pt>
                <c:pt idx="2">
                  <c:v>-0.68869763696969311</c:v>
                </c:pt>
                <c:pt idx="3">
                  <c:v>-0.68374848010196798</c:v>
                </c:pt>
                <c:pt idx="4">
                  <c:v>-0.67879932323424297</c:v>
                </c:pt>
                <c:pt idx="5">
                  <c:v>-0.67385016636651796</c:v>
                </c:pt>
                <c:pt idx="6">
                  <c:v>-0.66890100949879316</c:v>
                </c:pt>
                <c:pt idx="7">
                  <c:v>-0.66395185263106804</c:v>
                </c:pt>
                <c:pt idx="8">
                  <c:v>-0.65900269576334303</c:v>
                </c:pt>
                <c:pt idx="9">
                  <c:v>-0.65405353889561801</c:v>
                </c:pt>
                <c:pt idx="10">
                  <c:v>-0.649104382027893</c:v>
                </c:pt>
                <c:pt idx="11">
                  <c:v>-0.6441552251601681</c:v>
                </c:pt>
                <c:pt idx="12">
                  <c:v>-0.63920606829244297</c:v>
                </c:pt>
                <c:pt idx="13">
                  <c:v>-0.63425691142471807</c:v>
                </c:pt>
                <c:pt idx="14">
                  <c:v>-0.62930775455699306</c:v>
                </c:pt>
                <c:pt idx="15">
                  <c:v>-0.62435859768926805</c:v>
                </c:pt>
                <c:pt idx="16">
                  <c:v>-0.61940944082154303</c:v>
                </c:pt>
                <c:pt idx="17">
                  <c:v>-0.61446028395381791</c:v>
                </c:pt>
                <c:pt idx="18">
                  <c:v>-0.6095111270860929</c:v>
                </c:pt>
                <c:pt idx="19">
                  <c:v>-0.60456197021836788</c:v>
                </c:pt>
                <c:pt idx="20">
                  <c:v>-0.59961281335064287</c:v>
                </c:pt>
                <c:pt idx="21">
                  <c:v>-0.59466365648291797</c:v>
                </c:pt>
                <c:pt idx="22">
                  <c:v>-0.58971449961519296</c:v>
                </c:pt>
                <c:pt idx="23">
                  <c:v>-0.58476534274746794</c:v>
                </c:pt>
                <c:pt idx="24">
                  <c:v>-0.57981618587974293</c:v>
                </c:pt>
                <c:pt idx="25">
                  <c:v>-0.57486702901201792</c:v>
                </c:pt>
                <c:pt idx="26">
                  <c:v>-0.5699178721442929</c:v>
                </c:pt>
                <c:pt idx="27">
                  <c:v>-0.56496871527656789</c:v>
                </c:pt>
                <c:pt idx="28">
                  <c:v>-0.56001955840884288</c:v>
                </c:pt>
                <c:pt idx="29">
                  <c:v>-0.55507040154111797</c:v>
                </c:pt>
                <c:pt idx="30">
                  <c:v>-0.55012124467339296</c:v>
                </c:pt>
                <c:pt idx="31">
                  <c:v>-0.54517208780566784</c:v>
                </c:pt>
                <c:pt idx="32">
                  <c:v>-0.54022293093794294</c:v>
                </c:pt>
                <c:pt idx="33">
                  <c:v>-0.53527377407021792</c:v>
                </c:pt>
                <c:pt idx="34">
                  <c:v>-0.53032461720249291</c:v>
                </c:pt>
                <c:pt idx="35">
                  <c:v>-0.5253754603347679</c:v>
                </c:pt>
                <c:pt idx="36">
                  <c:v>-0.52042630346704288</c:v>
                </c:pt>
                <c:pt idx="37">
                  <c:v>-0.51547714659931787</c:v>
                </c:pt>
                <c:pt idx="38">
                  <c:v>-0.51052798973159286</c:v>
                </c:pt>
                <c:pt idx="39">
                  <c:v>-0.50557883286386784</c:v>
                </c:pt>
                <c:pt idx="40">
                  <c:v>-0.50062967599614294</c:v>
                </c:pt>
                <c:pt idx="41">
                  <c:v>-0.49568051912841804</c:v>
                </c:pt>
                <c:pt idx="42">
                  <c:v>-0.49073136226069303</c:v>
                </c:pt>
                <c:pt idx="43">
                  <c:v>-0.48578220539296818</c:v>
                </c:pt>
                <c:pt idx="44">
                  <c:v>-0.48083304852524333</c:v>
                </c:pt>
                <c:pt idx="45">
                  <c:v>-0.47588389165751843</c:v>
                </c:pt>
                <c:pt idx="46">
                  <c:v>-0.47093473478979336</c:v>
                </c:pt>
                <c:pt idx="47">
                  <c:v>-0.46598557792206852</c:v>
                </c:pt>
                <c:pt idx="48">
                  <c:v>-0.46103642105434361</c:v>
                </c:pt>
                <c:pt idx="49">
                  <c:v>-0.45608726418661866</c:v>
                </c:pt>
                <c:pt idx="50">
                  <c:v>-0.4511381073188937</c:v>
                </c:pt>
                <c:pt idx="51">
                  <c:v>-0.44618895045116891</c:v>
                </c:pt>
                <c:pt idx="52">
                  <c:v>-0.4412397935834439</c:v>
                </c:pt>
                <c:pt idx="53">
                  <c:v>-0.43629063671571899</c:v>
                </c:pt>
                <c:pt idx="54">
                  <c:v>-0.43134147984799409</c:v>
                </c:pt>
                <c:pt idx="55">
                  <c:v>-0.42639232298026919</c:v>
                </c:pt>
                <c:pt idx="56">
                  <c:v>-0.42144316611254423</c:v>
                </c:pt>
                <c:pt idx="57">
                  <c:v>-0.41649400924481939</c:v>
                </c:pt>
                <c:pt idx="58">
                  <c:v>-0.41154485237709443</c:v>
                </c:pt>
                <c:pt idx="59">
                  <c:v>-0.40659569550936947</c:v>
                </c:pt>
                <c:pt idx="60">
                  <c:v>-0.40164653864164462</c:v>
                </c:pt>
                <c:pt idx="61">
                  <c:v>-0.39669738177391967</c:v>
                </c:pt>
                <c:pt idx="62">
                  <c:v>-0.39174822490619471</c:v>
                </c:pt>
                <c:pt idx="63">
                  <c:v>-0.38679906803846986</c:v>
                </c:pt>
                <c:pt idx="64">
                  <c:v>-0.38184991117074496</c:v>
                </c:pt>
                <c:pt idx="65">
                  <c:v>-0.37690075430302</c:v>
                </c:pt>
                <c:pt idx="66">
                  <c:v>-0.3719515974352951</c:v>
                </c:pt>
                <c:pt idx="67">
                  <c:v>-0.36700244056757014</c:v>
                </c:pt>
                <c:pt idx="68">
                  <c:v>-0.36205328369984524</c:v>
                </c:pt>
                <c:pt idx="69">
                  <c:v>-0.35710412683212034</c:v>
                </c:pt>
                <c:pt idx="70">
                  <c:v>-0.35215496996439538</c:v>
                </c:pt>
                <c:pt idx="71">
                  <c:v>-0.34720581309667053</c:v>
                </c:pt>
                <c:pt idx="72">
                  <c:v>-0.34225665622894558</c:v>
                </c:pt>
                <c:pt idx="73">
                  <c:v>-0.33730749936122062</c:v>
                </c:pt>
                <c:pt idx="74">
                  <c:v>-0.33235834249349572</c:v>
                </c:pt>
                <c:pt idx="75">
                  <c:v>-0.32740918562577082</c:v>
                </c:pt>
                <c:pt idx="76">
                  <c:v>-0.32246002875804586</c:v>
                </c:pt>
                <c:pt idx="77">
                  <c:v>-0.31751087189032101</c:v>
                </c:pt>
                <c:pt idx="78">
                  <c:v>-0.31256171502259605</c:v>
                </c:pt>
                <c:pt idx="79">
                  <c:v>-0.30761255815487115</c:v>
                </c:pt>
                <c:pt idx="80">
                  <c:v>-0.30266340128714631</c:v>
                </c:pt>
                <c:pt idx="81">
                  <c:v>-0.29771424441942135</c:v>
                </c:pt>
                <c:pt idx="82">
                  <c:v>-0.29276508755169639</c:v>
                </c:pt>
                <c:pt idx="83">
                  <c:v>-0.28781593068397149</c:v>
                </c:pt>
                <c:pt idx="84">
                  <c:v>-0.28286677381624659</c:v>
                </c:pt>
                <c:pt idx="85">
                  <c:v>-0.27791761694852163</c:v>
                </c:pt>
                <c:pt idx="86">
                  <c:v>-0.27296846008079673</c:v>
                </c:pt>
                <c:pt idx="87">
                  <c:v>-0.26801930321307182</c:v>
                </c:pt>
                <c:pt idx="88">
                  <c:v>-0.26307014634534692</c:v>
                </c:pt>
                <c:pt idx="89">
                  <c:v>-0.25812098947762196</c:v>
                </c:pt>
                <c:pt idx="90">
                  <c:v>-0.25317183260989712</c:v>
                </c:pt>
                <c:pt idx="91">
                  <c:v>-0.24822267574217211</c:v>
                </c:pt>
                <c:pt idx="92">
                  <c:v>-0.24327351887444723</c:v>
                </c:pt>
                <c:pt idx="93">
                  <c:v>-0.23832436200672236</c:v>
                </c:pt>
                <c:pt idx="94">
                  <c:v>-0.2333752051389974</c:v>
                </c:pt>
                <c:pt idx="95">
                  <c:v>-0.2284260482712725</c:v>
                </c:pt>
                <c:pt idx="96">
                  <c:v>-0.22347689140354757</c:v>
                </c:pt>
                <c:pt idx="97">
                  <c:v>-0.21852773453582264</c:v>
                </c:pt>
                <c:pt idx="98">
                  <c:v>-0.21357857766809771</c:v>
                </c:pt>
                <c:pt idx="99">
                  <c:v>-0.20862942080037281</c:v>
                </c:pt>
                <c:pt idx="100">
                  <c:v>-0.20368026393264788</c:v>
                </c:pt>
                <c:pt idx="101">
                  <c:v>-0.19873110706492295</c:v>
                </c:pt>
                <c:pt idx="102">
                  <c:v>-0.19378195019719807</c:v>
                </c:pt>
                <c:pt idx="103">
                  <c:v>-0.18883279332947314</c:v>
                </c:pt>
                <c:pt idx="104">
                  <c:v>-0.18388363646174821</c:v>
                </c:pt>
                <c:pt idx="105">
                  <c:v>-0.17893447959402331</c:v>
                </c:pt>
                <c:pt idx="106">
                  <c:v>-0.17398532272629835</c:v>
                </c:pt>
                <c:pt idx="107">
                  <c:v>-0.16903616585857348</c:v>
                </c:pt>
                <c:pt idx="108">
                  <c:v>-0.16408700899084858</c:v>
                </c:pt>
                <c:pt idx="109">
                  <c:v>-0.15913785212312362</c:v>
                </c:pt>
                <c:pt idx="110">
                  <c:v>-0.15418869525539869</c:v>
                </c:pt>
                <c:pt idx="111">
                  <c:v>-0.14923953838767381</c:v>
                </c:pt>
                <c:pt idx="112">
                  <c:v>-0.14429038151994886</c:v>
                </c:pt>
                <c:pt idx="113">
                  <c:v>-0.13934122465222396</c:v>
                </c:pt>
                <c:pt idx="114">
                  <c:v>-0.13439206778449903</c:v>
                </c:pt>
                <c:pt idx="115">
                  <c:v>-0.12944291091677412</c:v>
                </c:pt>
                <c:pt idx="116">
                  <c:v>-0.12449375404904922</c:v>
                </c:pt>
                <c:pt idx="117">
                  <c:v>-0.11954459718132429</c:v>
                </c:pt>
                <c:pt idx="118">
                  <c:v>-0.11459544031359936</c:v>
                </c:pt>
                <c:pt idx="119">
                  <c:v>-0.10964628344587445</c:v>
                </c:pt>
                <c:pt idx="120">
                  <c:v>-0.10469712657814953</c:v>
                </c:pt>
                <c:pt idx="121">
                  <c:v>-9.9747969710424628E-2</c:v>
                </c:pt>
                <c:pt idx="122">
                  <c:v>-9.4798812842699698E-2</c:v>
                </c:pt>
                <c:pt idx="123">
                  <c:v>-8.9849655974974782E-2</c:v>
                </c:pt>
                <c:pt idx="124">
                  <c:v>-8.4900499107249866E-2</c:v>
                </c:pt>
                <c:pt idx="125">
                  <c:v>-7.995134223952495E-2</c:v>
                </c:pt>
                <c:pt idx="126">
                  <c:v>-7.5002185371800034E-2</c:v>
                </c:pt>
                <c:pt idx="127">
                  <c:v>-7.0053028504075118E-2</c:v>
                </c:pt>
                <c:pt idx="128">
                  <c:v>-6.5103871636350202E-2</c:v>
                </c:pt>
                <c:pt idx="129">
                  <c:v>-6.0154714768625273E-2</c:v>
                </c:pt>
                <c:pt idx="130">
                  <c:v>-5.5205557900900364E-2</c:v>
                </c:pt>
                <c:pt idx="131">
                  <c:v>-5.0256401033175441E-2</c:v>
                </c:pt>
                <c:pt idx="132">
                  <c:v>-4.5307244165450525E-2</c:v>
                </c:pt>
                <c:pt idx="133">
                  <c:v>-4.0358087297725609E-2</c:v>
                </c:pt>
                <c:pt idx="134">
                  <c:v>-3.5408930430000686E-2</c:v>
                </c:pt>
                <c:pt idx="135">
                  <c:v>-3.0459773562275777E-2</c:v>
                </c:pt>
                <c:pt idx="136">
                  <c:v>-2.5510616694550854E-2</c:v>
                </c:pt>
                <c:pt idx="137">
                  <c:v>-2.0561459826825938E-2</c:v>
                </c:pt>
                <c:pt idx="138">
                  <c:v>-1.5612302959101021E-2</c:v>
                </c:pt>
                <c:pt idx="139">
                  <c:v>-1.0663146091376105E-2</c:v>
                </c:pt>
                <c:pt idx="140">
                  <c:v>-5.7139892236511853E-3</c:v>
                </c:pt>
                <c:pt idx="141">
                  <c:v>-7.6483235592626764E-4</c:v>
                </c:pt>
                <c:pt idx="142">
                  <c:v>4.1843245117986518E-3</c:v>
                </c:pt>
                <c:pt idx="143">
                  <c:v>9.1334813795235711E-3</c:v>
                </c:pt>
                <c:pt idx="144">
                  <c:v>1.4082638247248487E-2</c:v>
                </c:pt>
                <c:pt idx="145">
                  <c:v>1.9031795114973403E-2</c:v>
                </c:pt>
                <c:pt idx="146">
                  <c:v>2.3980951982698319E-2</c:v>
                </c:pt>
                <c:pt idx="147">
                  <c:v>2.8930108850423235E-2</c:v>
                </c:pt>
                <c:pt idx="148">
                  <c:v>3.3879265718148151E-2</c:v>
                </c:pt>
                <c:pt idx="149">
                  <c:v>3.8828422585873074E-2</c:v>
                </c:pt>
                <c:pt idx="150">
                  <c:v>4.377757945359799E-2</c:v>
                </c:pt>
                <c:pt idx="151">
                  <c:v>4.8726736321322905E-2</c:v>
                </c:pt>
                <c:pt idx="152">
                  <c:v>5.3675893189047828E-2</c:v>
                </c:pt>
                <c:pt idx="153">
                  <c:v>5.8625050056772723E-2</c:v>
                </c:pt>
                <c:pt idx="154">
                  <c:v>6.3574206924497653E-2</c:v>
                </c:pt>
                <c:pt idx="155">
                  <c:v>6.8523363792222583E-2</c:v>
                </c:pt>
                <c:pt idx="156">
                  <c:v>7.3472520659947485E-2</c:v>
                </c:pt>
                <c:pt idx="157">
                  <c:v>7.8421677527672415E-2</c:v>
                </c:pt>
                <c:pt idx="158">
                  <c:v>8.3370834395397317E-2</c:v>
                </c:pt>
                <c:pt idx="159">
                  <c:v>8.8319991263122247E-2</c:v>
                </c:pt>
                <c:pt idx="160">
                  <c:v>9.3269148130847176E-2</c:v>
                </c:pt>
                <c:pt idx="161">
                  <c:v>9.8218304998572106E-2</c:v>
                </c:pt>
                <c:pt idx="162">
                  <c:v>0.10316746186629708</c:v>
                </c:pt>
                <c:pt idx="163">
                  <c:v>0.10811661873402201</c:v>
                </c:pt>
                <c:pt idx="164">
                  <c:v>0.11306577560174694</c:v>
                </c:pt>
                <c:pt idx="165">
                  <c:v>0.11801493246947188</c:v>
                </c:pt>
                <c:pt idx="166">
                  <c:v>0.12296408933719681</c:v>
                </c:pt>
                <c:pt idx="167">
                  <c:v>0.12791324620492178</c:v>
                </c:pt>
                <c:pt idx="168">
                  <c:v>0.13286240307264668</c:v>
                </c:pt>
                <c:pt idx="169">
                  <c:v>0.13781155994037161</c:v>
                </c:pt>
                <c:pt idx="170">
                  <c:v>0.1427607168080966</c:v>
                </c:pt>
                <c:pt idx="171">
                  <c:v>0.1477098736758215</c:v>
                </c:pt>
                <c:pt idx="172">
                  <c:v>0.15265903054354649</c:v>
                </c:pt>
                <c:pt idx="173">
                  <c:v>0.15760818741127139</c:v>
                </c:pt>
                <c:pt idx="174">
                  <c:v>0.16255734427899632</c:v>
                </c:pt>
                <c:pt idx="175">
                  <c:v>0.16750650114672128</c:v>
                </c:pt>
                <c:pt idx="176">
                  <c:v>0.17245565801444621</c:v>
                </c:pt>
                <c:pt idx="177">
                  <c:v>0.17740481488217116</c:v>
                </c:pt>
                <c:pt idx="178">
                  <c:v>0.18235397174989612</c:v>
                </c:pt>
                <c:pt idx="179">
                  <c:v>0.18730312861762102</c:v>
                </c:pt>
                <c:pt idx="180">
                  <c:v>0.19225228548534595</c:v>
                </c:pt>
                <c:pt idx="181">
                  <c:v>0.19720144235307091</c:v>
                </c:pt>
                <c:pt idx="182">
                  <c:v>0.20215059922079587</c:v>
                </c:pt>
                <c:pt idx="183">
                  <c:v>0.20709975608852085</c:v>
                </c:pt>
                <c:pt idx="184">
                  <c:v>0.21204891295624567</c:v>
                </c:pt>
                <c:pt idx="185">
                  <c:v>0.21699806982397069</c:v>
                </c:pt>
                <c:pt idx="186">
                  <c:v>0.22194722669169567</c:v>
                </c:pt>
                <c:pt idx="187">
                  <c:v>0.22689638355942054</c:v>
                </c:pt>
                <c:pt idx="188">
                  <c:v>0.23184554042714547</c:v>
                </c:pt>
                <c:pt idx="189">
                  <c:v>0.2367946972948704</c:v>
                </c:pt>
                <c:pt idx="190">
                  <c:v>0.24174385416259536</c:v>
                </c:pt>
                <c:pt idx="191">
                  <c:v>0.24669301103032029</c:v>
                </c:pt>
                <c:pt idx="192">
                  <c:v>0.25164216789804522</c:v>
                </c:pt>
                <c:pt idx="193">
                  <c:v>0.25659132476577018</c:v>
                </c:pt>
                <c:pt idx="194">
                  <c:v>0.26154048163349508</c:v>
                </c:pt>
                <c:pt idx="195">
                  <c:v>0.26648963850122004</c:v>
                </c:pt>
                <c:pt idx="196">
                  <c:v>0.271438795368945</c:v>
                </c:pt>
                <c:pt idx="197">
                  <c:v>0.2763879522366699</c:v>
                </c:pt>
                <c:pt idx="198">
                  <c:v>0.2813371091043948</c:v>
                </c:pt>
                <c:pt idx="199">
                  <c:v>0.28628626597211981</c:v>
                </c:pt>
                <c:pt idx="200">
                  <c:v>0.29123542283984466</c:v>
                </c:pt>
                <c:pt idx="201">
                  <c:v>0.29618457970756967</c:v>
                </c:pt>
                <c:pt idx="202">
                  <c:v>0.30113373657529457</c:v>
                </c:pt>
                <c:pt idx="203">
                  <c:v>0.30608289344301953</c:v>
                </c:pt>
                <c:pt idx="204">
                  <c:v>0.31103205031074443</c:v>
                </c:pt>
                <c:pt idx="205">
                  <c:v>0.31598120717846939</c:v>
                </c:pt>
                <c:pt idx="206">
                  <c:v>0.32093036404619435</c:v>
                </c:pt>
                <c:pt idx="207">
                  <c:v>0.3258795209139192</c:v>
                </c:pt>
                <c:pt idx="208">
                  <c:v>0.33082867778164415</c:v>
                </c:pt>
                <c:pt idx="209">
                  <c:v>0.33577783464936917</c:v>
                </c:pt>
                <c:pt idx="210">
                  <c:v>0.34072699151709407</c:v>
                </c:pt>
                <c:pt idx="211">
                  <c:v>0.34567614838481903</c:v>
                </c:pt>
                <c:pt idx="212">
                  <c:v>0.35062530525254398</c:v>
                </c:pt>
                <c:pt idx="213">
                  <c:v>0.35557446212026894</c:v>
                </c:pt>
                <c:pt idx="214">
                  <c:v>0.36052361898799379</c:v>
                </c:pt>
                <c:pt idx="215">
                  <c:v>0.3654727758557188</c:v>
                </c:pt>
                <c:pt idx="216">
                  <c:v>0.3704219327234437</c:v>
                </c:pt>
                <c:pt idx="217">
                  <c:v>0.37537108959116866</c:v>
                </c:pt>
                <c:pt idx="218">
                  <c:v>0.38032024645889351</c:v>
                </c:pt>
                <c:pt idx="219">
                  <c:v>0.38526940332661852</c:v>
                </c:pt>
                <c:pt idx="220">
                  <c:v>0.39021856019434337</c:v>
                </c:pt>
                <c:pt idx="221">
                  <c:v>0.39516771706206838</c:v>
                </c:pt>
                <c:pt idx="222">
                  <c:v>0.40011687392979339</c:v>
                </c:pt>
                <c:pt idx="223">
                  <c:v>0.40506603079751829</c:v>
                </c:pt>
                <c:pt idx="224">
                  <c:v>0.4100151876652432</c:v>
                </c:pt>
                <c:pt idx="225">
                  <c:v>0.4149643445329681</c:v>
                </c:pt>
                <c:pt idx="226">
                  <c:v>0.41991350140069311</c:v>
                </c:pt>
                <c:pt idx="227">
                  <c:v>0.42486265826841807</c:v>
                </c:pt>
                <c:pt idx="228">
                  <c:v>0.42981181513614297</c:v>
                </c:pt>
                <c:pt idx="229">
                  <c:v>0.43476097200386787</c:v>
                </c:pt>
                <c:pt idx="230">
                  <c:v>0.43971012887159294</c:v>
                </c:pt>
                <c:pt idx="231">
                  <c:v>0.44465928573931779</c:v>
                </c:pt>
                <c:pt idx="232">
                  <c:v>0.44960844260704269</c:v>
                </c:pt>
                <c:pt idx="233">
                  <c:v>0.45455759947476765</c:v>
                </c:pt>
                <c:pt idx="234">
                  <c:v>0.4595067563424925</c:v>
                </c:pt>
                <c:pt idx="235">
                  <c:v>0.46445591321021751</c:v>
                </c:pt>
                <c:pt idx="236">
                  <c:v>0.46940507007794258</c:v>
                </c:pt>
                <c:pt idx="237">
                  <c:v>0.47435422694566748</c:v>
                </c:pt>
                <c:pt idx="238">
                  <c:v>0.47930338381339233</c:v>
                </c:pt>
                <c:pt idx="239">
                  <c:v>0.48425254068111728</c:v>
                </c:pt>
                <c:pt idx="240">
                  <c:v>0.48920169754884218</c:v>
                </c:pt>
                <c:pt idx="241">
                  <c:v>0.49415085441656714</c:v>
                </c:pt>
                <c:pt idx="242">
                  <c:v>0.49910001128429204</c:v>
                </c:pt>
                <c:pt idx="243">
                  <c:v>0.50404916815201706</c:v>
                </c:pt>
                <c:pt idx="244">
                  <c:v>0.50899832501974196</c:v>
                </c:pt>
                <c:pt idx="245">
                  <c:v>0.51394748188746675</c:v>
                </c:pt>
                <c:pt idx="246">
                  <c:v>0.51889663875519176</c:v>
                </c:pt>
                <c:pt idx="247">
                  <c:v>0.52384579562291667</c:v>
                </c:pt>
                <c:pt idx="248">
                  <c:v>0.52879495249064157</c:v>
                </c:pt>
                <c:pt idx="249">
                  <c:v>0.53374410935836658</c:v>
                </c:pt>
                <c:pt idx="250">
                  <c:v>0.53869326622609148</c:v>
                </c:pt>
                <c:pt idx="251">
                  <c:v>0.54364242309381627</c:v>
                </c:pt>
                <c:pt idx="252">
                  <c:v>0.54859157996154118</c:v>
                </c:pt>
                <c:pt idx="253">
                  <c:v>0.55354073682926619</c:v>
                </c:pt>
                <c:pt idx="254">
                  <c:v>0.55848989369699098</c:v>
                </c:pt>
                <c:pt idx="255">
                  <c:v>0.56343905056471599</c:v>
                </c:pt>
                <c:pt idx="256">
                  <c:v>0.56838820743244101</c:v>
                </c:pt>
                <c:pt idx="257">
                  <c:v>0.5733373643001658</c:v>
                </c:pt>
                <c:pt idx="258">
                  <c:v>0.5782865211678907</c:v>
                </c:pt>
                <c:pt idx="259">
                  <c:v>0.58323567803561571</c:v>
                </c:pt>
                <c:pt idx="260">
                  <c:v>0.5881848349033405</c:v>
                </c:pt>
                <c:pt idx="261">
                  <c:v>0.59313399177106552</c:v>
                </c:pt>
                <c:pt idx="262">
                  <c:v>0.59808314863879042</c:v>
                </c:pt>
                <c:pt idx="263">
                  <c:v>0.60303230550651543</c:v>
                </c:pt>
                <c:pt idx="264">
                  <c:v>0.60798146237424022</c:v>
                </c:pt>
                <c:pt idx="265">
                  <c:v>0.61293061924196512</c:v>
                </c:pt>
                <c:pt idx="266">
                  <c:v>0.61787977610969003</c:v>
                </c:pt>
                <c:pt idx="267">
                  <c:v>0.62282893297741504</c:v>
                </c:pt>
                <c:pt idx="268">
                  <c:v>0.62777808984513994</c:v>
                </c:pt>
                <c:pt idx="269">
                  <c:v>0.63272724671286484</c:v>
                </c:pt>
                <c:pt idx="270">
                  <c:v>0.63767640358058975</c:v>
                </c:pt>
                <c:pt idx="271">
                  <c:v>0.64262556044831465</c:v>
                </c:pt>
                <c:pt idx="272">
                  <c:v>0.64757471731603955</c:v>
                </c:pt>
                <c:pt idx="273">
                  <c:v>0.65252387418376456</c:v>
                </c:pt>
                <c:pt idx="274">
                  <c:v>0.65747303105148946</c:v>
                </c:pt>
                <c:pt idx="275">
                  <c:v>0.66242218791921437</c:v>
                </c:pt>
                <c:pt idx="276">
                  <c:v>0.66737134478693927</c:v>
                </c:pt>
                <c:pt idx="277">
                  <c:v>0.67232050165466417</c:v>
                </c:pt>
                <c:pt idx="278">
                  <c:v>0.67726965852238907</c:v>
                </c:pt>
                <c:pt idx="279">
                  <c:v>0.68221881539011409</c:v>
                </c:pt>
                <c:pt idx="280">
                  <c:v>0.68716797225783888</c:v>
                </c:pt>
                <c:pt idx="281">
                  <c:v>0.69211712912556389</c:v>
                </c:pt>
                <c:pt idx="282">
                  <c:v>0.69706628599328879</c:v>
                </c:pt>
                <c:pt idx="283">
                  <c:v>0.70201544286101369</c:v>
                </c:pt>
                <c:pt idx="284">
                  <c:v>0.7069645997287386</c:v>
                </c:pt>
                <c:pt idx="285">
                  <c:v>0.7119137565964635</c:v>
                </c:pt>
                <c:pt idx="286">
                  <c:v>0.7168629134641884</c:v>
                </c:pt>
                <c:pt idx="287">
                  <c:v>0.7218120703319133</c:v>
                </c:pt>
                <c:pt idx="288">
                  <c:v>0.72676122719963843</c:v>
                </c:pt>
                <c:pt idx="289">
                  <c:v>0.73171038406736333</c:v>
                </c:pt>
                <c:pt idx="290">
                  <c:v>0.73665954093508812</c:v>
                </c:pt>
                <c:pt idx="291">
                  <c:v>0.74160869780281302</c:v>
                </c:pt>
                <c:pt idx="292">
                  <c:v>0.74655785467053792</c:v>
                </c:pt>
                <c:pt idx="293">
                  <c:v>0.75150701153826283</c:v>
                </c:pt>
                <c:pt idx="294">
                  <c:v>0.75645616840598784</c:v>
                </c:pt>
                <c:pt idx="295">
                  <c:v>0.76140532527371274</c:v>
                </c:pt>
                <c:pt idx="296">
                  <c:v>0.76635448214143764</c:v>
                </c:pt>
                <c:pt idx="297">
                  <c:v>0.77130363900916243</c:v>
                </c:pt>
                <c:pt idx="298">
                  <c:v>0.77625279587688734</c:v>
                </c:pt>
                <c:pt idx="299">
                  <c:v>0.78120195274461246</c:v>
                </c:pt>
                <c:pt idx="300">
                  <c:v>0.78615110961233725</c:v>
                </c:pt>
              </c:numCache>
            </c:numRef>
          </c:yVal>
          <c:smooth val="1"/>
        </c:ser>
        <c:axId val="69042176"/>
        <c:axId val="69044480"/>
      </c:scatterChart>
      <c:valAx>
        <c:axId val="69042176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Cx</a:t>
                </a:r>
              </a:p>
            </c:rich>
          </c:tx>
          <c:layout/>
          <c:spPr>
            <a:noFill/>
            <a:ln w="25400">
              <a:noFill/>
            </a:ln>
          </c:spPr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69044480"/>
        <c:crosses val="autoZero"/>
        <c:crossBetween val="midCat"/>
      </c:valAx>
      <c:valAx>
        <c:axId val="69044480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de-DE"/>
                  <a:t>Cz</a:t>
                </a:r>
              </a:p>
            </c:rich>
          </c:tx>
          <c:layout/>
          <c:spPr>
            <a:noFill/>
            <a:ln w="25400">
              <a:noFill/>
            </a:ln>
          </c:spPr>
        </c:title>
        <c:numFmt formatCode="General" sourceLinked="1"/>
        <c:tickLblPos val="nextTo"/>
        <c:crossAx val="69042176"/>
        <c:crosses val="autoZero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66905444126074565"/>
          <c:y val="0.79115853658536583"/>
          <c:w val="0.17048710601719275"/>
          <c:h val="3.6585365853658611E-2"/>
        </c:manualLayout>
      </c:layout>
      <c:spPr>
        <a:solidFill>
          <a:schemeClr val="bg1"/>
        </a:solidFill>
        <a:ln>
          <a:solidFill>
            <a:schemeClr val="tx1">
              <a:lumMod val="50000"/>
              <a:lumOff val="50000"/>
            </a:schemeClr>
          </a:solidFill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view3D>
      <c:rotX val="40"/>
      <c:rotY val="40"/>
      <c:depthPercent val="100"/>
      <c:perspective val="0"/>
    </c:view3D>
    <c:floor>
      <c:spPr>
        <a:noFill/>
        <a:ln w="9525">
          <a:noFill/>
        </a:ln>
      </c:spPr>
    </c:floor>
    <c:sideWall>
      <c:spPr>
        <a:noFill/>
        <a:ln w="25400">
          <a:noFill/>
        </a:ln>
      </c:spPr>
    </c:sideWall>
    <c:backWall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0.10597340621678494"/>
          <c:y val="2.0175438596491232E-2"/>
          <c:w val="0.79773588841254661"/>
          <c:h val="0.8686152025718602"/>
        </c:manualLayout>
      </c:layout>
      <c:surface3DChart>
        <c:ser>
          <c:idx val="1"/>
          <c:order val="0"/>
          <c:tx>
            <c:strRef>
              <c:f>[1]Montée!$R$8</c:f>
              <c:strCache>
                <c:ptCount val="1"/>
                <c:pt idx="0">
                  <c:v>0,05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[1]Montée!$R$9:$R$83</c:f>
              <c:numCache>
                <c:formatCode>General</c:formatCode>
                <c:ptCount val="75"/>
                <c:pt idx="0">
                  <c:v>2.4578628823666189</c:v>
                </c:pt>
                <c:pt idx="1">
                  <c:v>2.2823537180784186</c:v>
                </c:pt>
                <c:pt idx="2">
                  <c:v>2.1079511078457331</c:v>
                </c:pt>
                <c:pt idx="3">
                  <c:v>1.9345389264331683</c:v>
                </c:pt>
                <c:pt idx="4">
                  <c:v>1.7619985830734919</c:v>
                </c:pt>
                <c:pt idx="5">
                  <c:v>1.5902088621410919</c:v>
                </c:pt>
                <c:pt idx="6">
                  <c:v>1.4190457548554862</c:v>
                </c:pt>
                <c:pt idx="7">
                  <c:v>1.2483822814423156</c:v>
                </c:pt>
                <c:pt idx="8">
                  <c:v>1.0780883031394008</c:v>
                </c:pt>
                <c:pt idx="9">
                  <c:v>0.90803032339191914</c:v>
                </c:pt>
                <c:pt idx="10">
                  <c:v>0.73807127753434942</c:v>
                </c:pt>
                <c:pt idx="11">
                  <c:v>0.56807031020666043</c:v>
                </c:pt>
                <c:pt idx="12">
                  <c:v>0.39788253969792509</c:v>
                </c:pt>
                <c:pt idx="13">
                  <c:v>0.22735880835251576</c:v>
                </c:pt>
                <c:pt idx="14">
                  <c:v>5.6345418110676171E-2</c:v>
                </c:pt>
                <c:pt idx="15">
                  <c:v>-0.11531614981227545</c:v>
                </c:pt>
                <c:pt idx="16">
                  <c:v>-0.28778953217755543</c:v>
                </c:pt>
                <c:pt idx="17">
                  <c:v>-0.46124379905396262</c:v>
                </c:pt>
                <c:pt idx="18">
                  <c:v>-0.63585378846268537</c:v>
                </c:pt>
                <c:pt idx="19">
                  <c:v>-0.81180046166293351</c:v>
                </c:pt>
                <c:pt idx="20">
                  <c:v>-0.98927128050578572</c:v>
                </c:pt>
                <c:pt idx="21">
                  <c:v>-1.16846060839221</c:v>
                </c:pt>
                <c:pt idx="22">
                  <c:v>-1.3495701364887207</c:v>
                </c:pt>
                <c:pt idx="23">
                  <c:v>-1.5328093369818796</c:v>
                </c:pt>
                <c:pt idx="24">
                  <c:v>-1.7183959452906667</c:v>
                </c:pt>
                <c:pt idx="25">
                  <c:v>-1.9065564733058524</c:v>
                </c:pt>
                <c:pt idx="26">
                  <c:v>-2.0975267558881656</c:v>
                </c:pt>
                <c:pt idx="27">
                  <c:v>-2.2915525330336113</c:v>
                </c:pt>
                <c:pt idx="28">
                  <c:v>-2.4888900703062529</c:v>
                </c:pt>
                <c:pt idx="29">
                  <c:v>-2.6898068203474903</c:v>
                </c:pt>
                <c:pt idx="30">
                  <c:v>-2.8945821284975963</c:v>
                </c:pt>
                <c:pt idx="31">
                  <c:v>-3.1035079858123895</c:v>
                </c:pt>
                <c:pt idx="32">
                  <c:v>-3.3168898330267869</c:v>
                </c:pt>
                <c:pt idx="33">
                  <c:v>-3.5350474193098358</c:v>
                </c:pt>
                <c:pt idx="34">
                  <c:v>-3.7583157199753181</c:v>
                </c:pt>
                <c:pt idx="35">
                  <c:v>-3.9870459176603914</c:v>
                </c:pt>
                <c:pt idx="36">
                  <c:v>-4.2216064518647469</c:v>
                </c:pt>
                <c:pt idx="37">
                  <c:v>-4.4623841421583172</c:v>
                </c:pt>
                <c:pt idx="38">
                  <c:v>-4.7097853908189879</c:v>
                </c:pt>
                <c:pt idx="39">
                  <c:v>-4.9642374711581514</c:v>
                </c:pt>
                <c:pt idx="40">
                  <c:v>-5.2261899083346375</c:v>
                </c:pt>
                <c:pt idx="41">
                  <c:v>-5.4961159600519194</c:v>
                </c:pt>
                <c:pt idx="42">
                  <c:v>-5.7745142051847074</c:v>
                </c:pt>
                <c:pt idx="43">
                  <c:v>-6.0619102490946011</c:v>
                </c:pt>
                <c:pt idx="44">
                  <c:v>-6.3588601858434348</c:v>
                </c:pt>
                <c:pt idx="45">
                  <c:v>-6.6978429077276811</c:v>
                </c:pt>
                <c:pt idx="46">
                  <c:v>-7.0469399922058793</c:v>
                </c:pt>
                <c:pt idx="47">
                  <c:v>-7.4067025025614956</c:v>
                </c:pt>
                <c:pt idx="48">
                  <c:v>-7.7776975726500508</c:v>
                </c:pt>
                <c:pt idx="49">
                  <c:v>-8.1605093032777649</c:v>
                </c:pt>
                <c:pt idx="50">
                  <c:v>-8.555739684084271</c:v>
                </c:pt>
                <c:pt idx="51">
                  <c:v>-8.9640095423883164</c:v>
                </c:pt>
                <c:pt idx="52">
                  <c:v>-9.3859595204959714</c:v>
                </c:pt>
                <c:pt idx="53">
                  <c:v>-9.8222510830135992</c:v>
                </c:pt>
                <c:pt idx="54">
                  <c:v>-10.273567555752962</c:v>
                </c:pt>
                <c:pt idx="55">
                  <c:v>-10.740615197863834</c:v>
                </c:pt>
                <c:pt idx="56">
                  <c:v>-11.224124308879563</c:v>
                </c:pt>
                <c:pt idx="57">
                  <c:v>-11.724850372414164</c:v>
                </c:pt>
                <c:pt idx="58">
                  <c:v>-12.243575238305203</c:v>
                </c:pt>
                <c:pt idx="59">
                  <c:v>-12.781108345055271</c:v>
                </c:pt>
                <c:pt idx="60">
                  <c:v>-13.338287984486238</c:v>
                </c:pt>
                <c:pt idx="61">
                  <c:v>-13.915982610585081</c:v>
                </c:pt>
                <c:pt idx="62">
                  <c:v>-14.515092194587425</c:v>
                </c:pt>
                <c:pt idx="63">
                  <c:v>-15.13654962841591</c:v>
                </c:pt>
                <c:pt idx="64">
                  <c:v>-15.781322178664364</c:v>
                </c:pt>
                <c:pt idx="65">
                  <c:v>-16.450412993396373</c:v>
                </c:pt>
                <c:pt idx="66">
                  <c:v>-17.144862664107933</c:v>
                </c:pt>
                <c:pt idx="67">
                  <c:v>-17.865750845288392</c:v>
                </c:pt>
                <c:pt idx="68">
                  <c:v>-18.614197934102471</c:v>
                </c:pt>
                <c:pt idx="69">
                  <c:v>-19.39136681280884</c:v>
                </c:pt>
                <c:pt idx="70">
                  <c:v>-20.19846465662663</c:v>
                </c:pt>
                <c:pt idx="71">
                  <c:v>-21.036744809862842</c:v>
                </c:pt>
                <c:pt idx="72">
                  <c:v>-21.90750873321781</c:v>
                </c:pt>
                <c:pt idx="73">
                  <c:v>-22.812108025296354</c:v>
                </c:pt>
                <c:pt idx="74">
                  <c:v>-23.751946521466067</c:v>
                </c:pt>
              </c:numCache>
            </c:numRef>
          </c:val>
        </c:ser>
        <c:ser>
          <c:idx val="2"/>
          <c:order val="1"/>
          <c:tx>
            <c:strRef>
              <c:f>[1]Montée!$S$8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[1]Montée!$S$9:$S$83</c:f>
              <c:numCache>
                <c:formatCode>General</c:formatCode>
                <c:ptCount val="75"/>
                <c:pt idx="0">
                  <c:v>7.1974915487302029</c:v>
                </c:pt>
                <c:pt idx="1">
                  <c:v>6.9413161388499036</c:v>
                </c:pt>
                <c:pt idx="2">
                  <c:v>6.6895238022579182</c:v>
                </c:pt>
                <c:pt idx="3">
                  <c:v>6.4419906631143409</c:v>
                </c:pt>
                <c:pt idx="4">
                  <c:v>6.1985923721687302</c:v>
                </c:pt>
                <c:pt idx="5">
                  <c:v>5.9592040227252214</c:v>
                </c:pt>
                <c:pt idx="6">
                  <c:v>5.7237000621211003</c:v>
                </c:pt>
                <c:pt idx="7">
                  <c:v>5.4919541984324471</c:v>
                </c:pt>
                <c:pt idx="8">
                  <c:v>5.2638393021007666</c:v>
                </c:pt>
                <c:pt idx="9">
                  <c:v>5.0392273021525469</c:v>
                </c:pt>
                <c:pt idx="10">
                  <c:v>4.817989076660643</c:v>
                </c:pt>
                <c:pt idx="11">
                  <c:v>4.5999943370712177</c:v>
                </c:pt>
                <c:pt idx="12">
                  <c:v>4.3851115059928354</c:v>
                </c:pt>
                <c:pt idx="13">
                  <c:v>4.1732075880153374</c:v>
                </c:pt>
                <c:pt idx="14">
                  <c:v>3.96414803309432</c:v>
                </c:pt>
                <c:pt idx="15">
                  <c:v>3.7577965920034684</c:v>
                </c:pt>
                <c:pt idx="16">
                  <c:v>3.5540151633199759</c:v>
                </c:pt>
                <c:pt idx="17">
                  <c:v>3.3526636313687241</c:v>
                </c:pt>
                <c:pt idx="18">
                  <c:v>3.1535996945081486</c:v>
                </c:pt>
                <c:pt idx="19">
                  <c:v>2.9566786830942151</c:v>
                </c:pt>
                <c:pt idx="20">
                  <c:v>2.7617533664088474</c:v>
                </c:pt>
                <c:pt idx="21">
                  <c:v>2.5686737477848118</c:v>
                </c:pt>
                <c:pt idx="22">
                  <c:v>2.3772868471004296</c:v>
                </c:pt>
                <c:pt idx="23">
                  <c:v>2.1874364697533899</c:v>
                </c:pt>
                <c:pt idx="24">
                  <c:v>1.9989629611542896</c:v>
                </c:pt>
                <c:pt idx="25">
                  <c:v>1.811702945705278</c:v>
                </c:pt>
                <c:pt idx="26">
                  <c:v>1.6254890491479563</c:v>
                </c:pt>
                <c:pt idx="27">
                  <c:v>1.4401496030763523</c:v>
                </c:pt>
                <c:pt idx="28">
                  <c:v>1.2555083303148429</c:v>
                </c:pt>
                <c:pt idx="29">
                  <c:v>1.0713840097565042</c:v>
                </c:pt>
                <c:pt idx="30">
                  <c:v>0.88759011914405406</c:v>
                </c:pt>
                <c:pt idx="31">
                  <c:v>0.70393445415194078</c:v>
                </c:pt>
                <c:pt idx="32">
                  <c:v>0.52021872199372243</c:v>
                </c:pt>
                <c:pt idx="33">
                  <c:v>0.33623810763246498</c:v>
                </c:pt>
                <c:pt idx="34">
                  <c:v>0.15178081051213876</c:v>
                </c:pt>
                <c:pt idx="35">
                  <c:v>-3.3372450446243818E-2</c:v>
                </c:pt>
                <c:pt idx="36">
                  <c:v>-0.21944896602991681</c:v>
                </c:pt>
                <c:pt idx="37">
                  <c:v>-0.40668460275511009</c:v>
                </c:pt>
                <c:pt idx="38">
                  <c:v>-0.5953244086039633</c:v>
                </c:pt>
                <c:pt idx="39">
                  <c:v>-0.78562326160650464</c:v>
                </c:pt>
                <c:pt idx="40">
                  <c:v>-0.97784656466791864</c:v>
                </c:pt>
                <c:pt idx="41">
                  <c:v>-1.1722709903385811</c:v>
                </c:pt>
                <c:pt idx="42">
                  <c:v>-1.3691852795498582</c:v>
                </c:pt>
                <c:pt idx="43">
                  <c:v>-1.5688910986955029</c:v>
                </c:pt>
                <c:pt idx="44">
                  <c:v>-1.7717050676888519</c:v>
                </c:pt>
                <c:pt idx="45">
                  <c:v>-1.9998815297253287</c:v>
                </c:pt>
                <c:pt idx="46">
                  <c:v>-2.2306690705308458</c:v>
                </c:pt>
                <c:pt idx="47">
                  <c:v>-2.464445166055476</c:v>
                </c:pt>
                <c:pt idx="48">
                  <c:v>-2.7015910794110036</c:v>
                </c:pt>
                <c:pt idx="49">
                  <c:v>-2.9424924860635651</c:v>
                </c:pt>
                <c:pt idx="50">
                  <c:v>-3.1875401044040368</c:v>
                </c:pt>
                <c:pt idx="51">
                  <c:v>-3.4371303327328486</c:v>
                </c:pt>
                <c:pt idx="52">
                  <c:v>-3.6916658937033704</c:v>
                </c:pt>
                <c:pt idx="53">
                  <c:v>-3.9515564872771307</c:v>
                </c:pt>
                <c:pt idx="54">
                  <c:v>-4.2172194532549518</c:v>
                </c:pt>
                <c:pt idx="55">
                  <c:v>-4.4890804444607983</c:v>
                </c:pt>
                <c:pt idx="56">
                  <c:v>-4.7675741116693899</c:v>
                </c:pt>
                <c:pt idx="57">
                  <c:v>-5.0531448013848541</c:v>
                </c:pt>
                <c:pt idx="58">
                  <c:v>-5.3462472675956194</c:v>
                </c:pt>
                <c:pt idx="59">
                  <c:v>-5.647347398650524</c:v>
                </c:pt>
                <c:pt idx="60">
                  <c:v>-5.9569229604226868</c:v>
                </c:pt>
                <c:pt idx="61">
                  <c:v>-6.2754643569512982</c:v>
                </c:pt>
                <c:pt idx="62">
                  <c:v>-6.6034754097767525</c:v>
                </c:pt>
                <c:pt idx="63">
                  <c:v>-6.9414741572120793</c:v>
                </c:pt>
                <c:pt idx="64">
                  <c:v>-7.28999367482281</c:v>
                </c:pt>
                <c:pt idx="65">
                  <c:v>-7.6495829184189255</c:v>
                </c:pt>
                <c:pt idx="66">
                  <c:v>-8.0208075908960001</c:v>
                </c:pt>
                <c:pt idx="67">
                  <c:v>-8.4042510342981309</c:v>
                </c:pt>
                <c:pt idx="68">
                  <c:v>-8.800515148513119</c:v>
                </c:pt>
                <c:pt idx="69">
                  <c:v>-9.2102213380504381</c:v>
                </c:pt>
                <c:pt idx="70">
                  <c:v>-9.6340114883945631</c:v>
                </c:pt>
                <c:pt idx="71">
                  <c:v>-10.072548973471331</c:v>
                </c:pt>
                <c:pt idx="72">
                  <c:v>-10.526519695811583</c:v>
                </c:pt>
                <c:pt idx="73">
                  <c:v>-10.996633161046441</c:v>
                </c:pt>
                <c:pt idx="74">
                  <c:v>-11.483623588420315</c:v>
                </c:pt>
              </c:numCache>
            </c:numRef>
          </c:val>
        </c:ser>
        <c:ser>
          <c:idx val="3"/>
          <c:order val="2"/>
          <c:tx>
            <c:strRef>
              <c:f>[1]Montée!$T$8</c:f>
              <c:strCache>
                <c:ptCount val="1"/>
                <c:pt idx="0">
                  <c:v>0,15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[1]Montée!$T$9:$T$83</c:f>
              <c:numCache>
                <c:formatCode>General</c:formatCode>
                <c:ptCount val="75"/>
                <c:pt idx="0">
                  <c:v>10.600289727174065</c:v>
                </c:pt>
                <c:pt idx="1">
                  <c:v>10.267121792993061</c:v>
                </c:pt>
                <c:pt idx="2">
                  <c:v>9.9405252082028674</c:v>
                </c:pt>
                <c:pt idx="3">
                  <c:v>9.6203558416165755</c:v>
                </c:pt>
                <c:pt idx="4">
                  <c:v>9.306469931606884</c:v>
                </c:pt>
                <c:pt idx="5">
                  <c:v>8.9987240265365749</c:v>
                </c:pt>
                <c:pt idx="6">
                  <c:v>8.6969749221925507</c:v>
                </c:pt>
                <c:pt idx="7">
                  <c:v>8.401079596032238</c:v>
                </c:pt>
                <c:pt idx="8">
                  <c:v>8.1108951380385008</c:v>
                </c:pt>
                <c:pt idx="9">
                  <c:v>7.8262786779643019</c:v>
                </c:pt>
                <c:pt idx="10">
                  <c:v>7.5470873087330084</c:v>
                </c:pt>
                <c:pt idx="11">
                  <c:v>7.2731780057435493</c:v>
                </c:pt>
                <c:pt idx="12">
                  <c:v>7.0044075418114629</c:v>
                </c:pt>
                <c:pt idx="13">
                  <c:v>6.7406323974576559</c:v>
                </c:pt>
                <c:pt idx="14">
                  <c:v>6.481708666235293</c:v>
                </c:pt>
                <c:pt idx="15">
                  <c:v>6.2274919547631393</c:v>
                </c:pt>
                <c:pt idx="16">
                  <c:v>5.9778372771087538</c:v>
                </c:pt>
                <c:pt idx="17">
                  <c:v>5.7325989431386857</c:v>
                </c:pt>
                <c:pt idx="18">
                  <c:v>5.4916304404242764</c:v>
                </c:pt>
                <c:pt idx="19">
                  <c:v>5.2547843092607405</c:v>
                </c:pt>
                <c:pt idx="20">
                  <c:v>5.021912010323681</c:v>
                </c:pt>
                <c:pt idx="21">
                  <c:v>4.7928637844511002</c:v>
                </c:pt>
                <c:pt idx="22">
                  <c:v>4.5674885039998507</c:v>
                </c:pt>
                <c:pt idx="23">
                  <c:v>4.345633515182608</c:v>
                </c:pt>
                <c:pt idx="24">
                  <c:v>4.1271444707459111</c:v>
                </c:pt>
                <c:pt idx="25">
                  <c:v>3.9118651522994661</c:v>
                </c:pt>
                <c:pt idx="26">
                  <c:v>3.6996372815528074</c:v>
                </c:pt>
                <c:pt idx="27">
                  <c:v>3.4903003196565754</c:v>
                </c:pt>
                <c:pt idx="28">
                  <c:v>3.2836912537816483</c:v>
                </c:pt>
                <c:pt idx="29">
                  <c:v>3.0796443699997647</c:v>
                </c:pt>
                <c:pt idx="30">
                  <c:v>2.8779910114538021</c:v>
                </c:pt>
                <c:pt idx="31">
                  <c:v>2.67855932072339</c:v>
                </c:pt>
                <c:pt idx="32">
                  <c:v>2.4811739652019376</c:v>
                </c:pt>
                <c:pt idx="33">
                  <c:v>2.2856558442036308</c:v>
                </c:pt>
                <c:pt idx="34">
                  <c:v>2.091821776412349</c:v>
                </c:pt>
                <c:pt idx="35">
                  <c:v>1.8994841661683284</c:v>
                </c:pt>
                <c:pt idx="36">
                  <c:v>1.7084506469618452</c:v>
                </c:pt>
                <c:pt idx="37">
                  <c:v>1.5185237003645264</c:v>
                </c:pt>
                <c:pt idx="38">
                  <c:v>1.3295002484778629</c:v>
                </c:pt>
                <c:pt idx="39">
                  <c:v>1.1411712178129578</c:v>
                </c:pt>
                <c:pt idx="40">
                  <c:v>0.95332107233475805</c:v>
                </c:pt>
                <c:pt idx="41">
                  <c:v>0.76572731320574494</c:v>
                </c:pt>
                <c:pt idx="42">
                  <c:v>0.5781599425471069</c:v>
                </c:pt>
                <c:pt idx="43">
                  <c:v>0.39038088829753326</c:v>
                </c:pt>
                <c:pt idx="44">
                  <c:v>0.20214235987401663</c:v>
                </c:pt>
                <c:pt idx="45">
                  <c:v>-7.8572832091561295E-3</c:v>
                </c:pt>
                <c:pt idx="46">
                  <c:v>-0.21717670033559644</c:v>
                </c:pt>
                <c:pt idx="47">
                  <c:v>-0.42616875828896816</c:v>
                </c:pt>
                <c:pt idx="48">
                  <c:v>-0.63518461850920538</c:v>
                </c:pt>
                <c:pt idx="49">
                  <c:v>-0.84457433061589082</c:v>
                </c:pt>
                <c:pt idx="50">
                  <c:v>-1.0546874221356974</c:v>
                </c:pt>
                <c:pt idx="51">
                  <c:v>-1.2658734854331517</c:v>
                </c:pt>
                <c:pt idx="52">
                  <c:v>-1.478482762836185</c:v>
                </c:pt>
                <c:pt idx="53">
                  <c:v>-1.6928667309416037</c:v>
                </c:pt>
                <c:pt idx="54">
                  <c:v>-1.909378685081069</c:v>
                </c:pt>
                <c:pt idx="55">
                  <c:v>-2.1283743249252955</c:v>
                </c:pt>
                <c:pt idx="56">
                  <c:v>-2.3502123422028705</c:v>
                </c:pt>
                <c:pt idx="57">
                  <c:v>-2.5752550115104764</c:v>
                </c:pt>
                <c:pt idx="58">
                  <c:v>-2.8038687851933171</c:v>
                </c:pt>
                <c:pt idx="59">
                  <c:v>-3.0364248932781805</c:v>
                </c:pt>
                <c:pt idx="60">
                  <c:v>-3.2732999494467885</c:v>
                </c:pt>
                <c:pt idx="61">
                  <c:v>-3.51487656404408</c:v>
                </c:pt>
                <c:pt idx="62">
                  <c:v>-3.7615439651245186</c:v>
                </c:pt>
                <c:pt idx="63">
                  <c:v>-4.0136986285497827</c:v>
                </c:pt>
                <c:pt idx="64">
                  <c:v>-4.2717449181630105</c:v>
                </c:pt>
                <c:pt idx="65">
                  <c:v>-4.5360957370783161</c:v>
                </c:pt>
                <c:pt idx="66">
                  <c:v>-4.8071731911395474</c:v>
                </c:pt>
                <c:pt idx="67">
                  <c:v>-5.085409265619159</c:v>
                </c:pt>
                <c:pt idx="68">
                  <c:v>-5.3712465162467335</c:v>
                </c:pt>
                <c:pt idx="69">
                  <c:v>-5.6651387756772698</c:v>
                </c:pt>
                <c:pt idx="70">
                  <c:v>-5.9675518765313234</c:v>
                </c:pt>
                <c:pt idx="71">
                  <c:v>-6.2789643921634628</c:v>
                </c:pt>
                <c:pt idx="72">
                  <c:v>-6.5998683963410905</c:v>
                </c:pt>
                <c:pt idx="73">
                  <c:v>-6.9307702430437912</c:v>
                </c:pt>
                <c:pt idx="74">
                  <c:v>-7.27219136762284</c:v>
                </c:pt>
              </c:numCache>
            </c:numRef>
          </c:val>
        </c:ser>
        <c:ser>
          <c:idx val="4"/>
          <c:order val="3"/>
          <c:tx>
            <c:strRef>
              <c:f>[1]Montée!$U$8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[1]Montée!$U$9:$U$83</c:f>
              <c:numCache>
                <c:formatCode>General</c:formatCode>
                <c:ptCount val="75"/>
                <c:pt idx="0">
                  <c:v>13.02396619906845</c:v>
                </c:pt>
                <c:pt idx="1">
                  <c:v>12.634391036103723</c:v>
                </c:pt>
                <c:pt idx="2">
                  <c:v>12.252808681962096</c:v>
                </c:pt>
                <c:pt idx="3">
                  <c:v>11.879061406422107</c:v>
                </c:pt>
                <c:pt idx="4">
                  <c:v>11.512992264173834</c:v>
                </c:pt>
                <c:pt idx="5">
                  <c:v>11.154445048254152</c:v>
                </c:pt>
                <c:pt idx="6">
                  <c:v>10.803264241222948</c:v>
                </c:pt>
                <c:pt idx="7">
                  <c:v>10.459294963936854</c:v>
                </c:pt>
                <c:pt idx="8">
                  <c:v>10.122382921767688</c:v>
                </c:pt>
                <c:pt idx="9">
                  <c:v>9.7923743481013972</c:v>
                </c:pt>
                <c:pt idx="10">
                  <c:v>9.4691159449419864</c:v>
                </c:pt>
                <c:pt idx="11">
                  <c:v>9.1524548204323573</c:v>
                </c:pt>
                <c:pt idx="12">
                  <c:v>8.8422384230902367</c:v>
                </c:pt>
                <c:pt idx="13">
                  <c:v>8.5383144725431634</c:v>
                </c:pt>
                <c:pt idx="14">
                  <c:v>8.2405308865301787</c:v>
                </c:pt>
                <c:pt idx="15">
                  <c:v>7.9487357039216633</c:v>
                </c:pt>
                <c:pt idx="16">
                  <c:v>7.6627770034896674</c:v>
                </c:pt>
                <c:pt idx="17">
                  <c:v>7.3825028181416696</c:v>
                </c:pt>
                <c:pt idx="18">
                  <c:v>7.1077610443092611</c:v>
                </c:pt>
                <c:pt idx="19">
                  <c:v>6.8383993461598811</c:v>
                </c:pt>
                <c:pt idx="20">
                  <c:v>6.5742650542747967</c:v>
                </c:pt>
                <c:pt idx="21">
                  <c:v>6.3152050584093278</c:v>
                </c:pt>
                <c:pt idx="22">
                  <c:v>6.0610656939220675</c:v>
                </c:pt>
                <c:pt idx="23">
                  <c:v>5.8116926214275457</c:v>
                </c:pt>
                <c:pt idx="24">
                  <c:v>5.5669306991928398</c:v>
                </c:pt>
                <c:pt idx="25">
                  <c:v>5.3266238477607288</c:v>
                </c:pt>
                <c:pt idx="26">
                  <c:v>5.0906149062414299</c:v>
                </c:pt>
                <c:pt idx="27">
                  <c:v>4.8587454796708993</c:v>
                </c:pt>
                <c:pt idx="28">
                  <c:v>4.6308557767855767</c:v>
                </c:pt>
                <c:pt idx="29">
                  <c:v>4.4067844375113108</c:v>
                </c:pt>
                <c:pt idx="30">
                  <c:v>4.1863683494075667</c:v>
                </c:pt>
                <c:pt idx="31">
                  <c:v>3.9694424522462075</c:v>
                </c:pt>
                <c:pt idx="32">
                  <c:v>3.7558395298368241</c:v>
                </c:pt>
                <c:pt idx="33">
                  <c:v>3.5453899881375888</c:v>
                </c:pt>
                <c:pt idx="34">
                  <c:v>3.3379216186105753</c:v>
                </c:pt>
                <c:pt idx="35">
                  <c:v>3.1332593456933475</c:v>
                </c:pt>
                <c:pt idx="36">
                  <c:v>2.9312249571638644</c:v>
                </c:pt>
                <c:pt idx="37">
                  <c:v>2.7316368160715561</c:v>
                </c:pt>
                <c:pt idx="38">
                  <c:v>2.534309552794288</c:v>
                </c:pt>
                <c:pt idx="39">
                  <c:v>2.3390537356567318</c:v>
                </c:pt>
                <c:pt idx="40">
                  <c:v>2.1456755184100391</c:v>
                </c:pt>
                <c:pt idx="41">
                  <c:v>1.9539762627240953</c:v>
                </c:pt>
                <c:pt idx="42">
                  <c:v>1.7637521336807866</c:v>
                </c:pt>
                <c:pt idx="43">
                  <c:v>1.5747936660784594</c:v>
                </c:pt>
                <c:pt idx="44">
                  <c:v>1.3868842692849312</c:v>
                </c:pt>
                <c:pt idx="45">
                  <c:v>1.1773268567434805</c:v>
                </c:pt>
                <c:pt idx="46">
                  <c:v>0.97047109616824545</c:v>
                </c:pt>
                <c:pt idx="47">
                  <c:v>0.76596017203735434</c:v>
                </c:pt>
                <c:pt idx="48">
                  <c:v>0.56344242053870719</c:v>
                </c:pt>
                <c:pt idx="49">
                  <c:v>0.36257072183106365</c:v>
                </c:pt>
                <c:pt idx="50">
                  <c:v>0.16300190197374231</c:v>
                </c:pt>
                <c:pt idx="51">
                  <c:v>-3.5603856510530996E-2</c:v>
                </c:pt>
                <c:pt idx="52">
                  <c:v>-0.23358359645723636</c:v>
                </c:pt>
                <c:pt idx="53">
                  <c:v>-0.4312721612675503</c:v>
                </c:pt>
                <c:pt idx="54">
                  <c:v>-0.62900276448866377</c:v>
                </c:pt>
                <c:pt idx="55">
                  <c:v>-0.82710755474123809</c:v>
                </c:pt>
                <c:pt idx="56">
                  <c:v>-1.0259181769571839</c:v>
                </c:pt>
                <c:pt idx="57">
                  <c:v>-1.2257663308815849</c:v>
                </c:pt>
                <c:pt idx="58">
                  <c:v>-1.4269843277848111</c:v>
                </c:pt>
                <c:pt idx="59">
                  <c:v>-1.6299056463247259</c:v>
                </c:pt>
                <c:pt idx="60">
                  <c:v>-1.8348654884942808</c:v>
                </c:pt>
                <c:pt idx="61">
                  <c:v>-2.0422013365868947</c:v>
                </c:pt>
                <c:pt idx="62">
                  <c:v>-2.2522535121105127</c:v>
                </c:pt>
                <c:pt idx="63">
                  <c:v>-2.4653657375815117</c:v>
                </c:pt>
                <c:pt idx="64">
                  <c:v>-2.6818857021312068</c:v>
                </c:pt>
                <c:pt idx="65">
                  <c:v>-2.9021656318611262</c:v>
                </c:pt>
                <c:pt idx="66">
                  <c:v>-3.1265628658879736</c:v>
                </c:pt>
                <c:pt idx="67">
                  <c:v>-3.3554404390256165</c:v>
                </c:pt>
                <c:pt idx="68">
                  <c:v>-3.5891676720593937</c:v>
                </c:pt>
                <c:pt idx="69">
                  <c:v>-3.8281207705776543</c:v>
                </c:pt>
                <c:pt idx="70">
                  <c:v>-4.0726834333363868</c:v>
                </c:pt>
                <c:pt idx="71">
                  <c:v>-4.3232474711457947</c:v>
                </c:pt>
                <c:pt idx="72">
                  <c:v>-4.5802134372816887</c:v>
                </c:pt>
                <c:pt idx="73">
                  <c:v>-4.843991270440859</c:v>
                </c:pt>
                <c:pt idx="74">
                  <c:v>-5.1150009512769863</c:v>
                </c:pt>
              </c:numCache>
            </c:numRef>
          </c:val>
        </c:ser>
        <c:ser>
          <c:idx val="5"/>
          <c:order val="4"/>
          <c:tx>
            <c:strRef>
              <c:f>[1]Montée!$V$8</c:f>
              <c:strCache>
                <c:ptCount val="1"/>
                <c:pt idx="0">
                  <c:v>0,25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[1]Montée!$V$9:$V$83</c:f>
              <c:numCache>
                <c:formatCode>General</c:formatCode>
                <c:ptCount val="75"/>
                <c:pt idx="0">
                  <c:v>14.444504460668062</c:v>
                </c:pt>
                <c:pt idx="1">
                  <c:v>14.025643184585665</c:v>
                </c:pt>
                <c:pt idx="2">
                  <c:v>13.615407141610859</c:v>
                </c:pt>
                <c:pt idx="3">
                  <c:v>13.213637375973873</c:v>
                </c:pt>
                <c:pt idx="4">
                  <c:v>12.820175818562854</c:v>
                </c:pt>
                <c:pt idx="5">
                  <c:v>12.434865250087041</c:v>
                </c:pt>
                <c:pt idx="6">
                  <c:v>12.057549262412669</c:v>
                </c:pt>
                <c:pt idx="7">
                  <c:v>11.688072217956663</c:v>
                </c:pt>
                <c:pt idx="8">
                  <c:v>11.326279207015991</c:v>
                </c:pt>
                <c:pt idx="9">
                  <c:v>10.972016002901226</c:v>
                </c:pt>
                <c:pt idx="10">
                  <c:v>10.625129014733814</c:v>
                </c:pt>
                <c:pt idx="11">
                  <c:v>10.285465237756693</c:v>
                </c:pt>
                <c:pt idx="12">
                  <c:v>9.9528722009966604</c:v>
                </c:pt>
                <c:pt idx="13">
                  <c:v>9.6271979121056734</c:v>
                </c:pt>
                <c:pt idx="14">
                  <c:v>9.3082907991951895</c:v>
                </c:pt>
                <c:pt idx="15">
                  <c:v>8.9959996494646255</c:v>
                </c:pt>
                <c:pt idx="16">
                  <c:v>8.6901735444098591</c:v>
                </c:pt>
                <c:pt idx="17">
                  <c:v>8.3906617913819712</c:v>
                </c:pt>
                <c:pt idx="18">
                  <c:v>8.0973138512495328</c:v>
                </c:pt>
                <c:pt idx="19">
                  <c:v>7.8099792618988166</c:v>
                </c:pt>
                <c:pt idx="20">
                  <c:v>7.5285075572864653</c:v>
                </c:pt>
                <c:pt idx="21">
                  <c:v>7.2527481817374273</c:v>
                </c:pt>
                <c:pt idx="22">
                  <c:v>6.9825503991575131</c:v>
                </c:pt>
                <c:pt idx="23">
                  <c:v>6.7177631968040608</c:v>
                </c:pt>
                <c:pt idx="24">
                  <c:v>6.4582351832311513</c:v>
                </c:pt>
                <c:pt idx="25">
                  <c:v>6.2038144799953603</c:v>
                </c:pt>
                <c:pt idx="26">
                  <c:v>5.9543486066756914</c:v>
                </c:pt>
                <c:pt idx="27">
                  <c:v>5.7096843587259984</c:v>
                </c:pt>
                <c:pt idx="28">
                  <c:v>5.4696676776398316</c:v>
                </c:pt>
                <c:pt idx="29">
                  <c:v>5.2341435128657983</c:v>
                </c:pt>
                <c:pt idx="30">
                  <c:v>5.0029556748663424</c:v>
                </c:pt>
                <c:pt idx="31">
                  <c:v>4.7759466786633151</c:v>
                </c:pt>
                <c:pt idx="32">
                  <c:v>4.5529575771598898</c:v>
                </c:pt>
                <c:pt idx="33">
                  <c:v>4.3338277834699852</c:v>
                </c:pt>
                <c:pt idx="34">
                  <c:v>4.1183948814222955</c:v>
                </c:pt>
                <c:pt idx="35">
                  <c:v>3.9064944233363592</c:v>
                </c:pt>
                <c:pt idx="36">
                  <c:v>3.6979597140922582</c:v>
                </c:pt>
                <c:pt idx="37">
                  <c:v>3.4926215804322007</c:v>
                </c:pt>
                <c:pt idx="38">
                  <c:v>3.2903081243417556</c:v>
                </c:pt>
                <c:pt idx="39">
                  <c:v>3.090844459259062</c:v>
                </c:pt>
                <c:pt idx="40">
                  <c:v>2.894052427751979</c:v>
                </c:pt>
                <c:pt idx="41">
                  <c:v>2.6997502991840845</c:v>
                </c:pt>
                <c:pt idx="42">
                  <c:v>2.507752445760306</c:v>
                </c:pt>
                <c:pt idx="43">
                  <c:v>2.3178689952002349</c:v>
                </c:pt>
                <c:pt idx="44">
                  <c:v>2.1299044169488224</c:v>
                </c:pt>
                <c:pt idx="45">
                  <c:v>1.9186874246098979</c:v>
                </c:pt>
                <c:pt idx="46">
                  <c:v>1.7114876462267419</c:v>
                </c:pt>
                <c:pt idx="47">
                  <c:v>1.5079407511886109</c:v>
                </c:pt>
                <c:pt idx="48">
                  <c:v>1.3076898761799698</c:v>
                </c:pt>
                <c:pt idx="49">
                  <c:v>1.1103849973047826</c:v>
                </c:pt>
                <c:pt idx="50">
                  <c:v>0.91568231593605964</c:v>
                </c:pt>
                <c:pt idx="51">
                  <c:v>0.72324365720940009</c:v>
                </c:pt>
                <c:pt idx="52">
                  <c:v>0.53273588010414308</c:v>
                </c:pt>
                <c:pt idx="53">
                  <c:v>0.34383029807901533</c:v>
                </c:pt>
                <c:pt idx="54">
                  <c:v>0.15620210925041356</c:v>
                </c:pt>
                <c:pt idx="55">
                  <c:v>-3.0470164878981798E-2</c:v>
                </c:pt>
                <c:pt idx="56">
                  <c:v>-0.21650523311570113</c:v>
                </c:pt>
                <c:pt idx="57">
                  <c:v>-0.40221958165348504</c:v>
                </c:pt>
                <c:pt idx="58">
                  <c:v>-0.58792801547762608</c:v>
                </c:pt>
                <c:pt idx="59">
                  <c:v>-0.77394419502680978</c:v>
                </c:pt>
                <c:pt idx="60">
                  <c:v>-0.96058116903226143</c:v>
                </c:pt>
                <c:pt idx="61">
                  <c:v>-1.1481519044445057</c:v>
                </c:pt>
                <c:pt idx="62">
                  <c:v>-1.336969814349888</c:v>
                </c:pt>
                <c:pt idx="63">
                  <c:v>-1.5273492847725969</c:v>
                </c:pt>
                <c:pt idx="64">
                  <c:v>-1.7196062012528088</c:v>
                </c:pt>
                <c:pt idx="65">
                  <c:v>-1.9140584760882455</c:v>
                </c:pt>
                <c:pt idx="66">
                  <c:v>-2.1110265771243606</c:v>
                </c:pt>
                <c:pt idx="67">
                  <c:v>-2.3108340589779592</c:v>
                </c:pt>
                <c:pt idx="68">
                  <c:v>-2.5138080975800161</c:v>
                </c:pt>
                <c:pt idx="69">
                  <c:v>-2.7202800289260565</c:v>
                </c:pt>
                <c:pt idx="70">
                  <c:v>-2.9305858929263122</c:v>
                </c:pt>
                <c:pt idx="71">
                  <c:v>-3.1450669832534945</c:v>
                </c:pt>
                <c:pt idx="72">
                  <c:v>-3.3640704040928324</c:v>
                </c:pt>
                <c:pt idx="73">
                  <c:v>-3.5879496347076456</c:v>
                </c:pt>
                <c:pt idx="74">
                  <c:v>-3.8170651027435345</c:v>
                </c:pt>
              </c:numCache>
            </c:numRef>
          </c:val>
        </c:ser>
        <c:ser>
          <c:idx val="6"/>
          <c:order val="5"/>
          <c:tx>
            <c:strRef>
              <c:f>[1]Montée!$W$8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[1]Montée!$W$9:$W$83</c:f>
              <c:numCache>
                <c:formatCode>General</c:formatCode>
                <c:ptCount val="75"/>
                <c:pt idx="0">
                  <c:v>14.774267127375012</c:v>
                </c:pt>
                <c:pt idx="1">
                  <c:v>14.35804738164398</c:v>
                </c:pt>
                <c:pt idx="2">
                  <c:v>13.950216765523376</c:v>
                </c:pt>
                <c:pt idx="3">
                  <c:v>13.550630947708287</c:v>
                </c:pt>
                <c:pt idx="4">
                  <c:v>13.159146284451783</c:v>
                </c:pt>
                <c:pt idx="5">
                  <c:v>12.775619792166028</c:v>
                </c:pt>
                <c:pt idx="6">
                  <c:v>12.399909118469997</c:v>
                </c:pt>
                <c:pt idx="7">
                  <c:v>12.031872511587901</c:v>
                </c:pt>
                <c:pt idx="8">
                  <c:v>11.671368787996505</c:v>
                </c:pt>
                <c:pt idx="9">
                  <c:v>11.318257298211712</c:v>
                </c:pt>
                <c:pt idx="10">
                  <c:v>10.972397890597346</c:v>
                </c:pt>
                <c:pt idx="11">
                  <c:v>10.633650873070675</c:v>
                </c:pt>
                <c:pt idx="12">
                  <c:v>10.301876972570078</c:v>
                </c:pt>
                <c:pt idx="13">
                  <c:v>9.9769372921407005</c:v>
                </c:pt>
                <c:pt idx="14">
                  <c:v>9.658693265483139</c:v>
                </c:pt>
                <c:pt idx="15">
                  <c:v>9.3470066087993899</c:v>
                </c:pt>
                <c:pt idx="16">
                  <c:v>9.0417392697575263</c:v>
                </c:pt>
                <c:pt idx="17">
                  <c:v>8.7427533733836498</c:v>
                </c:pt>
                <c:pt idx="18">
                  <c:v>8.4499111646753384</c:v>
                </c:pt>
                <c:pt idx="19">
                  <c:v>8.1630749477153906</c:v>
                </c:pt>
                <c:pt idx="20">
                  <c:v>7.8821070210476698</c:v>
                </c:pt>
                <c:pt idx="21">
                  <c:v>7.6068696090592152</c:v>
                </c:pt>
                <c:pt idx="22">
                  <c:v>7.3372247890929359</c:v>
                </c:pt>
                <c:pt idx="23">
                  <c:v>7.0730344139936925</c:v>
                </c:pt>
                <c:pt idx="24">
                  <c:v>6.8141600297681562</c:v>
                </c:pt>
                <c:pt idx="25">
                  <c:v>6.5604627880133712</c:v>
                </c:pt>
                <c:pt idx="26">
                  <c:v>6.3118033527419284</c:v>
                </c:pt>
                <c:pt idx="27">
                  <c:v>6.0680418012023534</c:v>
                </c:pt>
                <c:pt idx="28">
                  <c:v>5.8290375182612477</c:v>
                </c:pt>
                <c:pt idx="29">
                  <c:v>5.5946490838788314</c:v>
                </c:pt>
                <c:pt idx="30">
                  <c:v>5.3647341531719768</c:v>
                </c:pt>
                <c:pt idx="31">
                  <c:v>5.1391493285174095</c:v>
                </c:pt>
                <c:pt idx="32">
                  <c:v>4.9177500231030633</c:v>
                </c:pt>
                <c:pt idx="33">
                  <c:v>4.7003903152867395</c:v>
                </c:pt>
                <c:pt idx="34">
                  <c:v>4.4869227930680218</c:v>
                </c:pt>
                <c:pt idx="35">
                  <c:v>4.2771983879211639</c:v>
                </c:pt>
                <c:pt idx="36">
                  <c:v>4.0710661971736037</c:v>
                </c:pt>
                <c:pt idx="37">
                  <c:v>3.8683732940452273</c:v>
                </c:pt>
                <c:pt idx="38">
                  <c:v>3.6689645243881426</c:v>
                </c:pt>
                <c:pt idx="39">
                  <c:v>3.4726822890838189</c:v>
                </c:pt>
                <c:pt idx="40">
                  <c:v>3.2793663109641935</c:v>
                </c:pt>
                <c:pt idx="41">
                  <c:v>3.0888533850240929</c:v>
                </c:pt>
                <c:pt idx="42">
                  <c:v>2.9009771105838738</c:v>
                </c:pt>
                <c:pt idx="43">
                  <c:v>2.7155676039423149</c:v>
                </c:pt>
                <c:pt idx="44">
                  <c:v>2.5324501565981485</c:v>
                </c:pt>
                <c:pt idx="45">
                  <c:v>2.3232275397931881</c:v>
                </c:pt>
                <c:pt idx="46">
                  <c:v>2.1187995019955741</c:v>
                </c:pt>
                <c:pt idx="47">
                  <c:v>1.9187997179242191</c:v>
                </c:pt>
                <c:pt idx="48">
                  <c:v>1.7228707915224601</c:v>
                </c:pt>
                <c:pt idx="49">
                  <c:v>1.5306636163763532</c:v>
                </c:pt>
                <c:pt idx="50">
                  <c:v>1.3418367525561616</c:v>
                </c:pt>
                <c:pt idx="51">
                  <c:v>1.1560558187669707</c:v>
                </c:pt>
                <c:pt idx="52">
                  <c:v>0.97299289872420047</c:v>
                </c:pt>
                <c:pt idx="53">
                  <c:v>0.79232596069782901</c:v>
                </c:pt>
                <c:pt idx="54">
                  <c:v>0.61373828919522433</c:v>
                </c:pt>
                <c:pt idx="55">
                  <c:v>0.43691792777670946</c:v>
                </c:pt>
                <c:pt idx="56">
                  <c:v>0.26155713202050346</c:v>
                </c:pt>
                <c:pt idx="57">
                  <c:v>8.7351831674391534E-2</c:v>
                </c:pt>
                <c:pt idx="58">
                  <c:v>-8.599889894945667E-2</c:v>
                </c:pt>
                <c:pt idx="59">
                  <c:v>-0.25879336326278057</c:v>
                </c:pt>
                <c:pt idx="60">
                  <c:v>-0.43132775828305836</c:v>
                </c:pt>
                <c:pt idx="61">
                  <c:v>-0.60389668500523674</c:v>
                </c:pt>
                <c:pt idx="62">
                  <c:v>-0.77679365414702772</c:v>
                </c:pt>
                <c:pt idx="63">
                  <c:v>-0.95031158814051264</c:v>
                </c:pt>
                <c:pt idx="64">
                  <c:v>-1.1247433202330974</c:v>
                </c:pt>
                <c:pt idx="65">
                  <c:v>-1.3003820915529536</c:v>
                </c:pt>
                <c:pt idx="66">
                  <c:v>-1.4775220469874144</c:v>
                </c:pt>
                <c:pt idx="67">
                  <c:v>-1.6564587307176999</c:v>
                </c:pt>
                <c:pt idx="68">
                  <c:v>-1.8374895822496544</c:v>
                </c:pt>
                <c:pt idx="69">
                  <c:v>-2.020914433777981</c:v>
                </c:pt>
                <c:pt idx="70">
                  <c:v>-2.2070360097205146</c:v>
                </c:pt>
                <c:pt idx="71">
                  <c:v>-2.3961604292598375</c:v>
                </c:pt>
                <c:pt idx="72">
                  <c:v>-2.5885977127313344</c:v>
                </c:pt>
                <c:pt idx="73">
                  <c:v>-2.7846622927004052</c:v>
                </c:pt>
                <c:pt idx="74">
                  <c:v>-2.9846735305761829</c:v>
                </c:pt>
              </c:numCache>
            </c:numRef>
          </c:val>
        </c:ser>
        <c:ser>
          <c:idx val="7"/>
          <c:order val="6"/>
          <c:tx>
            <c:strRef>
              <c:f>[1]Montée!$X$8</c:f>
              <c:strCache>
                <c:ptCount val="1"/>
                <c:pt idx="0">
                  <c:v>0,35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[1]Montée!$X$9:$X$83</c:f>
              <c:numCache>
                <c:formatCode>General</c:formatCode>
                <c:ptCount val="75"/>
                <c:pt idx="0">
                  <c:v>13.907439420062103</c:v>
                </c:pt>
                <c:pt idx="1">
                  <c:v>13.530101292427013</c:v>
                </c:pt>
                <c:pt idx="2">
                  <c:v>13.159951806444978</c:v>
                </c:pt>
                <c:pt idx="3">
                  <c:v>12.796879941631305</c:v>
                </c:pt>
                <c:pt idx="4">
                  <c:v>12.440774848942619</c:v>
                </c:pt>
                <c:pt idx="5">
                  <c:v>12.091525834028081</c:v>
                </c:pt>
                <c:pt idx="6">
                  <c:v>11.749022339105444</c:v>
                </c:pt>
                <c:pt idx="7">
                  <c:v>11.413153923379909</c:v>
                </c:pt>
                <c:pt idx="8">
                  <c:v>11.083810241918151</c:v>
                </c:pt>
                <c:pt idx="9">
                  <c:v>10.760881022883806</c:v>
                </c:pt>
                <c:pt idx="10">
                  <c:v>10.444256043033626</c:v>
                </c:pt>
                <c:pt idx="11">
                  <c:v>10.133825101367004</c:v>
                </c:pt>
                <c:pt idx="12">
                  <c:v>9.8294779908132153</c:v>
                </c:pt>
                <c:pt idx="13">
                  <c:v>9.531104467832801</c:v>
                </c:pt>
                <c:pt idx="14">
                  <c:v>9.2385942198001647</c:v>
                </c:pt>
                <c:pt idx="15">
                  <c:v>8.9518368300252487</c:v>
                </c:pt>
                <c:pt idx="16">
                  <c:v>8.6707217402611683</c:v>
                </c:pt>
                <c:pt idx="17">
                  <c:v>8.3951382105335419</c:v>
                </c:pt>
                <c:pt idx="18">
                  <c:v>8.1249752761151566</c:v>
                </c:pt>
                <c:pt idx="19">
                  <c:v>7.8601217014561975</c:v>
                </c:pt>
                <c:pt idx="20">
                  <c:v>7.600465930865866</c:v>
                </c:pt>
                <c:pt idx="21">
                  <c:v>7.3458960357258993</c:v>
                </c:pt>
                <c:pt idx="22">
                  <c:v>7.0962996579997553</c:v>
                </c:pt>
                <c:pt idx="23">
                  <c:v>6.8515639497824576</c:v>
                </c:pt>
                <c:pt idx="24">
                  <c:v>6.611575508617241</c:v>
                </c:pt>
                <c:pt idx="25">
                  <c:v>6.3762203082829796</c:v>
                </c:pt>
                <c:pt idx="26">
                  <c:v>6.1453836247334737</c:v>
                </c:pt>
                <c:pt idx="27">
                  <c:v>5.9189499568443891</c:v>
                </c:pt>
                <c:pt idx="28">
                  <c:v>5.6968029415962622</c:v>
                </c:pt>
                <c:pt idx="29">
                  <c:v>5.478825263291994</c:v>
                </c:pt>
                <c:pt idx="30">
                  <c:v>5.2648985563751243</c:v>
                </c:pt>
                <c:pt idx="31">
                  <c:v>5.0549033013797011</c:v>
                </c:pt>
                <c:pt idx="32">
                  <c:v>4.848718713504109</c:v>
                </c:pt>
                <c:pt idx="33">
                  <c:v>4.6462226232595736</c:v>
                </c:pt>
                <c:pt idx="34">
                  <c:v>4.4472913485982764</c:v>
                </c:pt>
                <c:pt idx="35">
                  <c:v>4.2517995578762058</c:v>
                </c:pt>
                <c:pt idx="36">
                  <c:v>4.0596201229517552</c:v>
                </c:pt>
                <c:pt idx="37">
                  <c:v>3.8706239616615563</c:v>
                </c:pt>
                <c:pt idx="38">
                  <c:v>3.6846798688503117</c:v>
                </c:pt>
                <c:pt idx="39">
                  <c:v>3.5016543350604774</c:v>
                </c:pt>
                <c:pt idx="40">
                  <c:v>3.3214113519101831</c:v>
                </c:pt>
                <c:pt idx="41">
                  <c:v>3.1438122031027191</c:v>
                </c:pt>
                <c:pt idx="42">
                  <c:v>2.9687152399180174</c:v>
                </c:pt>
                <c:pt idx="43">
                  <c:v>2.7959756399345883</c:v>
                </c:pt>
                <c:pt idx="44">
                  <c:v>2.6254441554875214</c:v>
                </c:pt>
                <c:pt idx="45">
                  <c:v>2.4248036316752395</c:v>
                </c:pt>
                <c:pt idx="46">
                  <c:v>2.2292512798903097</c:v>
                </c:pt>
                <c:pt idx="47">
                  <c:v>2.0384288431448243</c:v>
                </c:pt>
                <c:pt idx="48">
                  <c:v>1.8519876967199551</c:v>
                </c:pt>
                <c:pt idx="49">
                  <c:v>1.6695882123436137</c:v>
                </c:pt>
                <c:pt idx="50">
                  <c:v>1.4908991402941323</c:v>
                </c:pt>
                <c:pt idx="51">
                  <c:v>1.3155970083070716</c:v>
                </c:pt>
                <c:pt idx="52">
                  <c:v>1.1433655361950672</c:v>
                </c:pt>
                <c:pt idx="53">
                  <c:v>0.97389506512170088</c:v>
                </c:pt>
                <c:pt idx="54">
                  <c:v>0.80688200049938241</c:v>
                </c:pt>
                <c:pt idx="55">
                  <c:v>0.64202826750838038</c:v>
                </c:pt>
                <c:pt idx="56">
                  <c:v>0.47904077825958558</c:v>
                </c:pt>
                <c:pt idx="57">
                  <c:v>0.31763090964714791</c:v>
                </c:pt>
                <c:pt idx="58">
                  <c:v>0.15751399095909768</c:v>
                </c:pt>
                <c:pt idx="59">
                  <c:v>-1.5911996657538285E-3</c:v>
                </c:pt>
                <c:pt idx="60">
                  <c:v>-0.15996293082763469</c:v>
                </c:pt>
                <c:pt idx="61">
                  <c:v>-0.31787700637842264</c:v>
                </c:pt>
                <c:pt idx="62">
                  <c:v>-0.4756072477175215</c:v>
                </c:pt>
                <c:pt idx="63">
                  <c:v>-0.63342597071762796</c:v>
                </c:pt>
                <c:pt idx="64">
                  <c:v>-0.79160445811445079</c:v>
                </c:pt>
                <c:pt idx="65">
                  <c:v>-0.95041342818349395</c:v>
                </c:pt>
                <c:pt idx="66">
                  <c:v>-1.110123500517437</c:v>
                </c:pt>
                <c:pt idx="67">
                  <c:v>-1.2710056597095021</c:v>
                </c:pt>
                <c:pt idx="68">
                  <c:v>-1.4333317177414027</c:v>
                </c:pt>
                <c:pt idx="69">
                  <c:v>-1.5973747758692165</c:v>
                </c:pt>
                <c:pt idx="70">
                  <c:v>-1.7634096867963631</c:v>
                </c:pt>
                <c:pt idx="71">
                  <c:v>-1.931713517920411</c:v>
                </c:pt>
                <c:pt idx="72">
                  <c:v>-2.1025660164389581</c:v>
                </c:pt>
                <c:pt idx="73">
                  <c:v>-2.2762500771000376</c:v>
                </c:pt>
                <c:pt idx="74">
                  <c:v>-2.4530522133837431</c:v>
                </c:pt>
              </c:numCache>
            </c:numRef>
          </c:val>
        </c:ser>
        <c:ser>
          <c:idx val="8"/>
          <c:order val="7"/>
          <c:tx>
            <c:strRef>
              <c:f>[1]Montée!$Y$8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[1]Montée!$Y$9:$Y$83</c:f>
              <c:numCache>
                <c:formatCode>General</c:formatCode>
                <c:ptCount val="75"/>
                <c:pt idx="0">
                  <c:v>11.731390036653634</c:v>
                </c:pt>
                <c:pt idx="1">
                  <c:v>11.433300777811805</c:v>
                </c:pt>
                <c:pt idx="2">
                  <c:v>11.140133295010195</c:v>
                </c:pt>
                <c:pt idx="3">
                  <c:v>10.85183116121247</c:v>
                </c:pt>
                <c:pt idx="4">
                  <c:v>10.568337260671418</c:v>
                </c:pt>
                <c:pt idx="5">
                  <c:v>10.289593784987487</c:v>
                </c:pt>
                <c:pt idx="6">
                  <c:v>10.015542227905389</c:v>
                </c:pt>
                <c:pt idx="7">
                  <c:v>9.7461233787769341</c:v>
                </c:pt>
                <c:pt idx="8">
                  <c:v>9.4812773146133047</c:v>
                </c:pt>
                <c:pt idx="9">
                  <c:v>9.2209433906445657</c:v>
                </c:pt>
                <c:pt idx="10">
                  <c:v>8.9650602292982402</c:v>
                </c:pt>
                <c:pt idx="11">
                  <c:v>8.7135657075028536</c:v>
                </c:pt>
                <c:pt idx="12">
                  <c:v>8.4663969422150771</c:v>
                </c:pt>
                <c:pt idx="13">
                  <c:v>8.2234902740624332</c:v>
                </c:pt>
                <c:pt idx="14">
                  <c:v>7.9847812489848771</c:v>
                </c:pt>
                <c:pt idx="15">
                  <c:v>7.7502045977509697</c:v>
                </c:pt>
                <c:pt idx="16">
                  <c:v>7.5196942132143851</c:v>
                </c:pt>
                <c:pt idx="17">
                  <c:v>7.2931831251670358</c:v>
                </c:pt>
                <c:pt idx="18">
                  <c:v>7.0706034726342928</c:v>
                </c:pt>
                <c:pt idx="19">
                  <c:v>6.8518864734461182</c:v>
                </c:pt>
                <c:pt idx="20">
                  <c:v>6.6369623909054409</c:v>
                </c:pt>
                <c:pt idx="21">
                  <c:v>6.4257604973614599</c:v>
                </c:pt>
                <c:pt idx="22">
                  <c:v>6.2182090344811289</c:v>
                </c:pt>
                <c:pt idx="23">
                  <c:v>6.0142351699955503</c:v>
                </c:pt>
                <c:pt idx="24">
                  <c:v>5.813764950681553</c:v>
                </c:pt>
                <c:pt idx="25">
                  <c:v>5.6167232513192111</c:v>
                </c:pt>
                <c:pt idx="26">
                  <c:v>5.4230337193462672</c:v>
                </c:pt>
                <c:pt idx="27">
                  <c:v>5.2326187149080097</c:v>
                </c:pt>
                <c:pt idx="28">
                  <c:v>5.0453992459774275</c:v>
                </c:pt>
                <c:pt idx="29">
                  <c:v>4.861294898194112</c:v>
                </c:pt>
                <c:pt idx="30">
                  <c:v>4.680223759042252</c:v>
                </c:pt>
                <c:pt idx="31">
                  <c:v>4.5021023359570869</c:v>
                </c:pt>
                <c:pt idx="32">
                  <c:v>4.3268454679154811</c:v>
                </c:pt>
                <c:pt idx="33">
                  <c:v>4.1543662300298791</c:v>
                </c:pt>
                <c:pt idx="34">
                  <c:v>3.9845758306248378</c:v>
                </c:pt>
                <c:pt idx="35">
                  <c:v>3.8173835002316658</c:v>
                </c:pt>
                <c:pt idx="36">
                  <c:v>3.6526963718895451</c:v>
                </c:pt>
                <c:pt idx="37">
                  <c:v>3.490419352089166</c:v>
                </c:pt>
                <c:pt idx="38">
                  <c:v>3.3304549816384932</c:v>
                </c:pt>
                <c:pt idx="39">
                  <c:v>3.1727032856681165</c:v>
                </c:pt>
                <c:pt idx="40">
                  <c:v>3.0170616119258913</c:v>
                </c:pt>
                <c:pt idx="41">
                  <c:v>2.8634244564361375</c:v>
                </c:pt>
                <c:pt idx="42">
                  <c:v>2.7116832755173705</c:v>
                </c:pt>
                <c:pt idx="43">
                  <c:v>2.5617262830633503</c:v>
                </c:pt>
                <c:pt idx="44">
                  <c:v>2.4134373234423538</c:v>
                </c:pt>
                <c:pt idx="45">
                  <c:v>2.2298421208799839</c:v>
                </c:pt>
                <c:pt idx="46">
                  <c:v>2.0511568704239771</c:v>
                </c:pt>
                <c:pt idx="47">
                  <c:v>1.8770442848040314</c:v>
                </c:pt>
                <c:pt idx="48">
                  <c:v>1.7071766795684427</c:v>
                </c:pt>
                <c:pt idx="49">
                  <c:v>1.5412353607769276</c:v>
                </c:pt>
                <c:pt idx="50">
                  <c:v>1.3789100309807494</c:v>
                </c:pt>
                <c:pt idx="51">
                  <c:v>1.219898212388798</c:v>
                </c:pt>
                <c:pt idx="52">
                  <c:v>1.0639046861523245</c:v>
                </c:pt>
                <c:pt idx="53">
                  <c:v>0.91064094673334028</c:v>
                </c:pt>
                <c:pt idx="54">
                  <c:v>0.75982467035195</c:v>
                </c:pt>
                <c:pt idx="55">
                  <c:v>0.61117919653631914</c:v>
                </c:pt>
                <c:pt idx="56">
                  <c:v>0.46443302182566226</c:v>
                </c:pt>
                <c:pt idx="57">
                  <c:v>0.31931930470158787</c:v>
                </c:pt>
                <c:pt idx="58">
                  <c:v>0.17557538084634494</c:v>
                </c:pt>
                <c:pt idx="59">
                  <c:v>3.2942287848111818E-2</c:v>
                </c:pt>
                <c:pt idx="60">
                  <c:v>-0.10883570150644251</c:v>
                </c:pt>
                <c:pt idx="61">
                  <c:v>-0.25001153819378241</c:v>
                </c:pt>
                <c:pt idx="62">
                  <c:v>-0.39083584899366275</c:v>
                </c:pt>
                <c:pt idx="63">
                  <c:v>-0.53155738241690176</c:v>
                </c:pt>
                <c:pt idx="64">
                  <c:v>-0.67242344931566711</c:v>
                </c:pt>
                <c:pt idx="65">
                  <c:v>-0.81368035895872359</c:v>
                </c:pt>
                <c:pt idx="66">
                  <c:v>-0.95557385134283912</c:v>
                </c:pt>
                <c:pt idx="67">
                  <c:v>-1.0983495265017216</c:v>
                </c:pt>
                <c:pt idx="68">
                  <c:v>-1.2422532715653745</c:v>
                </c:pt>
                <c:pt idx="69">
                  <c:v>-1.3875316863156697</c:v>
                </c:pt>
                <c:pt idx="70">
                  <c:v>-1.5344325079779628</c:v>
                </c:pt>
                <c:pt idx="71">
                  <c:v>-1.6832050359841757</c:v>
                </c:pt>
                <c:pt idx="72">
                  <c:v>-1.834100557439331</c:v>
                </c:pt>
                <c:pt idx="73">
                  <c:v>-1.9873727740216878</c:v>
                </c:pt>
                <c:pt idx="74">
                  <c:v>-2.143278231045695</c:v>
                </c:pt>
              </c:numCache>
            </c:numRef>
          </c:val>
        </c:ser>
        <c:ser>
          <c:idx val="9"/>
          <c:order val="8"/>
          <c:tx>
            <c:strRef>
              <c:f>[1]Montée!$Z$8</c:f>
              <c:strCache>
                <c:ptCount val="1"/>
                <c:pt idx="0">
                  <c:v>0,45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[1]Montée!$Z$9:$Z$83</c:f>
              <c:numCache>
                <c:formatCode>General</c:formatCode>
                <c:ptCount val="75"/>
                <c:pt idx="0">
                  <c:v>8.130458109319024</c:v>
                </c:pt>
                <c:pt idx="1">
                  <c:v>7.9560297856659385</c:v>
                </c:pt>
                <c:pt idx="2">
                  <c:v>7.7830852742487169</c:v>
                </c:pt>
                <c:pt idx="3">
                  <c:v>7.6116465136828992</c:v>
                </c:pt>
                <c:pt idx="4">
                  <c:v>7.4417335178449324</c:v>
                </c:pt>
                <c:pt idx="5">
                  <c:v>7.2733643875929168</c:v>
                </c:pt>
                <c:pt idx="6">
                  <c:v>7.1065553212899006</c:v>
                </c:pt>
                <c:pt idx="7">
                  <c:v>6.9413206240654182</c:v>
                </c:pt>
                <c:pt idx="8">
                  <c:v>6.7776727157469612</c:v>
                </c:pt>
                <c:pt idx="9">
                  <c:v>6.6156221373882156</c:v>
                </c:pt>
                <c:pt idx="10">
                  <c:v>6.4551775563155047</c:v>
                </c:pt>
                <c:pt idx="11">
                  <c:v>6.2963457696084957</c:v>
                </c:pt>
                <c:pt idx="12">
                  <c:v>6.1391317059252213</c:v>
                </c:pt>
                <c:pt idx="13">
                  <c:v>5.983538425574892</c:v>
                </c:pt>
                <c:pt idx="14">
                  <c:v>5.8295671187348006</c:v>
                </c:pt>
                <c:pt idx="15">
                  <c:v>5.6772171017006476</c:v>
                </c:pt>
                <c:pt idx="16">
                  <c:v>5.5264858110508337</c:v>
                </c:pt>
                <c:pt idx="17">
                  <c:v>5.3773687955966585</c:v>
                </c:pt>
                <c:pt idx="18">
                  <c:v>5.2298597059810934</c:v>
                </c:pt>
                <c:pt idx="19">
                  <c:v>5.0839502817781632</c:v>
                </c:pt>
                <c:pt idx="20">
                  <c:v>4.9396303359338756</c:v>
                </c:pt>
                <c:pt idx="21">
                  <c:v>4.7968877363777782</c:v>
                </c:pt>
                <c:pt idx="22">
                  <c:v>4.6557083846209899</c:v>
                </c:pt>
                <c:pt idx="23">
                  <c:v>4.5160761911422513</c:v>
                </c:pt>
                <c:pt idx="24">
                  <c:v>4.3779730473485952</c:v>
                </c:pt>
                <c:pt idx="25">
                  <c:v>4.2413787938801466</c:v>
                </c:pt>
                <c:pt idx="26">
                  <c:v>4.1062711850107663</c:v>
                </c:pt>
                <c:pt idx="27">
                  <c:v>3.9726258488764383</c:v>
                </c:pt>
                <c:pt idx="28">
                  <c:v>3.840416243242216</c:v>
                </c:pt>
                <c:pt idx="29">
                  <c:v>3.7096136064950014</c:v>
                </c:pt>
                <c:pt idx="30">
                  <c:v>3.5801869035246194</c:v>
                </c:pt>
                <c:pt idx="31">
                  <c:v>3.4521027661278803</c:v>
                </c:pt>
                <c:pt idx="32">
                  <c:v>3.3253254275405992</c:v>
                </c:pt>
                <c:pt idx="33">
                  <c:v>3.1998166506700172</c:v>
                </c:pt>
                <c:pt idx="34">
                  <c:v>3.0755356495644763</c:v>
                </c:pt>
                <c:pt idx="35">
                  <c:v>2.9524390036185038</c:v>
                </c:pt>
                <c:pt idx="36">
                  <c:v>2.8304805639693531</c:v>
                </c:pt>
                <c:pt idx="37">
                  <c:v>2.7096113514947282</c:v>
                </c:pt>
                <c:pt idx="38">
                  <c:v>2.5897794457710788</c:v>
                </c:pt>
                <c:pt idx="39">
                  <c:v>2.4709298642967474</c:v>
                </c:pt>
                <c:pt idx="40">
                  <c:v>2.3530044312239169</c:v>
                </c:pt>
                <c:pt idx="41">
                  <c:v>2.2359416347772334</c:v>
                </c:pt>
                <c:pt idx="42">
                  <c:v>2.1196764724646258</c:v>
                </c:pt>
                <c:pt idx="43">
                  <c:v>2.0041402831066382</c:v>
                </c:pt>
                <c:pt idx="44">
                  <c:v>1.8892597892084213</c:v>
                </c:pt>
                <c:pt idx="45">
                  <c:v>1.7325783130278249</c:v>
                </c:pt>
                <c:pt idx="46">
                  <c:v>1.5801498414862492</c:v>
                </c:pt>
                <c:pt idx="47">
                  <c:v>1.4316730395456481</c:v>
                </c:pt>
                <c:pt idx="48">
                  <c:v>1.2868554090382245</c:v>
                </c:pt>
                <c:pt idx="49">
                  <c:v>1.1454127227011166</c:v>
                </c:pt>
                <c:pt idx="50">
                  <c:v>1.0070684757226542</c:v>
                </c:pt>
                <c:pt idx="51">
                  <c:v>0.87155335375534193</c:v>
                </c:pt>
                <c:pt idx="52">
                  <c:v>0.73860471638420355</c:v>
                </c:pt>
                <c:pt idx="53">
                  <c:v>0.6079660950709691</c:v>
                </c:pt>
                <c:pt idx="54">
                  <c:v>0.47938670462442068</c:v>
                </c:pt>
                <c:pt idx="55">
                  <c:v>0.35262096727536529</c:v>
                </c:pt>
                <c:pt idx="56">
                  <c:v>0.22742804846105447</c:v>
                </c:pt>
                <c:pt idx="57">
                  <c:v>0.10357140344860549</c:v>
                </c:pt>
                <c:pt idx="58">
                  <c:v>-1.9181666049889134E-2</c:v>
                </c:pt>
                <c:pt idx="59">
                  <c:v>-0.14106044609646617</c:v>
                </c:pt>
                <c:pt idx="60">
                  <c:v>-0.26229123638637475</c:v>
                </c:pt>
                <c:pt idx="61">
                  <c:v>-0.38309776853453381</c:v>
                </c:pt>
                <c:pt idx="62">
                  <c:v>-0.50370161755961451</c:v>
                </c:pt>
                <c:pt idx="63">
                  <c:v>-0.62432260732044043</c:v>
                </c:pt>
                <c:pt idx="64">
                  <c:v>-0.74517921064505677</c:v>
                </c:pt>
                <c:pt idx="65">
                  <c:v>-0.8664889448799955</c:v>
                </c:pt>
                <c:pt idx="66">
                  <c:v>-0.98846876357562885</c:v>
                </c:pt>
                <c:pt idx="67">
                  <c:v>-1.1113354450132356</c:v>
                </c:pt>
                <c:pt idx="68">
                  <c:v>-1.2353059782703504</c:v>
                </c:pt>
                <c:pt idx="69">
                  <c:v>-1.3605979475132906</c:v>
                </c:pt>
                <c:pt idx="70">
                  <c:v>-1.4874299151990773</c:v>
                </c:pt>
                <c:pt idx="71">
                  <c:v>-1.6160218048638058</c:v>
                </c:pt>
                <c:pt idx="72">
                  <c:v>-1.7465952841702379</c:v>
                </c:pt>
                <c:pt idx="73">
                  <c:v>-1.8793741488846047</c:v>
                </c:pt>
                <c:pt idx="74">
                  <c:v>-2.0145847084507067</c:v>
                </c:pt>
              </c:numCache>
            </c:numRef>
          </c:val>
        </c:ser>
        <c:ser>
          <c:idx val="10"/>
          <c:order val="9"/>
          <c:tx>
            <c:strRef>
              <c:f>[1]Montée!$AA$8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[1]Montée!$AA$9:$AA$83</c:f>
              <c:numCache>
                <c:formatCode>General</c:formatCode>
                <c:ptCount val="75"/>
                <c:pt idx="0">
                  <c:v>2.9874679873502736</c:v>
                </c:pt>
                <c:pt idx="1">
                  <c:v>2.9851163073522908</c:v>
                </c:pt>
                <c:pt idx="2">
                  <c:v>2.9795332933878687</c:v>
                </c:pt>
                <c:pt idx="3">
                  <c:v>2.97084545815457</c:v>
                </c:pt>
                <c:pt idx="4">
                  <c:v>2.9591757434552646</c:v>
                </c:pt>
                <c:pt idx="5">
                  <c:v>2.9446435510102122</c:v>
                </c:pt>
                <c:pt idx="6">
                  <c:v>2.9273647720959173</c:v>
                </c:pt>
                <c:pt idx="7">
                  <c:v>2.9074518159528981</c:v>
                </c:pt>
                <c:pt idx="8">
                  <c:v>2.8850136369004526</c:v>
                </c:pt>
                <c:pt idx="9">
                  <c:v>2.8601557600926002</c:v>
                </c:pt>
                <c:pt idx="10">
                  <c:v>2.8329803058440484</c:v>
                </c:pt>
                <c:pt idx="11">
                  <c:v>2.8035860124507379</c:v>
                </c:pt>
                <c:pt idx="12">
                  <c:v>2.7720682574235012</c:v>
                </c:pt>
                <c:pt idx="13">
                  <c:v>2.7385190770479064</c:v>
                </c:pt>
                <c:pt idx="14">
                  <c:v>2.7030271841768774</c:v>
                </c:pt>
                <c:pt idx="15">
                  <c:v>2.6656779841560412</c:v>
                </c:pt>
                <c:pt idx="16">
                  <c:v>2.6265535887741955</c:v>
                </c:pt>
                <c:pt idx="17">
                  <c:v>2.5857328281234873</c:v>
                </c:pt>
                <c:pt idx="18">
                  <c:v>2.5432912602454403</c:v>
                </c:pt>
                <c:pt idx="19">
                  <c:v>2.4993011784293997</c:v>
                </c:pt>
                <c:pt idx="20">
                  <c:v>2.4538316160201861</c:v>
                </c:pt>
                <c:pt idx="21">
                  <c:v>2.4069483485806829</c:v>
                </c:pt>
                <c:pt idx="22">
                  <c:v>2.3587138932436784</c:v>
                </c:pt>
                <c:pt idx="23">
                  <c:v>2.3091875050738802</c:v>
                </c:pt>
                <c:pt idx="24">
                  <c:v>2.2584251702480476</c:v>
                </c:pt>
                <c:pt idx="25">
                  <c:v>2.2064795958453787</c:v>
                </c:pt>
                <c:pt idx="26">
                  <c:v>2.1534001960246631</c:v>
                </c:pt>
                <c:pt idx="27">
                  <c:v>2.0992330743465701</c:v>
                </c:pt>
                <c:pt idx="28">
                  <c:v>2.0440210019805809</c:v>
                </c:pt>
                <c:pt idx="29">
                  <c:v>1.9878033915149984</c:v>
                </c:pt>
                <c:pt idx="30">
                  <c:v>1.9306162660658992</c:v>
                </c:pt>
                <c:pt idx="31">
                  <c:v>1.8724922233561057</c:v>
                </c:pt>
                <c:pt idx="32">
                  <c:v>1.8134603944083831</c:v>
                </c:pt>
                <c:pt idx="33">
                  <c:v>1.7535463964678344</c:v>
                </c:pt>
                <c:pt idx="34">
                  <c:v>1.6927722797364821</c:v>
                </c:pt>
                <c:pt idx="35">
                  <c:v>1.6311564674680681</c:v>
                </c:pt>
                <c:pt idx="36">
                  <c:v>1.5687136889333333</c:v>
                </c:pt>
                <c:pt idx="37">
                  <c:v>1.5054549047242616</c:v>
                </c:pt>
                <c:pt idx="38">
                  <c:v>1.4413872238205498</c:v>
                </c:pt>
                <c:pt idx="39">
                  <c:v>1.3765138117918516</c:v>
                </c:pt>
                <c:pt idx="40">
                  <c:v>1.3108337894551778</c:v>
                </c:pt>
                <c:pt idx="41">
                  <c:v>1.2443421212472405</c:v>
                </c:pt>
                <c:pt idx="42">
                  <c:v>1.1770294925064988</c:v>
                </c:pt>
                <c:pt idx="43">
                  <c:v>1.1088821747883566</c:v>
                </c:pt>
                <c:pt idx="44">
                  <c:v>1.0398812909916786</c:v>
                </c:pt>
                <c:pt idx="45">
                  <c:v>0.92115195623739332</c:v>
                </c:pt>
                <c:pt idx="46">
                  <c:v>0.8055235996551332</c:v>
                </c:pt>
                <c:pt idx="47">
                  <c:v>0.69274752335859058</c:v>
                </c:pt>
                <c:pt idx="48">
                  <c:v>0.58258234468677006</c:v>
                </c:pt>
                <c:pt idx="49">
                  <c:v>0.47479350186823965</c:v>
                </c:pt>
                <c:pt idx="50">
                  <c:v>0.36915277526442136</c:v>
                </c:pt>
                <c:pt idx="51">
                  <c:v>0.26543782324193854</c:v>
                </c:pt>
                <c:pt idx="52">
                  <c:v>0.16343173175526005</c:v>
                </c:pt>
                <c:pt idx="53">
                  <c:v>6.2922576750567893E-2</c:v>
                </c:pt>
                <c:pt idx="54">
                  <c:v>-3.6297001470501966E-2</c:v>
                </c:pt>
                <c:pt idx="55">
                  <c:v>-0.13443021276235978</c:v>
                </c:pt>
                <c:pt idx="56">
                  <c:v>-0.23167652133281358</c:v>
                </c:pt>
                <c:pt idx="57">
                  <c:v>-0.32823204041385878</c:v>
                </c:pt>
                <c:pt idx="58">
                  <c:v>-0.424289918172017</c:v>
                </c:pt>
                <c:pt idx="59">
                  <c:v>-0.52004071560433562</c:v>
                </c:pt>
                <c:pt idx="60">
                  <c:v>-0.61567277714753921</c:v>
                </c:pt>
                <c:pt idx="61">
                  <c:v>-0.71137259471064684</c:v>
                </c:pt>
                <c:pt idx="62">
                  <c:v>-0.80732516582547098</c:v>
                </c:pt>
                <c:pt idx="63">
                  <c:v>-0.903714346594924</c:v>
                </c:pt>
                <c:pt idx="64">
                  <c:v>-1.0007232001056909</c:v>
                </c:pt>
                <c:pt idx="65">
                  <c:v>-1.098534340959908</c:v>
                </c:pt>
                <c:pt idx="66">
                  <c:v>-1.1973302765696143</c:v>
                </c:pt>
                <c:pt idx="67">
                  <c:v>-1.2972937458481857</c:v>
                </c:pt>
                <c:pt idx="68">
                  <c:v>-1.3986080559244507</c:v>
                </c:pt>
                <c:pt idx="69">
                  <c:v>-1.5014574174980548</c:v>
                </c:pt>
                <c:pt idx="70">
                  <c:v>-1.6060272794482988</c:v>
                </c:pt>
                <c:pt idx="71">
                  <c:v>-1.7125046633038392</c:v>
                </c:pt>
                <c:pt idx="72">
                  <c:v>-1.8210784981765435</c:v>
                </c:pt>
                <c:pt idx="73">
                  <c:v>-1.9319399567600928</c:v>
                </c:pt>
                <c:pt idx="74">
                  <c:v>-2.0452827929920367</c:v>
                </c:pt>
              </c:numCache>
            </c:numRef>
          </c:val>
        </c:ser>
        <c:ser>
          <c:idx val="11"/>
          <c:order val="10"/>
          <c:tx>
            <c:strRef>
              <c:f>[1]Montée!$AB$8</c:f>
              <c:strCache>
                <c:ptCount val="1"/>
                <c:pt idx="0">
                  <c:v>0,55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[1]Montée!$AB$9:$AB$83</c:f>
              <c:numCache>
                <c:formatCode>General</c:formatCode>
                <c:ptCount val="75"/>
                <c:pt idx="0">
                  <c:v>-3.8155822251665357</c:v>
                </c:pt>
                <c:pt idx="1">
                  <c:v>-3.5934603693143203</c:v>
                </c:pt>
                <c:pt idx="2">
                  <c:v>-3.3806690040554899</c:v>
                </c:pt>
                <c:pt idx="3">
                  <c:v>-3.1769484270529142</c:v>
                </c:pt>
                <c:pt idx="4">
                  <c:v>-2.982044598713498</c:v>
                </c:pt>
                <c:pt idx="5">
                  <c:v>-2.7957090883490454</c:v>
                </c:pt>
                <c:pt idx="6">
                  <c:v>-2.6176990215213425</c:v>
                </c:pt>
                <c:pt idx="7">
                  <c:v>-2.4477770286234195</c:v>
                </c:pt>
                <c:pt idx="8">
                  <c:v>-2.2857111947541782</c:v>
                </c:pt>
                <c:pt idx="9">
                  <c:v>-2.1312750109461707</c:v>
                </c:pt>
                <c:pt idx="10">
                  <c:v>-1.9842473268114678</c:v>
                </c:pt>
                <c:pt idx="11">
                  <c:v>-1.8444123046745537</c:v>
                </c:pt>
                <c:pt idx="12">
                  <c:v>-1.7115593752664557</c:v>
                </c:pt>
                <c:pt idx="13">
                  <c:v>-1.5854831950594961</c:v>
                </c:pt>
                <c:pt idx="14">
                  <c:v>-1.4659836053276905</c:v>
                </c:pt>
                <c:pt idx="15">
                  <c:v>-1.3528655930241951</c:v>
                </c:pt>
                <c:pt idx="16">
                  <c:v>-1.2459392535736651</c:v>
                </c:pt>
                <c:pt idx="17">
                  <c:v>-1.1450197556849031</c:v>
                </c:pt>
                <c:pt idx="18">
                  <c:v>-1.0499273082965261</c:v>
                </c:pt>
                <c:pt idx="19">
                  <c:v>-0.96048712977723594</c:v>
                </c:pt>
                <c:pt idx="20">
                  <c:v>-0.87652941951124064</c:v>
                </c:pt>
                <c:pt idx="21">
                  <c:v>-0.7978893320091246</c:v>
                </c:pt>
                <c:pt idx="22">
                  <c:v>-0.72440695369537078</c:v>
                </c:pt>
                <c:pt idx="23">
                  <c:v>-0.65592728253531551</c:v>
                </c:pt>
                <c:pt idx="24">
                  <c:v>-0.59230021067651806</c:v>
                </c:pt>
                <c:pt idx="25">
                  <c:v>-0.53338051029377365</c:v>
                </c:pt>
                <c:pt idx="26">
                  <c:v>-0.4790278228412907</c:v>
                </c:pt>
                <c:pt idx="27">
                  <c:v>-0.42910665193180086</c:v>
                </c:pt>
                <c:pt idx="28">
                  <c:v>-0.38348636007982639</c:v>
                </c:pt>
                <c:pt idx="29">
                  <c:v>-0.34204116956530967</c:v>
                </c:pt>
                <c:pt idx="30">
                  <c:v>-0.30465016769438896</c:v>
                </c:pt>
                <c:pt idx="31">
                  <c:v>-0.27119731675654618</c:v>
                </c:pt>
                <c:pt idx="32">
                  <c:v>-0.24157146900200016</c:v>
                </c:pt>
                <c:pt idx="33">
                  <c:v>-0.21566638698947921</c:v>
                </c:pt>
                <c:pt idx="34">
                  <c:v>-0.19338076968396806</c:v>
                </c:pt>
                <c:pt idx="35">
                  <c:v>-0.17461828471535873</c:v>
                </c:pt>
                <c:pt idx="36">
                  <c:v>-0.15928760724376456</c:v>
                </c:pt>
                <c:pt idx="37">
                  <c:v>-0.14730246591475327</c:v>
                </c:pt>
                <c:pt idx="38">
                  <c:v>-0.13858169642930862</c:v>
                </c:pt>
                <c:pt idx="39">
                  <c:v>-0.13304930329811304</c:v>
                </c:pt>
                <c:pt idx="40">
                  <c:v>-0.13063453039941419</c:v>
                </c:pt>
                <c:pt idx="41">
                  <c:v>-0.13127194101351136</c:v>
                </c:pt>
                <c:pt idx="42">
                  <c:v>-0.1349015080662811</c:v>
                </c:pt>
                <c:pt idx="43">
                  <c:v>-0.14146871537893713</c:v>
                </c:pt>
                <c:pt idx="44">
                  <c:v>-0.15092500966000555</c:v>
                </c:pt>
                <c:pt idx="45">
                  <c:v>-0.21962205091909381</c:v>
                </c:pt>
                <c:pt idx="46">
                  <c:v>-0.28688671829774659</c:v>
                </c:pt>
                <c:pt idx="47">
                  <c:v>-0.35289689176180972</c:v>
                </c:pt>
                <c:pt idx="48">
                  <c:v>-0.41782544088092122</c:v>
                </c:pt>
                <c:pt idx="49">
                  <c:v>-0.48184062011843931</c:v>
                </c:pt>
                <c:pt idx="50">
                  <c:v>-0.54510645166504967</c:v>
                </c:pt>
                <c:pt idx="51">
                  <c:v>-0.60778309662960583</c:v>
                </c:pt>
                <c:pt idx="52">
                  <c:v>-0.6700272153737763</c:v>
                </c:pt>
                <c:pt idx="53">
                  <c:v>-0.73199231775129181</c:v>
                </c:pt>
                <c:pt idx="54">
                  <c:v>-0.793829103988547</c:v>
                </c:pt>
                <c:pt idx="55">
                  <c:v>-0.85568579692077718</c:v>
                </c:pt>
                <c:pt idx="56">
                  <c:v>-0.91770846627682579</c:v>
                </c:pt>
                <c:pt idx="57">
                  <c:v>-0.98004134568584567</c:v>
                </c:pt>
                <c:pt idx="58">
                  <c:v>-1.0428271430607727</c:v>
                </c:pt>
                <c:pt idx="59">
                  <c:v>-1.1062073449964744</c:v>
                </c:pt>
                <c:pt idx="60">
                  <c:v>-1.1703225158045334</c:v>
                </c:pt>
                <c:pt idx="61">
                  <c:v>-1.2353125917921384</c:v>
                </c:pt>
                <c:pt idx="62">
                  <c:v>-1.3013171713791107</c:v>
                </c:pt>
                <c:pt idx="63">
                  <c:v>-1.3684758016349849</c:v>
                </c:pt>
                <c:pt idx="64">
                  <c:v>-1.4369282618068735</c:v>
                </c:pt>
                <c:pt idx="65">
                  <c:v>-1.5068148443990133</c:v>
                </c:pt>
                <c:pt idx="66">
                  <c:v>-1.578276634355952</c:v>
                </c:pt>
                <c:pt idx="67">
                  <c:v>-1.6514557868935844</c:v>
                </c:pt>
                <c:pt idx="68">
                  <c:v>-1.7264958045154344</c:v>
                </c:pt>
                <c:pt idx="69">
                  <c:v>-1.8035418137459536</c:v>
                </c:pt>
                <c:pt idx="70">
                  <c:v>-1.882740842107764</c:v>
                </c:pt>
                <c:pt idx="71">
                  <c:v>-1.9642420958661895</c:v>
                </c:pt>
                <c:pt idx="72">
                  <c:v>-2.0481972390615191</c:v>
                </c:pt>
                <c:pt idx="73">
                  <c:v>-2.1347606743478478</c:v>
                </c:pt>
                <c:pt idx="74">
                  <c:v>-2.22408982615636</c:v>
                </c:pt>
              </c:numCache>
            </c:numRef>
          </c:val>
        </c:ser>
        <c:ser>
          <c:idx val="12"/>
          <c:order val="11"/>
          <c:tx>
            <c:strRef>
              <c:f>[1]Montée!$AC$8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[1]Montée!$AC$9:$AC$83</c:f>
              <c:numCache>
                <c:formatCode>General</c:formatCode>
                <c:ptCount val="75"/>
                <c:pt idx="0">
                  <c:v>-12.397176400515399</c:v>
                </c:pt>
                <c:pt idx="1">
                  <c:v>-11.894216033588792</c:v>
                </c:pt>
                <c:pt idx="2">
                  <c:v>-11.408176586228839</c:v>
                </c:pt>
                <c:pt idx="3">
                  <c:v>-10.938634160748757</c:v>
                </c:pt>
                <c:pt idx="4">
                  <c:v>-10.485173096081876</c:v>
                </c:pt>
                <c:pt idx="5">
                  <c:v>-10.047385886513275</c:v>
                </c:pt>
                <c:pt idx="6">
                  <c:v>-9.6248731016376823</c:v>
                </c:pt>
                <c:pt idx="7">
                  <c:v>-9.2172433075923301</c:v>
                </c:pt>
                <c:pt idx="8">
                  <c:v>-8.8241129896169763</c:v>
                </c:pt>
                <c:pt idx="9">
                  <c:v>-8.4451064759962744</c:v>
                </c:pt>
                <c:pt idx="10">
                  <c:v>-8.0798558634445659</c:v>
                </c:pt>
                <c:pt idx="11">
                  <c:v>-7.7280009439962898</c:v>
                </c:pt>
                <c:pt idx="12">
                  <c:v>-7.3891891334704836</c:v>
                </c:pt>
                <c:pt idx="13">
                  <c:v>-7.0630754015825055</c:v>
                </c:pt>
                <c:pt idx="14">
                  <c:v>-6.7493222037810705</c:v>
                </c:pt>
                <c:pt idx="15">
                  <c:v>-6.4475994148948592</c:v>
                </c:pt>
                <c:pt idx="16">
                  <c:v>-6.1575842646785777</c:v>
                </c:pt>
                <c:pt idx="17">
                  <c:v>-5.8789612753554863</c:v>
                </c:pt>
                <c:pt idx="18">
                  <c:v>-5.6114222012599795</c:v>
                </c:pt>
                <c:pt idx="19">
                  <c:v>-5.3546659706920909</c:v>
                </c:pt>
                <c:pt idx="20">
                  <c:v>-5.1083986301036752</c:v>
                </c:pt>
                <c:pt idx="21">
                  <c:v>-4.8723332907455674</c:v>
                </c:pt>
                <c:pt idx="22">
                  <c:v>-4.6461900779142162</c:v>
                </c:pt>
                <c:pt idx="23">
                  <c:v>-4.429696082947717</c:v>
                </c:pt>
                <c:pt idx="24">
                  <c:v>-4.2225853181317232</c:v>
                </c:pt>
                <c:pt idx="25">
                  <c:v>-4.0245986746891438</c:v>
                </c:pt>
                <c:pt idx="26">
                  <c:v>-3.8354838840404217</c:v>
                </c:pt>
                <c:pt idx="27">
                  <c:v>-3.6549954825363549</c:v>
                </c:pt>
                <c:pt idx="28">
                  <c:v>-3.4828947798810188</c:v>
                </c:pt>
                <c:pt idx="29">
                  <c:v>-3.3189498314801789</c:v>
                </c:pt>
                <c:pt idx="30">
                  <c:v>-3.1629354149691471</c:v>
                </c:pt>
                <c:pt idx="31">
                  <c:v>-3.0146330111947703</c:v>
                </c:pt>
                <c:pt idx="32">
                  <c:v>-2.8738307899487179</c:v>
                </c:pt>
                <c:pt idx="33">
                  <c:v>-2.7403236007734391</c:v>
                </c:pt>
                <c:pt idx="34">
                  <c:v>-2.6139129691890695</c:v>
                </c:pt>
                <c:pt idx="35">
                  <c:v>-2.4944070987182791</c:v>
                </c:pt>
                <c:pt idx="36">
                  <c:v>-2.3816208791181657</c:v>
                </c:pt>
                <c:pt idx="37">
                  <c:v>-2.2753759012623296</c:v>
                </c:pt>
                <c:pt idx="38">
                  <c:v>-2.175500479154759</c:v>
                </c:pt>
                <c:pt idx="39">
                  <c:v>-2.0818296795979405</c:v>
                </c:pt>
                <c:pt idx="40">
                  <c:v>-1.9942053600831193</c:v>
                </c:pt>
                <c:pt idx="41">
                  <c:v>-1.9124762155202113</c:v>
                </c:pt>
                <c:pt idx="42">
                  <c:v>-1.836497834478978</c:v>
                </c:pt>
                <c:pt idx="43">
                  <c:v>-1.7661327656726358</c:v>
                </c:pt>
                <c:pt idx="44">
                  <c:v>-1.7012506209159817</c:v>
                </c:pt>
                <c:pt idx="45">
                  <c:v>-1.706868305438173</c:v>
                </c:pt>
                <c:pt idx="46">
                  <c:v>-1.7132632996544728</c:v>
                </c:pt>
                <c:pt idx="47">
                  <c:v>-1.7205231094831488</c:v>
                </c:pt>
                <c:pt idx="48">
                  <c:v>-1.7287333507821154</c:v>
                </c:pt>
                <c:pt idx="49">
                  <c:v>-1.7379780162424485</c:v>
                </c:pt>
                <c:pt idx="50">
                  <c:v>-1.7483397341793421</c:v>
                </c:pt>
                <c:pt idx="51">
                  <c:v>-1.7599000198536503</c:v>
                </c:pt>
                <c:pt idx="52">
                  <c:v>-1.7727395199360743</c:v>
                </c:pt>
                <c:pt idx="53">
                  <c:v>-1.7869382507060254</c:v>
                </c:pt>
                <c:pt idx="54">
                  <c:v>-1.8025758305586932</c:v>
                </c:pt>
                <c:pt idx="55">
                  <c:v>-1.8197317073764829</c:v>
                </c:pt>
                <c:pt idx="56">
                  <c:v>-1.8384853813048792</c:v>
                </c:pt>
                <c:pt idx="57">
                  <c:v>-1.8589166234578782</c:v>
                </c:pt>
                <c:pt idx="58">
                  <c:v>-1.8811056910642356</c:v>
                </c:pt>
                <c:pt idx="59">
                  <c:v>-1.9051335395532634</c:v>
                </c:pt>
                <c:pt idx="60">
                  <c:v>-1.9310820320670683</c:v>
                </c:pt>
                <c:pt idx="61">
                  <c:v>-1.95903414687572</c:v>
                </c:pt>
                <c:pt idx="62">
                  <c:v>-1.989074183162119</c:v>
                </c:pt>
                <c:pt idx="63">
                  <c:v>-2.021287965634893</c:v>
                </c:pt>
                <c:pt idx="64">
                  <c:v>-2.0557630484198777</c:v>
                </c:pt>
                <c:pt idx="65">
                  <c:v>-2.0925889186741697</c:v>
                </c:pt>
                <c:pt idx="66">
                  <c:v>-2.1318572003609138</c:v>
                </c:pt>
                <c:pt idx="67">
                  <c:v>-2.1736618586181198</c:v>
                </c:pt>
                <c:pt idx="68">
                  <c:v>-2.2180994051508485</c:v>
                </c:pt>
                <c:pt idx="69">
                  <c:v>-2.2652691050729823</c:v>
                </c:pt>
                <c:pt idx="70">
                  <c:v>-2.3152731856225111</c:v>
                </c:pt>
                <c:pt idx="71">
                  <c:v>-2.3682170471729096</c:v>
                </c:pt>
                <c:pt idx="72">
                  <c:v>-2.4242094769625089</c:v>
                </c:pt>
                <c:pt idx="73">
                  <c:v>-2.4833628659641311</c:v>
                </c:pt>
                <c:pt idx="74">
                  <c:v>-2.5457934293181763</c:v>
                </c:pt>
              </c:numCache>
            </c:numRef>
          </c:val>
        </c:ser>
        <c:ser>
          <c:idx val="13"/>
          <c:order val="12"/>
          <c:tx>
            <c:strRef>
              <c:f>[1]Montée!$AD$8</c:f>
              <c:strCache>
                <c:ptCount val="1"/>
                <c:pt idx="0">
                  <c:v>0,65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[1]Montée!$AD$9:$AD$83</c:f>
              <c:numCache>
                <c:formatCode>General</c:formatCode>
                <c:ptCount val="75"/>
                <c:pt idx="0">
                  <c:v>-22.876095011823452</c:v>
                </c:pt>
                <c:pt idx="1">
                  <c:v>-22.031971137538079</c:v>
                </c:pt>
                <c:pt idx="2">
                  <c:v>-21.213957413073164</c:v>
                </c:pt>
                <c:pt idx="3">
                  <c:v>-20.421432359975263</c:v>
                </c:pt>
                <c:pt idx="4">
                  <c:v>-19.653785829119499</c:v>
                </c:pt>
                <c:pt idx="5">
                  <c:v>-18.910418887166248</c:v>
                </c:pt>
                <c:pt idx="6">
                  <c:v>-18.1907437043172</c:v>
                </c:pt>
                <c:pt idx="7">
                  <c:v>-17.494183443415576</c:v>
                </c:pt>
                <c:pt idx="8">
                  <c:v>-16.820172150440012</c:v>
                </c:pt>
                <c:pt idx="9">
                  <c:v>-16.168154646442385</c:v>
                </c:pt>
                <c:pt idx="10">
                  <c:v>-15.537586420986072</c:v>
                </c:pt>
                <c:pt idx="11">
                  <c:v>-14.927933527143177</c:v>
                </c:pt>
                <c:pt idx="12">
                  <c:v>-14.338672478114047</c:v>
                </c:pt>
                <c:pt idx="13">
                  <c:v>-13.769290145537365</c:v>
                </c:pt>
                <c:pt idx="14">
                  <c:v>-13.219283659562885</c:v>
                </c:pt>
                <c:pt idx="15">
                  <c:v>-12.688160310765229</c:v>
                </c:pt>
                <c:pt idx="16">
                  <c:v>-12.175437453981921</c:v>
                </c:pt>
                <c:pt idx="17">
                  <c:v>-11.680642414165716</c:v>
                </c:pt>
                <c:pt idx="18">
                  <c:v>-11.203312394347076</c:v>
                </c:pt>
                <c:pt idx="19">
                  <c:v>-10.742994385810562</c:v>
                </c:pt>
                <c:pt idx="20">
                  <c:v>-10.299245080595957</c:v>
                </c:pt>
                <c:pt idx="21">
                  <c:v>-9.8716307864439337</c:v>
                </c:pt>
                <c:pt idx="22">
                  <c:v>-9.4597273443146275</c:v>
                </c:pt>
                <c:pt idx="23">
                  <c:v>-9.0631200486174777</c:v>
                </c:pt>
                <c:pt idx="24">
                  <c:v>-8.6814035703012795</c:v>
                </c:pt>
                <c:pt idx="25">
                  <c:v>-8.3141818829652561</c:v>
                </c:pt>
                <c:pt idx="26">
                  <c:v>-7.9610681921639284</c:v>
                </c:pt>
                <c:pt idx="27">
                  <c:v>-7.6216848680924336</c:v>
                </c:pt>
                <c:pt idx="28">
                  <c:v>-7.2956633818540322</c:v>
                </c:pt>
                <c:pt idx="29">
                  <c:v>-6.9826442455268252</c:v>
                </c:pt>
                <c:pt idx="30">
                  <c:v>-6.6822769562650643</c:v>
                </c:pt>
                <c:pt idx="31">
                  <c:v>-6.3942199446886923</c:v>
                </c:pt>
                <c:pt idx="32">
                  <c:v>-6.1181405278359904</c:v>
                </c:pt>
                <c:pt idx="33">
                  <c:v>-5.8537148669762953</c:v>
                </c:pt>
                <c:pt idx="34">
                  <c:v>-5.6006279306047881</c:v>
                </c:pt>
                <c:pt idx="35">
                  <c:v>-5.358573462967688</c:v>
                </c:pt>
                <c:pt idx="36">
                  <c:v>-5.1272539584959311</c:v>
                </c:pt>
                <c:pt idx="37">
                  <c:v>-4.9063806425569076</c:v>
                </c:pt>
                <c:pt idx="38">
                  <c:v>-4.6956734589690425</c:v>
                </c:pt>
                <c:pt idx="39">
                  <c:v>-4.4948610647621345</c:v>
                </c:pt>
                <c:pt idx="40">
                  <c:v>-4.3036808327079186</c:v>
                </c:pt>
                <c:pt idx="41">
                  <c:v>-4.1218788621914486</c:v>
                </c:pt>
                <c:pt idx="42">
                  <c:v>-3.9492099990436076</c:v>
                </c:pt>
                <c:pt idx="43">
                  <c:v>-3.7854378650100915</c:v>
                </c:pt>
                <c:pt idx="44">
                  <c:v>-3.6303345400023423</c:v>
                </c:pt>
                <c:pt idx="45">
                  <c:v>-3.5589049400509811</c:v>
                </c:pt>
                <c:pt idx="46">
                  <c:v>-3.4910297618840294</c:v>
                </c:pt>
                <c:pt idx="47">
                  <c:v>-3.4266852800348104</c:v>
                </c:pt>
                <c:pt idx="48">
                  <c:v>-3.3658498501170113</c:v>
                </c:pt>
                <c:pt idx="49">
                  <c:v>-3.3085040161561032</c:v>
                </c:pt>
                <c:pt idx="50">
                  <c:v>-3.2546306154489404</c:v>
                </c:pt>
                <c:pt idx="51">
                  <c:v>-3.2042148813575855</c:v>
                </c:pt>
                <c:pt idx="52">
                  <c:v>-3.1572445444302781</c:v>
                </c:pt>
                <c:pt idx="53">
                  <c:v>-3.1137099322299617</c:v>
                </c:pt>
                <c:pt idx="54">
                  <c:v>-3.0736040682396091</c:v>
                </c:pt>
                <c:pt idx="55">
                  <c:v>-3.0369227702031156</c:v>
                </c:pt>
                <c:pt idx="56">
                  <c:v>-3.0036647482511913</c:v>
                </c:pt>
                <c:pt idx="57">
                  <c:v>-2.9738317031530883</c:v>
                </c:pt>
                <c:pt idx="58">
                  <c:v>-2.9474284250273168</c:v>
                </c:pt>
                <c:pt idx="59">
                  <c:v>-2.924462892837794</c:v>
                </c:pt>
                <c:pt idx="60">
                  <c:v>-2.9049463749956947</c:v>
                </c:pt>
                <c:pt idx="61">
                  <c:v>-2.8888935313822213</c:v>
                </c:pt>
                <c:pt idx="62">
                  <c:v>-2.8763225171029774</c:v>
                </c:pt>
                <c:pt idx="63">
                  <c:v>-2.8672550882810004</c:v>
                </c:pt>
                <c:pt idx="64">
                  <c:v>-2.8617167101925691</c:v>
                </c:pt>
                <c:pt idx="65">
                  <c:v>-2.859736668047657</c:v>
                </c:pt>
                <c:pt idx="66">
                  <c:v>-2.8613481807154617</c:v>
                </c:pt>
                <c:pt idx="67">
                  <c:v>-2.8665885176945869</c:v>
                </c:pt>
                <c:pt idx="68">
                  <c:v>-2.8754991196273414</c:v>
                </c:pt>
                <c:pt idx="69">
                  <c:v>-2.8881257226582226</c:v>
                </c:pt>
                <c:pt idx="70">
                  <c:v>-2.9045184869378238</c:v>
                </c:pt>
                <c:pt idx="71">
                  <c:v>-2.9247321295753652</c:v>
                </c:pt>
                <c:pt idx="72">
                  <c:v>-2.9488260623455149</c:v>
                </c:pt>
                <c:pt idx="73">
                  <c:v>-2.9768645344584703</c:v>
                </c:pt>
                <c:pt idx="74">
                  <c:v>-3.0089167807060315</c:v>
                </c:pt>
              </c:numCache>
            </c:numRef>
          </c:val>
        </c:ser>
        <c:ser>
          <c:idx val="14"/>
          <c:order val="13"/>
          <c:tx>
            <c:strRef>
              <c:f>[1]Montée!$AE$8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[1]Montée!$AE$9:$AE$83</c:f>
              <c:numCache>
                <c:formatCode>General</c:formatCode>
                <c:ptCount val="75"/>
                <c:pt idx="0">
                  <c:v>-35.3713092041884</c:v>
                </c:pt>
                <c:pt idx="1">
                  <c:v>-34.121741987894119</c:v>
                </c:pt>
                <c:pt idx="2">
                  <c:v>-32.909180653539579</c:v>
                </c:pt>
                <c:pt idx="3">
                  <c:v>-31.73277038349606</c:v>
                </c:pt>
                <c:pt idx="4">
                  <c:v>-30.591671338113127</c:v>
                </c:pt>
                <c:pt idx="5">
                  <c:v>-29.485058504627364</c:v>
                </c:pt>
                <c:pt idx="6">
                  <c:v>-28.412121547473586</c:v>
                </c:pt>
                <c:pt idx="7">
                  <c:v>-27.37206466004033</c:v>
                </c:pt>
                <c:pt idx="8">
                  <c:v>-26.364106417915991</c:v>
                </c:pt>
                <c:pt idx="9">
                  <c:v>-25.387479633672637</c:v>
                </c:pt>
                <c:pt idx="10">
                  <c:v>-24.441431213240843</c:v>
                </c:pt>
                <c:pt idx="11">
                  <c:v>-23.525222013929575</c:v>
                </c:pt>
                <c:pt idx="12">
                  <c:v>-22.638126704151009</c:v>
                </c:pt>
                <c:pt idx="13">
                  <c:v>-21.779433624913889</c:v>
                </c:pt>
                <c:pt idx="14">
                  <c:v>-20.948444653152546</c:v>
                </c:pt>
                <c:pt idx="15">
                  <c:v>-20.144475066965253</c:v>
                </c:pt>
                <c:pt idx="16">
                  <c:v>-19.366853412839319</c:v>
                </c:pt>
                <c:pt idx="17">
                  <c:v>-18.614921374946952</c:v>
                </c:pt>
                <c:pt idx="18">
                  <c:v>-17.88803364660162</c:v>
                </c:pt>
                <c:pt idx="19">
                  <c:v>-17.185557803971321</c:v>
                </c:pt>
                <c:pt idx="20">
                  <c:v>-16.506874182152522</c:v>
                </c:pt>
                <c:pt idx="21">
                  <c:v>-15.851375753716072</c:v>
                </c:pt>
                <c:pt idx="22">
                  <c:v>-15.218468009845033</c:v>
                </c:pt>
                <c:pt idx="23">
                  <c:v>-14.607568844193427</c:v>
                </c:pt>
                <c:pt idx="24">
                  <c:v>-14.018108439604093</c:v>
                </c:pt>
                <c:pt idx="25">
                  <c:v>-13.449529157836256</c:v>
                </c:pt>
                <c:pt idx="26">
                  <c:v>-12.901285432463052</c:v>
                </c:pt>
                <c:pt idx="27">
                  <c:v>-12.372843665113185</c:v>
                </c:pt>
                <c:pt idx="28">
                  <c:v>-11.863682125244281</c:v>
                </c:pt>
                <c:pt idx="29">
                  <c:v>-11.373290853650115</c:v>
                </c:pt>
                <c:pt idx="30">
                  <c:v>-10.901171569920553</c:v>
                </c:pt>
                <c:pt idx="31">
                  <c:v>-10.446837584090538</c:v>
                </c:pt>
                <c:pt idx="32">
                  <c:v>-10.009813712733379</c:v>
                </c:pt>
                <c:pt idx="33">
                  <c:v>-9.5896361997750841</c:v>
                </c:pt>
                <c:pt idx="34">
                  <c:v>-9.1858526423288307</c:v>
                </c:pt>
                <c:pt idx="35">
                  <c:v>-8.7980219218737243</c:v>
                </c:pt>
                <c:pt idx="36">
                  <c:v>-8.4257141411294452</c:v>
                </c:pt>
                <c:pt idx="37">
                  <c:v>-8.0685105670073689</c:v>
                </c:pt>
                <c:pt idx="38">
                  <c:v>-7.726003580052021</c:v>
                </c:pt>
                <c:pt idx="39">
                  <c:v>-7.3977966308214151</c:v>
                </c:pt>
                <c:pt idx="40">
                  <c:v>-7.0835042036942433</c:v>
                </c:pt>
                <c:pt idx="41">
                  <c:v>-6.7827517886337159</c:v>
                </c:pt>
                <c:pt idx="42">
                  <c:v>-6.4951758614851292</c:v>
                </c:pt>
                <c:pt idx="43">
                  <c:v>-6.220423873434374</c:v>
                </c:pt>
                <c:pt idx="44">
                  <c:v>-5.9581534356816652</c:v>
                </c:pt>
                <c:pt idx="45">
                  <c:v>-5.7948173604609119</c:v>
                </c:pt>
                <c:pt idx="46">
                  <c:v>-5.6384077847184129</c:v>
                </c:pt>
                <c:pt idx="47">
                  <c:v>-5.4887676407216279</c:v>
                </c:pt>
                <c:pt idx="48">
                  <c:v>-5.3457468009748323</c:v>
                </c:pt>
                <c:pt idx="49">
                  <c:v>-5.2092019930845135</c:v>
                </c:pt>
                <c:pt idx="50">
                  <c:v>-5.0789967191094805</c:v>
                </c:pt>
                <c:pt idx="51">
                  <c:v>-4.9550011795257394</c:v>
                </c:pt>
                <c:pt idx="52">
                  <c:v>-4.8370922019328315</c:v>
                </c:pt>
                <c:pt idx="53">
                  <c:v>-4.725153174625448</c:v>
                </c:pt>
                <c:pt idx="54">
                  <c:v>-4.6190739851519105</c:v>
                </c:pt>
                <c:pt idx="55">
                  <c:v>-4.5187509639795502</c:v>
                </c:pt>
                <c:pt idx="56">
                  <c:v>-4.4240868333858892</c:v>
                </c:pt>
                <c:pt idx="57">
                  <c:v>-4.3349906616941336</c:v>
                </c:pt>
                <c:pt idx="58">
                  <c:v>-4.2513778229714614</c:v>
                </c:pt>
                <c:pt idx="59">
                  <c:v>-4.1731699623091902</c:v>
                </c:pt>
                <c:pt idx="60">
                  <c:v>-4.1002949668050723</c:v>
                </c:pt>
                <c:pt idx="61">
                  <c:v>-4.0326869423694047</c:v>
                </c:pt>
                <c:pt idx="62">
                  <c:v>-3.9702861964788836</c:v>
                </c:pt>
                <c:pt idx="63">
                  <c:v>-3.9130392270045746</c:v>
                </c:pt>
                <c:pt idx="64">
                  <c:v>-3.8608987172434879</c:v>
                </c:pt>
                <c:pt idx="65">
                  <c:v>-3.8138235372866625</c:v>
                </c:pt>
                <c:pt idx="66">
                  <c:v>-3.7717787518607135</c:v>
                </c:pt>
                <c:pt idx="67">
                  <c:v>-3.7347356347841352</c:v>
                </c:pt>
                <c:pt idx="68">
                  <c:v>-3.7026716901845544</c:v>
                </c:pt>
                <c:pt idx="69">
                  <c:v>-3.6755706806284465</c:v>
                </c:pt>
                <c:pt idx="70">
                  <c:v>-3.6534226623205712</c:v>
                </c:pt>
                <c:pt idx="71">
                  <c:v>-3.6362240275366267</c:v>
                </c:pt>
                <c:pt idx="72">
                  <c:v>-3.6239775544592487</c:v>
                </c:pt>
                <c:pt idx="73">
                  <c:v>-3.6166924645946397</c:v>
                </c:pt>
                <c:pt idx="74">
                  <c:v>-3.6143844879546427</c:v>
                </c:pt>
              </c:numCache>
            </c:numRef>
          </c:val>
        </c:ser>
        <c:ser>
          <c:idx val="15"/>
          <c:order val="14"/>
          <c:tx>
            <c:strRef>
              <c:f>[1]Montée!$AF$8</c:f>
              <c:strCache>
                <c:ptCount val="1"/>
                <c:pt idx="0">
                  <c:v>0,75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[1]Montée!$AF$9:$AF$83</c:f>
              <c:numCache>
                <c:formatCode>General</c:formatCode>
                <c:ptCount val="75"/>
                <c:pt idx="0">
                  <c:v>-50.001917237355002</c:v>
                </c:pt>
                <c:pt idx="1">
                  <c:v>-48.278675461165385</c:v>
                </c:pt>
                <c:pt idx="2">
                  <c:v>-46.605149615919181</c:v>
                </c:pt>
                <c:pt idx="3">
                  <c:v>-44.980213417888983</c:v>
                </c:pt>
                <c:pt idx="4">
                  <c:v>-43.40275980322776</c:v>
                </c:pt>
                <c:pt idx="5">
                  <c:v>-41.871700733639734</c:v>
                </c:pt>
                <c:pt idx="6">
                  <c:v>-40.385967003586991</c:v>
                </c:pt>
                <c:pt idx="7">
                  <c:v>-38.944508049070777</c:v>
                </c:pt>
                <c:pt idx="8">
                  <c:v>-37.546291758031302</c:v>
                </c:pt>
                <c:pt idx="9">
                  <c:v>-36.190304282410821</c:v>
                </c:pt>
                <c:pt idx="10">
                  <c:v>-34.875549851929691</c:v>
                </c:pt>
                <c:pt idx="11">
                  <c:v>-33.601050589626844</c:v>
                </c:pt>
                <c:pt idx="12">
                  <c:v>-32.365846329220766</c:v>
                </c:pt>
                <c:pt idx="13">
                  <c:v>-31.168994434350875</c:v>
                </c:pt>
                <c:pt idx="14">
                  <c:v>-30.009569619762637</c:v>
                </c:pt>
                <c:pt idx="15">
                  <c:v>-28.886663774505379</c:v>
                </c:pt>
                <c:pt idx="16">
                  <c:v>-27.79938578721589</c:v>
                </c:pt>
                <c:pt idx="17">
                  <c:v>-26.746861373566471</c:v>
                </c:pt>
                <c:pt idx="18">
                  <c:v>-25.728232905961786</c:v>
                </c:pt>
                <c:pt idx="19">
                  <c:v>-24.742659245575222</c:v>
                </c:pt>
                <c:pt idx="20">
                  <c:v>-23.789315576821618</c:v>
                </c:pt>
                <c:pt idx="21">
                  <c:v>-22.867393244371463</c:v>
                </c:pt>
                <c:pt idx="22">
                  <c:v>-21.976099592818304</c:v>
                </c:pt>
                <c:pt idx="23">
                  <c:v>-21.114657809120903</c:v>
                </c:pt>
                <c:pt idx="24">
                  <c:v>-20.282306767949294</c:v>
                </c:pt>
                <c:pt idx="25">
                  <c:v>-19.478300880076016</c:v>
                </c:pt>
                <c:pt idx="26">
                  <c:v>-18.701909943962448</c:v>
                </c:pt>
                <c:pt idx="27">
                  <c:v>-17.95241900070361</c:v>
                </c:pt>
                <c:pt idx="28">
                  <c:v>-17.229128192506778</c:v>
                </c:pt>
                <c:pt idx="29">
                  <c:v>-16.531352624893309</c:v>
                </c:pt>
                <c:pt idx="30">
                  <c:v>-15.858422232828527</c:v>
                </c:pt>
                <c:pt idx="31">
                  <c:v>-15.209681651000562</c:v>
                </c:pt>
                <c:pt idx="32">
                  <c:v>-14.584490088487307</c:v>
                </c:pt>
                <c:pt idx="33">
                  <c:v>-13.982221208069983</c:v>
                </c:pt>
                <c:pt idx="34">
                  <c:v>-13.402263010473332</c:v>
                </c:pt>
                <c:pt idx="35">
                  <c:v>-12.844017723835325</c:v>
                </c:pt>
                <c:pt idx="36">
                  <c:v>-12.306901698735302</c:v>
                </c:pt>
                <c:pt idx="37">
                  <c:v>-11.790345309136224</c:v>
                </c:pt>
                <c:pt idx="38">
                  <c:v>-11.293792859627935</c:v>
                </c:pt>
                <c:pt idx="39">
                  <c:v>-10.816702499390688</c:v>
                </c:pt>
                <c:pt idx="40">
                  <c:v>-10.358546143334836</c:v>
                </c:pt>
                <c:pt idx="41">
                  <c:v>-9.9188094009121048</c:v>
                </c:pt>
                <c:pt idx="42">
                  <c:v>-9.4969915131371003</c:v>
                </c:pt>
                <c:pt idx="43">
                  <c:v>-9.0926052984056476</c:v>
                </c:pt>
                <c:pt idx="44">
                  <c:v>-8.705175757740836</c:v>
                </c:pt>
                <c:pt idx="45">
                  <c:v>-8.4342024876861839</c:v>
                </c:pt>
                <c:pt idx="46">
                  <c:v>-8.1741510893982774</c:v>
                </c:pt>
                <c:pt idx="47">
                  <c:v>-7.9247078202320518</c:v>
                </c:pt>
                <c:pt idx="48">
                  <c:v>-7.6855716634374893</c:v>
                </c:pt>
                <c:pt idx="49">
                  <c:v>-7.4564540159679877</c:v>
                </c:pt>
                <c:pt idx="50">
                  <c:v>-7.2370783891067072</c:v>
                </c:pt>
                <c:pt idx="51">
                  <c:v>-7.027180121713732</c:v>
                </c:pt>
                <c:pt idx="52">
                  <c:v>-6.8265061059053815</c:v>
                </c:pt>
                <c:pt idx="53">
                  <c:v>-6.6348145249854973</c:v>
                </c:pt>
                <c:pt idx="54">
                  <c:v>-6.4518746034575036</c:v>
                </c:pt>
                <c:pt idx="55">
                  <c:v>-6.2774663689548138</c:v>
                </c:pt>
                <c:pt idx="56">
                  <c:v>-6.1113804259363729</c:v>
                </c:pt>
                <c:pt idx="57">
                  <c:v>-5.9534177410033688</c:v>
                </c:pt>
                <c:pt idx="58">
                  <c:v>-5.803389439702463</c:v>
                </c:pt>
                <c:pt idx="59">
                  <c:v>-5.6611166146905916</c:v>
                </c:pt>
                <c:pt idx="60">
                  <c:v>-5.5264301451459348</c:v>
                </c:pt>
                <c:pt idx="61">
                  <c:v>-5.3991705273196526</c:v>
                </c:pt>
                <c:pt idx="62">
                  <c:v>-5.2791877161328458</c:v>
                </c:pt>
                <c:pt idx="63">
                  <c:v>-5.1663409777334817</c:v>
                </c:pt>
                <c:pt idx="64">
                  <c:v>-5.0604987529382779</c:v>
                </c:pt>
                <c:pt idx="65">
                  <c:v>-4.9615385314949823</c:v>
                </c:pt>
                <c:pt idx="66">
                  <c:v>-4.869346737111222</c:v>
                </c:pt>
                <c:pt idx="67">
                  <c:v>-4.7838186232068134</c:v>
                </c:pt>
                <c:pt idx="68">
                  <c:v>-4.7048581793574558</c:v>
                </c:pt>
                <c:pt idx="69">
                  <c:v>-4.6323780484088921</c:v>
                </c:pt>
                <c:pt idx="70">
                  <c:v>-4.5662994542520146</c:v>
                </c:pt>
                <c:pt idx="71">
                  <c:v>-4.5065521402608963</c:v>
                </c:pt>
                <c:pt idx="72">
                  <c:v>-4.4530743184075581</c:v>
                </c:pt>
                <c:pt idx="73">
                  <c:v>-4.4058126290792394</c:v>
                </c:pt>
                <c:pt idx="74">
                  <c:v>-4.3647221116361763</c:v>
                </c:pt>
              </c:numCache>
            </c:numRef>
          </c:val>
        </c:ser>
        <c:ser>
          <c:idx val="16"/>
          <c:order val="15"/>
          <c:tx>
            <c:strRef>
              <c:f>[1]Montée!$AG$8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[1]Montée!$AG$9:$AG$83</c:f>
              <c:numCache>
                <c:formatCode>General</c:formatCode>
                <c:ptCount val="75"/>
                <c:pt idx="0">
                  <c:v>-66.887104762387921</c:v>
                </c:pt>
                <c:pt idx="1">
                  <c:v>-64.618008200581869</c:v>
                </c:pt>
                <c:pt idx="2">
                  <c:v>-62.413259829299427</c:v>
                </c:pt>
                <c:pt idx="3">
                  <c:v>-60.27142140635415</c:v>
                </c:pt>
                <c:pt idx="4">
                  <c:v>-58.191078782044585</c:v>
                </c:pt>
                <c:pt idx="5">
                  <c:v>-56.170841655487777</c:v>
                </c:pt>
                <c:pt idx="6">
                  <c:v>-54.209343332652018</c:v>
                </c:pt>
                <c:pt idx="7">
                  <c:v>-52.305240486125243</c:v>
                </c:pt>
                <c:pt idx="8">
                  <c:v>-50.457212916661852</c:v>
                </c:pt>
                <c:pt idx="9">
                  <c:v>-48.663963316548987</c:v>
                </c:pt>
                <c:pt idx="10">
                  <c:v>-46.924217034840723</c:v>
                </c:pt>
                <c:pt idx="11">
                  <c:v>-45.236721844508203</c:v>
                </c:pt>
                <c:pt idx="12">
                  <c:v>-43.600247711559057</c:v>
                </c:pt>
                <c:pt idx="13">
                  <c:v>-42.013586566183399</c:v>
                </c:pt>
                <c:pt idx="14">
                  <c:v>-40.47555207598483</c:v>
                </c:pt>
                <c:pt idx="15">
                  <c:v>-38.98497942136391</c:v>
                </c:pt>
                <c:pt idx="16">
                  <c:v>-37.540725073120825</c:v>
                </c:pt>
                <c:pt idx="17">
                  <c:v>-36.141666572353735</c:v>
                </c:pt>
                <c:pt idx="18">
                  <c:v>-34.786702312730689</c:v>
                </c:pt>
                <c:pt idx="19">
                  <c:v>-33.474751325222101</c:v>
                </c:pt>
                <c:pt idx="20">
                  <c:v>-32.204753065384153</c:v>
                </c:pt>
                <c:pt idx="21">
                  <c:v>-30.975667203293124</c:v>
                </c:pt>
                <c:pt idx="22">
                  <c:v>-29.786473416235374</c:v>
                </c:pt>
                <c:pt idx="23">
                  <c:v>-28.636171184267791</c:v>
                </c:pt>
                <c:pt idx="24">
                  <c:v>-27.523779588770491</c:v>
                </c:pt>
                <c:pt idx="25">
                  <c:v>-26.448337114124456</c:v>
                </c:pt>
                <c:pt idx="26">
                  <c:v>-25.408901452655943</c:v>
                </c:pt>
                <c:pt idx="27">
                  <c:v>-24.404549313000597</c:v>
                </c:pt>
                <c:pt idx="28">
                  <c:v>-23.434376232053086</c:v>
                </c:pt>
                <c:pt idx="29">
                  <c:v>-22.497496390679853</c:v>
                </c:pt>
                <c:pt idx="30">
                  <c:v>-21.593042433388081</c:v>
                </c:pt>
                <c:pt idx="31">
                  <c:v>-20.720165292158331</c:v>
                </c:pt>
                <c:pt idx="32">
                  <c:v>-19.878034014665825</c:v>
                </c:pt>
                <c:pt idx="33">
                  <c:v>-19.065835597133397</c:v>
                </c:pt>
                <c:pt idx="34">
                  <c:v>-18.28277482207918</c:v>
                </c:pt>
                <c:pt idx="35">
                  <c:v>-17.52807410124371</c:v>
                </c:pt>
                <c:pt idx="36">
                  <c:v>-16.800973324005504</c:v>
                </c:pt>
                <c:pt idx="37">
                  <c:v>-16.100729711619088</c:v>
                </c:pt>
                <c:pt idx="38">
                  <c:v>-15.426617677639106</c:v>
                </c:pt>
                <c:pt idx="39">
                  <c:v>-14.777928694923931</c:v>
                </c:pt>
                <c:pt idx="40">
                  <c:v>-14.153971169647178</c:v>
                </c:pt>
                <c:pt idx="41">
                  <c:v>-13.554070322781984</c:v>
                </c:pt>
                <c:pt idx="42">
                  <c:v>-12.977568079563985</c:v>
                </c:pt>
                <c:pt idx="43">
                  <c:v>-12.423822967483398</c:v>
                </c:pt>
                <c:pt idx="44">
                  <c:v>-11.892208055420975</c:v>
                </c:pt>
                <c:pt idx="45">
                  <c:v>-11.497008909523975</c:v>
                </c:pt>
                <c:pt idx="46">
                  <c:v>-11.117379175701515</c:v>
                </c:pt>
                <c:pt idx="47">
                  <c:v>-10.752823903830786</c:v>
                </c:pt>
                <c:pt idx="48">
                  <c:v>-10.40286762120687</c:v>
                </c:pt>
                <c:pt idx="49">
                  <c:v>-10.067053757051038</c:v>
                </c:pt>
                <c:pt idx="50">
                  <c:v>-9.7449440895995636</c:v>
                </c:pt>
                <c:pt idx="51">
                  <c:v>-9.4361182151949681</c:v>
                </c:pt>
                <c:pt idx="52">
                  <c:v>-9.1401730388244111</c:v>
                </c:pt>
                <c:pt idx="53">
                  <c:v>-8.8567222855717329</c:v>
                </c:pt>
                <c:pt idx="54">
                  <c:v>-8.5853960324717011</c:v>
                </c:pt>
                <c:pt idx="55">
                  <c:v>-8.3258402602761805</c:v>
                </c:pt>
                <c:pt idx="56">
                  <c:v>-8.077716424663187</c:v>
                </c:pt>
                <c:pt idx="57">
                  <c:v>-7.8407010464404276</c:v>
                </c:pt>
                <c:pt idx="58">
                  <c:v>-7.6144853203153744</c:v>
                </c:pt>
                <c:pt idx="59">
                  <c:v>-7.3987747418241518</c:v>
                </c:pt>
                <c:pt idx="60">
                  <c:v>-7.1932887520313225</c:v>
                </c:pt>
                <c:pt idx="61">
                  <c:v>-6.9977603996322797</c:v>
                </c:pt>
                <c:pt idx="62">
                  <c:v>-6.8119360201093757</c:v>
                </c:pt>
                <c:pt idx="63">
                  <c:v>-6.6355749316120178</c:v>
                </c:pt>
                <c:pt idx="64">
                  <c:v>-6.4684491472499799</c:v>
                </c:pt>
                <c:pt idx="65">
                  <c:v>-6.310343103507833</c:v>
                </c:pt>
                <c:pt idx="66">
                  <c:v>-6.1610534045070331</c:v>
                </c:pt>
                <c:pt idx="67">
                  <c:v>-6.020388581860673</c:v>
                </c:pt>
                <c:pt idx="68">
                  <c:v>-5.8881688698840549</c:v>
                </c:pt>
                <c:pt idx="69">
                  <c:v>-5.7642259959424909</c:v>
                </c:pt>
                <c:pt idx="70">
                  <c:v>-5.6484029857358085</c:v>
                </c:pt>
                <c:pt idx="71">
                  <c:v>-5.540553983336908</c:v>
                </c:pt>
                <c:pt idx="72">
                  <c:v>-5.4405440858197025</c:v>
                </c:pt>
                <c:pt idx="73">
                  <c:v>-5.3482491923295692</c:v>
                </c:pt>
                <c:pt idx="74">
                  <c:v>-5.2635558674672938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74891648"/>
        <c:axId val="74893568"/>
        <c:axId val="75291712"/>
      </c:surface3DChart>
      <c:catAx>
        <c:axId val="74891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altitude [m]</a:t>
                </a:r>
              </a:p>
            </c:rich>
          </c:tx>
          <c:layout>
            <c:manualLayout>
              <c:xMode val="edge"/>
              <c:yMode val="edge"/>
              <c:x val="0.2419283746556474"/>
              <c:y val="0.79222461665976096"/>
            </c:manualLayout>
          </c:layout>
          <c:spPr>
            <a:noFill/>
            <a:ln w="25400">
              <a:noFill/>
            </a:ln>
          </c:spPr>
        </c:title>
        <c:numFmt formatCode="General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74893568"/>
        <c:crosses val="autoZero"/>
        <c:auto val="1"/>
        <c:lblAlgn val="ctr"/>
        <c:lblOffset val="100"/>
        <c:tickLblSkip val="5"/>
        <c:tickMarkSkip val="1"/>
        <c:noMultiLvlLbl val="1"/>
      </c:catAx>
      <c:valAx>
        <c:axId val="7489356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de-DE"/>
                  <a:t>Vz [m/s]</a:t>
                </a:r>
              </a:p>
            </c:rich>
          </c:tx>
          <c:layout>
            <c:manualLayout>
              <c:xMode val="edge"/>
              <c:yMode val="edge"/>
              <c:x val="4.5879698921932411E-3"/>
              <c:y val="0.261670120182345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74891648"/>
        <c:crosses val="autoZero"/>
        <c:crossBetween val="between"/>
      </c:valAx>
      <c:serAx>
        <c:axId val="75291712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de-DE"/>
                  <a:t>Mach</a:t>
                </a:r>
              </a:p>
            </c:rich>
          </c:tx>
          <c:layout>
            <c:manualLayout>
              <c:xMode val="edge"/>
              <c:yMode val="edge"/>
              <c:x val="0.80976291186742055"/>
              <c:y val="0.83608122668877083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74893568"/>
        <c:crosses val="autoZero"/>
        <c:tickLblSkip val="14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</c:legendEntry>
      <c:legendEntry>
        <c:idx val="1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</c:legendEntry>
      <c:legendEntry>
        <c:idx val="2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</c:legendEntry>
      <c:layout>
        <c:manualLayout>
          <c:xMode val="edge"/>
          <c:yMode val="edge"/>
          <c:x val="0.75413309906509662"/>
          <c:y val="2.1052631578947382E-2"/>
          <c:w val="0.19214897724561267"/>
          <c:h val="0.30789473684210578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05" footer="0.492125984500000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view3D>
      <c:rotX val="90"/>
      <c:rotY val="270"/>
      <c:depthPercent val="100"/>
      <c:perspective val="0"/>
    </c:view3D>
    <c:plotArea>
      <c:layout>
        <c:manualLayout>
          <c:layoutTarget val="inner"/>
          <c:xMode val="edge"/>
          <c:yMode val="edge"/>
          <c:x val="9.6432231685325012E-2"/>
          <c:y val="0"/>
          <c:w val="0.79773588841254661"/>
          <c:h val="0.86861520257186065"/>
        </c:manualLayout>
      </c:layout>
      <c:surface3DChart>
        <c:ser>
          <c:idx val="1"/>
          <c:order val="0"/>
          <c:tx>
            <c:strRef>
              <c:f>[1]Montée!$R$8</c:f>
              <c:strCache>
                <c:ptCount val="1"/>
                <c:pt idx="0">
                  <c:v>0,05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[1]Montée!$R$9:$R$83</c:f>
              <c:numCache>
                <c:formatCode>General</c:formatCode>
                <c:ptCount val="75"/>
                <c:pt idx="0">
                  <c:v>2.4578628823666189</c:v>
                </c:pt>
                <c:pt idx="1">
                  <c:v>2.2823537180784186</c:v>
                </c:pt>
                <c:pt idx="2">
                  <c:v>2.1079511078457331</c:v>
                </c:pt>
                <c:pt idx="3">
                  <c:v>1.9345389264331683</c:v>
                </c:pt>
                <c:pt idx="4">
                  <c:v>1.7619985830734919</c:v>
                </c:pt>
                <c:pt idx="5">
                  <c:v>1.5902088621410919</c:v>
                </c:pt>
                <c:pt idx="6">
                  <c:v>1.4190457548554862</c:v>
                </c:pt>
                <c:pt idx="7">
                  <c:v>1.2483822814423156</c:v>
                </c:pt>
                <c:pt idx="8">
                  <c:v>1.0780883031394008</c:v>
                </c:pt>
                <c:pt idx="9">
                  <c:v>0.90803032339191914</c:v>
                </c:pt>
                <c:pt idx="10">
                  <c:v>0.73807127753434942</c:v>
                </c:pt>
                <c:pt idx="11">
                  <c:v>0.56807031020666043</c:v>
                </c:pt>
                <c:pt idx="12">
                  <c:v>0.39788253969792509</c:v>
                </c:pt>
                <c:pt idx="13">
                  <c:v>0.22735880835251576</c:v>
                </c:pt>
                <c:pt idx="14">
                  <c:v>5.6345418110676171E-2</c:v>
                </c:pt>
                <c:pt idx="15">
                  <c:v>-0.11531614981227545</c:v>
                </c:pt>
                <c:pt idx="16">
                  <c:v>-0.28778953217755543</c:v>
                </c:pt>
                <c:pt idx="17">
                  <c:v>-0.46124379905396262</c:v>
                </c:pt>
                <c:pt idx="18">
                  <c:v>-0.63585378846268537</c:v>
                </c:pt>
                <c:pt idx="19">
                  <c:v>-0.81180046166293351</c:v>
                </c:pt>
                <c:pt idx="20">
                  <c:v>-0.98927128050578572</c:v>
                </c:pt>
                <c:pt idx="21">
                  <c:v>-1.16846060839221</c:v>
                </c:pt>
                <c:pt idx="22">
                  <c:v>-1.3495701364887207</c:v>
                </c:pt>
                <c:pt idx="23">
                  <c:v>-1.5328093369818796</c:v>
                </c:pt>
                <c:pt idx="24">
                  <c:v>-1.7183959452906667</c:v>
                </c:pt>
                <c:pt idx="25">
                  <c:v>-1.9065564733058524</c:v>
                </c:pt>
                <c:pt idx="26">
                  <c:v>-2.0975267558881656</c:v>
                </c:pt>
                <c:pt idx="27">
                  <c:v>-2.2915525330336113</c:v>
                </c:pt>
                <c:pt idx="28">
                  <c:v>-2.4888900703062529</c:v>
                </c:pt>
                <c:pt idx="29">
                  <c:v>-2.6898068203474903</c:v>
                </c:pt>
                <c:pt idx="30">
                  <c:v>-2.8945821284975963</c:v>
                </c:pt>
                <c:pt idx="31">
                  <c:v>-3.1035079858123895</c:v>
                </c:pt>
                <c:pt idx="32">
                  <c:v>-3.3168898330267869</c:v>
                </c:pt>
                <c:pt idx="33">
                  <c:v>-3.5350474193098358</c:v>
                </c:pt>
                <c:pt idx="34">
                  <c:v>-3.7583157199753181</c:v>
                </c:pt>
                <c:pt idx="35">
                  <c:v>-3.9870459176603914</c:v>
                </c:pt>
                <c:pt idx="36">
                  <c:v>-4.2216064518647469</c:v>
                </c:pt>
                <c:pt idx="37">
                  <c:v>-4.4623841421583172</c:v>
                </c:pt>
                <c:pt idx="38">
                  <c:v>-4.7097853908189879</c:v>
                </c:pt>
                <c:pt idx="39">
                  <c:v>-4.9642374711581514</c:v>
                </c:pt>
                <c:pt idx="40">
                  <c:v>-5.2261899083346375</c:v>
                </c:pt>
                <c:pt idx="41">
                  <c:v>-5.4961159600519194</c:v>
                </c:pt>
                <c:pt idx="42">
                  <c:v>-5.7745142051847074</c:v>
                </c:pt>
                <c:pt idx="43">
                  <c:v>-6.0619102490946011</c:v>
                </c:pt>
                <c:pt idx="44">
                  <c:v>-6.3588601858434348</c:v>
                </c:pt>
                <c:pt idx="45">
                  <c:v>-6.6978429077276811</c:v>
                </c:pt>
                <c:pt idx="46">
                  <c:v>-7.0469399922058793</c:v>
                </c:pt>
                <c:pt idx="47">
                  <c:v>-7.4067025025614956</c:v>
                </c:pt>
                <c:pt idx="48">
                  <c:v>-7.7776975726500508</c:v>
                </c:pt>
                <c:pt idx="49">
                  <c:v>-8.1605093032777649</c:v>
                </c:pt>
                <c:pt idx="50">
                  <c:v>-8.555739684084271</c:v>
                </c:pt>
                <c:pt idx="51">
                  <c:v>-8.9640095423883164</c:v>
                </c:pt>
                <c:pt idx="52">
                  <c:v>-9.3859595204959714</c:v>
                </c:pt>
                <c:pt idx="53">
                  <c:v>-9.8222510830135992</c:v>
                </c:pt>
                <c:pt idx="54">
                  <c:v>-10.273567555752962</c:v>
                </c:pt>
                <c:pt idx="55">
                  <c:v>-10.740615197863834</c:v>
                </c:pt>
                <c:pt idx="56">
                  <c:v>-11.224124308879563</c:v>
                </c:pt>
                <c:pt idx="57">
                  <c:v>-11.724850372414164</c:v>
                </c:pt>
                <c:pt idx="58">
                  <c:v>-12.243575238305203</c:v>
                </c:pt>
                <c:pt idx="59">
                  <c:v>-12.781108345055271</c:v>
                </c:pt>
                <c:pt idx="60">
                  <c:v>-13.338287984486238</c:v>
                </c:pt>
                <c:pt idx="61">
                  <c:v>-13.915982610585081</c:v>
                </c:pt>
                <c:pt idx="62">
                  <c:v>-14.515092194587425</c:v>
                </c:pt>
                <c:pt idx="63">
                  <c:v>-15.13654962841591</c:v>
                </c:pt>
                <c:pt idx="64">
                  <c:v>-15.781322178664364</c:v>
                </c:pt>
                <c:pt idx="65">
                  <c:v>-16.450412993396373</c:v>
                </c:pt>
                <c:pt idx="66">
                  <c:v>-17.144862664107933</c:v>
                </c:pt>
                <c:pt idx="67">
                  <c:v>-17.865750845288392</c:v>
                </c:pt>
                <c:pt idx="68">
                  <c:v>-18.614197934102471</c:v>
                </c:pt>
                <c:pt idx="69">
                  <c:v>-19.39136681280884</c:v>
                </c:pt>
                <c:pt idx="70">
                  <c:v>-20.19846465662663</c:v>
                </c:pt>
                <c:pt idx="71">
                  <c:v>-21.036744809862842</c:v>
                </c:pt>
                <c:pt idx="72">
                  <c:v>-21.90750873321781</c:v>
                </c:pt>
                <c:pt idx="73">
                  <c:v>-22.812108025296354</c:v>
                </c:pt>
                <c:pt idx="74">
                  <c:v>-23.751946521466067</c:v>
                </c:pt>
              </c:numCache>
            </c:numRef>
          </c:val>
        </c:ser>
        <c:ser>
          <c:idx val="2"/>
          <c:order val="1"/>
          <c:tx>
            <c:strRef>
              <c:f>[1]Montée!$S$8</c:f>
              <c:strCache>
                <c:ptCount val="1"/>
                <c:pt idx="0">
                  <c:v>0,1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[1]Montée!$S$9:$S$83</c:f>
              <c:numCache>
                <c:formatCode>General</c:formatCode>
                <c:ptCount val="75"/>
                <c:pt idx="0">
                  <c:v>7.1974915487302029</c:v>
                </c:pt>
                <c:pt idx="1">
                  <c:v>6.9413161388499036</c:v>
                </c:pt>
                <c:pt idx="2">
                  <c:v>6.6895238022579182</c:v>
                </c:pt>
                <c:pt idx="3">
                  <c:v>6.4419906631143409</c:v>
                </c:pt>
                <c:pt idx="4">
                  <c:v>6.1985923721687302</c:v>
                </c:pt>
                <c:pt idx="5">
                  <c:v>5.9592040227252214</c:v>
                </c:pt>
                <c:pt idx="6">
                  <c:v>5.7237000621211003</c:v>
                </c:pt>
                <c:pt idx="7">
                  <c:v>5.4919541984324471</c:v>
                </c:pt>
                <c:pt idx="8">
                  <c:v>5.2638393021007666</c:v>
                </c:pt>
                <c:pt idx="9">
                  <c:v>5.0392273021525469</c:v>
                </c:pt>
                <c:pt idx="10">
                  <c:v>4.817989076660643</c:v>
                </c:pt>
                <c:pt idx="11">
                  <c:v>4.5999943370712177</c:v>
                </c:pt>
                <c:pt idx="12">
                  <c:v>4.3851115059928354</c:v>
                </c:pt>
                <c:pt idx="13">
                  <c:v>4.1732075880153374</c:v>
                </c:pt>
                <c:pt idx="14">
                  <c:v>3.96414803309432</c:v>
                </c:pt>
                <c:pt idx="15">
                  <c:v>3.7577965920034684</c:v>
                </c:pt>
                <c:pt idx="16">
                  <c:v>3.5540151633199759</c:v>
                </c:pt>
                <c:pt idx="17">
                  <c:v>3.3526636313687241</c:v>
                </c:pt>
                <c:pt idx="18">
                  <c:v>3.1535996945081486</c:v>
                </c:pt>
                <c:pt idx="19">
                  <c:v>2.9566786830942151</c:v>
                </c:pt>
                <c:pt idx="20">
                  <c:v>2.7617533664088474</c:v>
                </c:pt>
                <c:pt idx="21">
                  <c:v>2.5686737477848118</c:v>
                </c:pt>
                <c:pt idx="22">
                  <c:v>2.3772868471004296</c:v>
                </c:pt>
                <c:pt idx="23">
                  <c:v>2.1874364697533899</c:v>
                </c:pt>
                <c:pt idx="24">
                  <c:v>1.9989629611542896</c:v>
                </c:pt>
                <c:pt idx="25">
                  <c:v>1.811702945705278</c:v>
                </c:pt>
                <c:pt idx="26">
                  <c:v>1.6254890491479563</c:v>
                </c:pt>
                <c:pt idx="27">
                  <c:v>1.4401496030763523</c:v>
                </c:pt>
                <c:pt idx="28">
                  <c:v>1.2555083303148429</c:v>
                </c:pt>
                <c:pt idx="29">
                  <c:v>1.0713840097565042</c:v>
                </c:pt>
                <c:pt idx="30">
                  <c:v>0.88759011914405406</c:v>
                </c:pt>
                <c:pt idx="31">
                  <c:v>0.70393445415194078</c:v>
                </c:pt>
                <c:pt idx="32">
                  <c:v>0.52021872199372243</c:v>
                </c:pt>
                <c:pt idx="33">
                  <c:v>0.33623810763246498</c:v>
                </c:pt>
                <c:pt idx="34">
                  <c:v>0.15178081051213876</c:v>
                </c:pt>
                <c:pt idx="35">
                  <c:v>-3.3372450446243818E-2</c:v>
                </c:pt>
                <c:pt idx="36">
                  <c:v>-0.21944896602991681</c:v>
                </c:pt>
                <c:pt idx="37">
                  <c:v>-0.40668460275511009</c:v>
                </c:pt>
                <c:pt idx="38">
                  <c:v>-0.5953244086039633</c:v>
                </c:pt>
                <c:pt idx="39">
                  <c:v>-0.78562326160650464</c:v>
                </c:pt>
                <c:pt idx="40">
                  <c:v>-0.97784656466791864</c:v>
                </c:pt>
                <c:pt idx="41">
                  <c:v>-1.1722709903385811</c:v>
                </c:pt>
                <c:pt idx="42">
                  <c:v>-1.3691852795498582</c:v>
                </c:pt>
                <c:pt idx="43">
                  <c:v>-1.5688910986955029</c:v>
                </c:pt>
                <c:pt idx="44">
                  <c:v>-1.7717050676888519</c:v>
                </c:pt>
                <c:pt idx="45">
                  <c:v>-1.9998815297253287</c:v>
                </c:pt>
                <c:pt idx="46">
                  <c:v>-2.2306690705308458</c:v>
                </c:pt>
                <c:pt idx="47">
                  <c:v>-2.464445166055476</c:v>
                </c:pt>
                <c:pt idx="48">
                  <c:v>-2.7015910794110036</c:v>
                </c:pt>
                <c:pt idx="49">
                  <c:v>-2.9424924860635651</c:v>
                </c:pt>
                <c:pt idx="50">
                  <c:v>-3.1875401044040368</c:v>
                </c:pt>
                <c:pt idx="51">
                  <c:v>-3.4371303327328486</c:v>
                </c:pt>
                <c:pt idx="52">
                  <c:v>-3.6916658937033704</c:v>
                </c:pt>
                <c:pt idx="53">
                  <c:v>-3.9515564872771307</c:v>
                </c:pt>
                <c:pt idx="54">
                  <c:v>-4.2172194532549518</c:v>
                </c:pt>
                <c:pt idx="55">
                  <c:v>-4.4890804444607983</c:v>
                </c:pt>
                <c:pt idx="56">
                  <c:v>-4.7675741116693899</c:v>
                </c:pt>
                <c:pt idx="57">
                  <c:v>-5.0531448013848541</c:v>
                </c:pt>
                <c:pt idx="58">
                  <c:v>-5.3462472675956194</c:v>
                </c:pt>
                <c:pt idx="59">
                  <c:v>-5.647347398650524</c:v>
                </c:pt>
                <c:pt idx="60">
                  <c:v>-5.9569229604226868</c:v>
                </c:pt>
                <c:pt idx="61">
                  <c:v>-6.2754643569512982</c:v>
                </c:pt>
                <c:pt idx="62">
                  <c:v>-6.6034754097767525</c:v>
                </c:pt>
                <c:pt idx="63">
                  <c:v>-6.9414741572120793</c:v>
                </c:pt>
                <c:pt idx="64">
                  <c:v>-7.28999367482281</c:v>
                </c:pt>
                <c:pt idx="65">
                  <c:v>-7.6495829184189255</c:v>
                </c:pt>
                <c:pt idx="66">
                  <c:v>-8.0208075908960001</c:v>
                </c:pt>
                <c:pt idx="67">
                  <c:v>-8.4042510342981309</c:v>
                </c:pt>
                <c:pt idx="68">
                  <c:v>-8.800515148513119</c:v>
                </c:pt>
                <c:pt idx="69">
                  <c:v>-9.2102213380504381</c:v>
                </c:pt>
                <c:pt idx="70">
                  <c:v>-9.6340114883945631</c:v>
                </c:pt>
                <c:pt idx="71">
                  <c:v>-10.072548973471331</c:v>
                </c:pt>
                <c:pt idx="72">
                  <c:v>-10.526519695811583</c:v>
                </c:pt>
                <c:pt idx="73">
                  <c:v>-10.996633161046441</c:v>
                </c:pt>
                <c:pt idx="74">
                  <c:v>-11.483623588420315</c:v>
                </c:pt>
              </c:numCache>
            </c:numRef>
          </c:val>
        </c:ser>
        <c:ser>
          <c:idx val="3"/>
          <c:order val="2"/>
          <c:tx>
            <c:strRef>
              <c:f>[1]Montée!$T$8</c:f>
              <c:strCache>
                <c:ptCount val="1"/>
                <c:pt idx="0">
                  <c:v>0,15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[1]Montée!$T$9:$T$83</c:f>
              <c:numCache>
                <c:formatCode>General</c:formatCode>
                <c:ptCount val="75"/>
                <c:pt idx="0">
                  <c:v>10.600289727174065</c:v>
                </c:pt>
                <c:pt idx="1">
                  <c:v>10.267121792993061</c:v>
                </c:pt>
                <c:pt idx="2">
                  <c:v>9.9405252082028674</c:v>
                </c:pt>
                <c:pt idx="3">
                  <c:v>9.6203558416165755</c:v>
                </c:pt>
                <c:pt idx="4">
                  <c:v>9.306469931606884</c:v>
                </c:pt>
                <c:pt idx="5">
                  <c:v>8.9987240265365749</c:v>
                </c:pt>
                <c:pt idx="6">
                  <c:v>8.6969749221925507</c:v>
                </c:pt>
                <c:pt idx="7">
                  <c:v>8.401079596032238</c:v>
                </c:pt>
                <c:pt idx="8">
                  <c:v>8.1108951380385008</c:v>
                </c:pt>
                <c:pt idx="9">
                  <c:v>7.8262786779643019</c:v>
                </c:pt>
                <c:pt idx="10">
                  <c:v>7.5470873087330084</c:v>
                </c:pt>
                <c:pt idx="11">
                  <c:v>7.2731780057435493</c:v>
                </c:pt>
                <c:pt idx="12">
                  <c:v>7.0044075418114629</c:v>
                </c:pt>
                <c:pt idx="13">
                  <c:v>6.7406323974576559</c:v>
                </c:pt>
                <c:pt idx="14">
                  <c:v>6.481708666235293</c:v>
                </c:pt>
                <c:pt idx="15">
                  <c:v>6.2274919547631393</c:v>
                </c:pt>
                <c:pt idx="16">
                  <c:v>5.9778372771087538</c:v>
                </c:pt>
                <c:pt idx="17">
                  <c:v>5.7325989431386857</c:v>
                </c:pt>
                <c:pt idx="18">
                  <c:v>5.4916304404242764</c:v>
                </c:pt>
                <c:pt idx="19">
                  <c:v>5.2547843092607405</c:v>
                </c:pt>
                <c:pt idx="20">
                  <c:v>5.021912010323681</c:v>
                </c:pt>
                <c:pt idx="21">
                  <c:v>4.7928637844511002</c:v>
                </c:pt>
                <c:pt idx="22">
                  <c:v>4.5674885039998507</c:v>
                </c:pt>
                <c:pt idx="23">
                  <c:v>4.345633515182608</c:v>
                </c:pt>
                <c:pt idx="24">
                  <c:v>4.1271444707459111</c:v>
                </c:pt>
                <c:pt idx="25">
                  <c:v>3.9118651522994661</c:v>
                </c:pt>
                <c:pt idx="26">
                  <c:v>3.6996372815528074</c:v>
                </c:pt>
                <c:pt idx="27">
                  <c:v>3.4903003196565754</c:v>
                </c:pt>
                <c:pt idx="28">
                  <c:v>3.2836912537816483</c:v>
                </c:pt>
                <c:pt idx="29">
                  <c:v>3.0796443699997647</c:v>
                </c:pt>
                <c:pt idx="30">
                  <c:v>2.8779910114538021</c:v>
                </c:pt>
                <c:pt idx="31">
                  <c:v>2.67855932072339</c:v>
                </c:pt>
                <c:pt idx="32">
                  <c:v>2.4811739652019376</c:v>
                </c:pt>
                <c:pt idx="33">
                  <c:v>2.2856558442036308</c:v>
                </c:pt>
                <c:pt idx="34">
                  <c:v>2.091821776412349</c:v>
                </c:pt>
                <c:pt idx="35">
                  <c:v>1.8994841661683284</c:v>
                </c:pt>
                <c:pt idx="36">
                  <c:v>1.7084506469618452</c:v>
                </c:pt>
                <c:pt idx="37">
                  <c:v>1.5185237003645264</c:v>
                </c:pt>
                <c:pt idx="38">
                  <c:v>1.3295002484778629</c:v>
                </c:pt>
                <c:pt idx="39">
                  <c:v>1.1411712178129578</c:v>
                </c:pt>
                <c:pt idx="40">
                  <c:v>0.95332107233475805</c:v>
                </c:pt>
                <c:pt idx="41">
                  <c:v>0.76572731320574494</c:v>
                </c:pt>
                <c:pt idx="42">
                  <c:v>0.5781599425471069</c:v>
                </c:pt>
                <c:pt idx="43">
                  <c:v>0.39038088829753326</c:v>
                </c:pt>
                <c:pt idx="44">
                  <c:v>0.20214235987401663</c:v>
                </c:pt>
                <c:pt idx="45">
                  <c:v>-7.8572832091561295E-3</c:v>
                </c:pt>
                <c:pt idx="46">
                  <c:v>-0.21717670033559644</c:v>
                </c:pt>
                <c:pt idx="47">
                  <c:v>-0.42616875828896816</c:v>
                </c:pt>
                <c:pt idx="48">
                  <c:v>-0.63518461850920538</c:v>
                </c:pt>
                <c:pt idx="49">
                  <c:v>-0.84457433061589082</c:v>
                </c:pt>
                <c:pt idx="50">
                  <c:v>-1.0546874221356974</c:v>
                </c:pt>
                <c:pt idx="51">
                  <c:v>-1.2658734854331517</c:v>
                </c:pt>
                <c:pt idx="52">
                  <c:v>-1.478482762836185</c:v>
                </c:pt>
                <c:pt idx="53">
                  <c:v>-1.6928667309416037</c:v>
                </c:pt>
                <c:pt idx="54">
                  <c:v>-1.909378685081069</c:v>
                </c:pt>
                <c:pt idx="55">
                  <c:v>-2.1283743249252955</c:v>
                </c:pt>
                <c:pt idx="56">
                  <c:v>-2.3502123422028705</c:v>
                </c:pt>
                <c:pt idx="57">
                  <c:v>-2.5752550115104764</c:v>
                </c:pt>
                <c:pt idx="58">
                  <c:v>-2.8038687851933171</c:v>
                </c:pt>
                <c:pt idx="59">
                  <c:v>-3.0364248932781805</c:v>
                </c:pt>
                <c:pt idx="60">
                  <c:v>-3.2732999494467885</c:v>
                </c:pt>
                <c:pt idx="61">
                  <c:v>-3.51487656404408</c:v>
                </c:pt>
                <c:pt idx="62">
                  <c:v>-3.7615439651245186</c:v>
                </c:pt>
                <c:pt idx="63">
                  <c:v>-4.0136986285497827</c:v>
                </c:pt>
                <c:pt idx="64">
                  <c:v>-4.2717449181630105</c:v>
                </c:pt>
                <c:pt idx="65">
                  <c:v>-4.5360957370783161</c:v>
                </c:pt>
                <c:pt idx="66">
                  <c:v>-4.8071731911395474</c:v>
                </c:pt>
                <c:pt idx="67">
                  <c:v>-5.085409265619159</c:v>
                </c:pt>
                <c:pt idx="68">
                  <c:v>-5.3712465162467335</c:v>
                </c:pt>
                <c:pt idx="69">
                  <c:v>-5.6651387756772698</c:v>
                </c:pt>
                <c:pt idx="70">
                  <c:v>-5.9675518765313234</c:v>
                </c:pt>
                <c:pt idx="71">
                  <c:v>-6.2789643921634628</c:v>
                </c:pt>
                <c:pt idx="72">
                  <c:v>-6.5998683963410905</c:v>
                </c:pt>
                <c:pt idx="73">
                  <c:v>-6.9307702430437912</c:v>
                </c:pt>
                <c:pt idx="74">
                  <c:v>-7.27219136762284</c:v>
                </c:pt>
              </c:numCache>
            </c:numRef>
          </c:val>
        </c:ser>
        <c:ser>
          <c:idx val="4"/>
          <c:order val="3"/>
          <c:tx>
            <c:strRef>
              <c:f>[1]Montée!$U$8</c:f>
              <c:strCache>
                <c:ptCount val="1"/>
                <c:pt idx="0">
                  <c:v>0,2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[1]Montée!$U$9:$U$83</c:f>
              <c:numCache>
                <c:formatCode>General</c:formatCode>
                <c:ptCount val="75"/>
                <c:pt idx="0">
                  <c:v>13.02396619906845</c:v>
                </c:pt>
                <c:pt idx="1">
                  <c:v>12.634391036103723</c:v>
                </c:pt>
                <c:pt idx="2">
                  <c:v>12.252808681962096</c:v>
                </c:pt>
                <c:pt idx="3">
                  <c:v>11.879061406422107</c:v>
                </c:pt>
                <c:pt idx="4">
                  <c:v>11.512992264173834</c:v>
                </c:pt>
                <c:pt idx="5">
                  <c:v>11.154445048254152</c:v>
                </c:pt>
                <c:pt idx="6">
                  <c:v>10.803264241222948</c:v>
                </c:pt>
                <c:pt idx="7">
                  <c:v>10.459294963936854</c:v>
                </c:pt>
                <c:pt idx="8">
                  <c:v>10.122382921767688</c:v>
                </c:pt>
                <c:pt idx="9">
                  <c:v>9.7923743481013972</c:v>
                </c:pt>
                <c:pt idx="10">
                  <c:v>9.4691159449419864</c:v>
                </c:pt>
                <c:pt idx="11">
                  <c:v>9.1524548204323573</c:v>
                </c:pt>
                <c:pt idx="12">
                  <c:v>8.8422384230902367</c:v>
                </c:pt>
                <c:pt idx="13">
                  <c:v>8.5383144725431634</c:v>
                </c:pt>
                <c:pt idx="14">
                  <c:v>8.2405308865301787</c:v>
                </c:pt>
                <c:pt idx="15">
                  <c:v>7.9487357039216633</c:v>
                </c:pt>
                <c:pt idx="16">
                  <c:v>7.6627770034896674</c:v>
                </c:pt>
                <c:pt idx="17">
                  <c:v>7.3825028181416696</c:v>
                </c:pt>
                <c:pt idx="18">
                  <c:v>7.1077610443092611</c:v>
                </c:pt>
                <c:pt idx="19">
                  <c:v>6.8383993461598811</c:v>
                </c:pt>
                <c:pt idx="20">
                  <c:v>6.5742650542747967</c:v>
                </c:pt>
                <c:pt idx="21">
                  <c:v>6.3152050584093278</c:v>
                </c:pt>
                <c:pt idx="22">
                  <c:v>6.0610656939220675</c:v>
                </c:pt>
                <c:pt idx="23">
                  <c:v>5.8116926214275457</c:v>
                </c:pt>
                <c:pt idx="24">
                  <c:v>5.5669306991928398</c:v>
                </c:pt>
                <c:pt idx="25">
                  <c:v>5.3266238477607288</c:v>
                </c:pt>
                <c:pt idx="26">
                  <c:v>5.0906149062414299</c:v>
                </c:pt>
                <c:pt idx="27">
                  <c:v>4.8587454796708993</c:v>
                </c:pt>
                <c:pt idx="28">
                  <c:v>4.6308557767855767</c:v>
                </c:pt>
                <c:pt idx="29">
                  <c:v>4.4067844375113108</c:v>
                </c:pt>
                <c:pt idx="30">
                  <c:v>4.1863683494075667</c:v>
                </c:pt>
                <c:pt idx="31">
                  <c:v>3.9694424522462075</c:v>
                </c:pt>
                <c:pt idx="32">
                  <c:v>3.7558395298368241</c:v>
                </c:pt>
                <c:pt idx="33">
                  <c:v>3.5453899881375888</c:v>
                </c:pt>
                <c:pt idx="34">
                  <c:v>3.3379216186105753</c:v>
                </c:pt>
                <c:pt idx="35">
                  <c:v>3.1332593456933475</c:v>
                </c:pt>
                <c:pt idx="36">
                  <c:v>2.9312249571638644</c:v>
                </c:pt>
                <c:pt idx="37">
                  <c:v>2.7316368160715561</c:v>
                </c:pt>
                <c:pt idx="38">
                  <c:v>2.534309552794288</c:v>
                </c:pt>
                <c:pt idx="39">
                  <c:v>2.3390537356567318</c:v>
                </c:pt>
                <c:pt idx="40">
                  <c:v>2.1456755184100391</c:v>
                </c:pt>
                <c:pt idx="41">
                  <c:v>1.9539762627240953</c:v>
                </c:pt>
                <c:pt idx="42">
                  <c:v>1.7637521336807866</c:v>
                </c:pt>
                <c:pt idx="43">
                  <c:v>1.5747936660784594</c:v>
                </c:pt>
                <c:pt idx="44">
                  <c:v>1.3868842692849312</c:v>
                </c:pt>
                <c:pt idx="45">
                  <c:v>1.1773268567434805</c:v>
                </c:pt>
                <c:pt idx="46">
                  <c:v>0.97047109616824545</c:v>
                </c:pt>
                <c:pt idx="47">
                  <c:v>0.76596017203735434</c:v>
                </c:pt>
                <c:pt idx="48">
                  <c:v>0.56344242053870719</c:v>
                </c:pt>
                <c:pt idx="49">
                  <c:v>0.36257072183106365</c:v>
                </c:pt>
                <c:pt idx="50">
                  <c:v>0.16300190197374231</c:v>
                </c:pt>
                <c:pt idx="51">
                  <c:v>-3.5603856510530996E-2</c:v>
                </c:pt>
                <c:pt idx="52">
                  <c:v>-0.23358359645723636</c:v>
                </c:pt>
                <c:pt idx="53">
                  <c:v>-0.4312721612675503</c:v>
                </c:pt>
                <c:pt idx="54">
                  <c:v>-0.62900276448866377</c:v>
                </c:pt>
                <c:pt idx="55">
                  <c:v>-0.82710755474123809</c:v>
                </c:pt>
                <c:pt idx="56">
                  <c:v>-1.0259181769571839</c:v>
                </c:pt>
                <c:pt idx="57">
                  <c:v>-1.2257663308815849</c:v>
                </c:pt>
                <c:pt idx="58">
                  <c:v>-1.4269843277848111</c:v>
                </c:pt>
                <c:pt idx="59">
                  <c:v>-1.6299056463247259</c:v>
                </c:pt>
                <c:pt idx="60">
                  <c:v>-1.8348654884942808</c:v>
                </c:pt>
                <c:pt idx="61">
                  <c:v>-2.0422013365868947</c:v>
                </c:pt>
                <c:pt idx="62">
                  <c:v>-2.2522535121105127</c:v>
                </c:pt>
                <c:pt idx="63">
                  <c:v>-2.4653657375815117</c:v>
                </c:pt>
                <c:pt idx="64">
                  <c:v>-2.6818857021312068</c:v>
                </c:pt>
                <c:pt idx="65">
                  <c:v>-2.9021656318611262</c:v>
                </c:pt>
                <c:pt idx="66">
                  <c:v>-3.1265628658879736</c:v>
                </c:pt>
                <c:pt idx="67">
                  <c:v>-3.3554404390256165</c:v>
                </c:pt>
                <c:pt idx="68">
                  <c:v>-3.5891676720593937</c:v>
                </c:pt>
                <c:pt idx="69">
                  <c:v>-3.8281207705776543</c:v>
                </c:pt>
                <c:pt idx="70">
                  <c:v>-4.0726834333363868</c:v>
                </c:pt>
                <c:pt idx="71">
                  <c:v>-4.3232474711457947</c:v>
                </c:pt>
                <c:pt idx="72">
                  <c:v>-4.5802134372816887</c:v>
                </c:pt>
                <c:pt idx="73">
                  <c:v>-4.843991270440859</c:v>
                </c:pt>
                <c:pt idx="74">
                  <c:v>-5.1150009512769863</c:v>
                </c:pt>
              </c:numCache>
            </c:numRef>
          </c:val>
        </c:ser>
        <c:ser>
          <c:idx val="5"/>
          <c:order val="4"/>
          <c:tx>
            <c:strRef>
              <c:f>[1]Montée!$V$8</c:f>
              <c:strCache>
                <c:ptCount val="1"/>
                <c:pt idx="0">
                  <c:v>0,25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[1]Montée!$V$9:$V$83</c:f>
              <c:numCache>
                <c:formatCode>General</c:formatCode>
                <c:ptCount val="75"/>
                <c:pt idx="0">
                  <c:v>14.444504460668062</c:v>
                </c:pt>
                <c:pt idx="1">
                  <c:v>14.025643184585665</c:v>
                </c:pt>
                <c:pt idx="2">
                  <c:v>13.615407141610859</c:v>
                </c:pt>
                <c:pt idx="3">
                  <c:v>13.213637375973873</c:v>
                </c:pt>
                <c:pt idx="4">
                  <c:v>12.820175818562854</c:v>
                </c:pt>
                <c:pt idx="5">
                  <c:v>12.434865250087041</c:v>
                </c:pt>
                <c:pt idx="6">
                  <c:v>12.057549262412669</c:v>
                </c:pt>
                <c:pt idx="7">
                  <c:v>11.688072217956663</c:v>
                </c:pt>
                <c:pt idx="8">
                  <c:v>11.326279207015991</c:v>
                </c:pt>
                <c:pt idx="9">
                  <c:v>10.972016002901226</c:v>
                </c:pt>
                <c:pt idx="10">
                  <c:v>10.625129014733814</c:v>
                </c:pt>
                <c:pt idx="11">
                  <c:v>10.285465237756693</c:v>
                </c:pt>
                <c:pt idx="12">
                  <c:v>9.9528722009966604</c:v>
                </c:pt>
                <c:pt idx="13">
                  <c:v>9.6271979121056734</c:v>
                </c:pt>
                <c:pt idx="14">
                  <c:v>9.3082907991951895</c:v>
                </c:pt>
                <c:pt idx="15">
                  <c:v>8.9959996494646255</c:v>
                </c:pt>
                <c:pt idx="16">
                  <c:v>8.6901735444098591</c:v>
                </c:pt>
                <c:pt idx="17">
                  <c:v>8.3906617913819712</c:v>
                </c:pt>
                <c:pt idx="18">
                  <c:v>8.0973138512495328</c:v>
                </c:pt>
                <c:pt idx="19">
                  <c:v>7.8099792618988166</c:v>
                </c:pt>
                <c:pt idx="20">
                  <c:v>7.5285075572864653</c:v>
                </c:pt>
                <c:pt idx="21">
                  <c:v>7.2527481817374273</c:v>
                </c:pt>
                <c:pt idx="22">
                  <c:v>6.9825503991575131</c:v>
                </c:pt>
                <c:pt idx="23">
                  <c:v>6.7177631968040608</c:v>
                </c:pt>
                <c:pt idx="24">
                  <c:v>6.4582351832311513</c:v>
                </c:pt>
                <c:pt idx="25">
                  <c:v>6.2038144799953603</c:v>
                </c:pt>
                <c:pt idx="26">
                  <c:v>5.9543486066756914</c:v>
                </c:pt>
                <c:pt idx="27">
                  <c:v>5.7096843587259984</c:v>
                </c:pt>
                <c:pt idx="28">
                  <c:v>5.4696676776398316</c:v>
                </c:pt>
                <c:pt idx="29">
                  <c:v>5.2341435128657983</c:v>
                </c:pt>
                <c:pt idx="30">
                  <c:v>5.0029556748663424</c:v>
                </c:pt>
                <c:pt idx="31">
                  <c:v>4.7759466786633151</c:v>
                </c:pt>
                <c:pt idx="32">
                  <c:v>4.5529575771598898</c:v>
                </c:pt>
                <c:pt idx="33">
                  <c:v>4.3338277834699852</c:v>
                </c:pt>
                <c:pt idx="34">
                  <c:v>4.1183948814222955</c:v>
                </c:pt>
                <c:pt idx="35">
                  <c:v>3.9064944233363592</c:v>
                </c:pt>
                <c:pt idx="36">
                  <c:v>3.6979597140922582</c:v>
                </c:pt>
                <c:pt idx="37">
                  <c:v>3.4926215804322007</c:v>
                </c:pt>
                <c:pt idx="38">
                  <c:v>3.2903081243417556</c:v>
                </c:pt>
                <c:pt idx="39">
                  <c:v>3.090844459259062</c:v>
                </c:pt>
                <c:pt idx="40">
                  <c:v>2.894052427751979</c:v>
                </c:pt>
                <c:pt idx="41">
                  <c:v>2.6997502991840845</c:v>
                </c:pt>
                <c:pt idx="42">
                  <c:v>2.507752445760306</c:v>
                </c:pt>
                <c:pt idx="43">
                  <c:v>2.3178689952002349</c:v>
                </c:pt>
                <c:pt idx="44">
                  <c:v>2.1299044169488224</c:v>
                </c:pt>
                <c:pt idx="45">
                  <c:v>1.9186874246098979</c:v>
                </c:pt>
                <c:pt idx="46">
                  <c:v>1.7114876462267419</c:v>
                </c:pt>
                <c:pt idx="47">
                  <c:v>1.5079407511886109</c:v>
                </c:pt>
                <c:pt idx="48">
                  <c:v>1.3076898761799698</c:v>
                </c:pt>
                <c:pt idx="49">
                  <c:v>1.1103849973047826</c:v>
                </c:pt>
                <c:pt idx="50">
                  <c:v>0.91568231593605964</c:v>
                </c:pt>
                <c:pt idx="51">
                  <c:v>0.72324365720940009</c:v>
                </c:pt>
                <c:pt idx="52">
                  <c:v>0.53273588010414308</c:v>
                </c:pt>
                <c:pt idx="53">
                  <c:v>0.34383029807901533</c:v>
                </c:pt>
                <c:pt idx="54">
                  <c:v>0.15620210925041356</c:v>
                </c:pt>
                <c:pt idx="55">
                  <c:v>-3.0470164878981798E-2</c:v>
                </c:pt>
                <c:pt idx="56">
                  <c:v>-0.21650523311570113</c:v>
                </c:pt>
                <c:pt idx="57">
                  <c:v>-0.40221958165348504</c:v>
                </c:pt>
                <c:pt idx="58">
                  <c:v>-0.58792801547762608</c:v>
                </c:pt>
                <c:pt idx="59">
                  <c:v>-0.77394419502680978</c:v>
                </c:pt>
                <c:pt idx="60">
                  <c:v>-0.96058116903226143</c:v>
                </c:pt>
                <c:pt idx="61">
                  <c:v>-1.1481519044445057</c:v>
                </c:pt>
                <c:pt idx="62">
                  <c:v>-1.336969814349888</c:v>
                </c:pt>
                <c:pt idx="63">
                  <c:v>-1.5273492847725969</c:v>
                </c:pt>
                <c:pt idx="64">
                  <c:v>-1.7196062012528088</c:v>
                </c:pt>
                <c:pt idx="65">
                  <c:v>-1.9140584760882455</c:v>
                </c:pt>
                <c:pt idx="66">
                  <c:v>-2.1110265771243606</c:v>
                </c:pt>
                <c:pt idx="67">
                  <c:v>-2.3108340589779592</c:v>
                </c:pt>
                <c:pt idx="68">
                  <c:v>-2.5138080975800161</c:v>
                </c:pt>
                <c:pt idx="69">
                  <c:v>-2.7202800289260565</c:v>
                </c:pt>
                <c:pt idx="70">
                  <c:v>-2.9305858929263122</c:v>
                </c:pt>
                <c:pt idx="71">
                  <c:v>-3.1450669832534945</c:v>
                </c:pt>
                <c:pt idx="72">
                  <c:v>-3.3640704040928324</c:v>
                </c:pt>
                <c:pt idx="73">
                  <c:v>-3.5879496347076456</c:v>
                </c:pt>
                <c:pt idx="74">
                  <c:v>-3.8170651027435345</c:v>
                </c:pt>
              </c:numCache>
            </c:numRef>
          </c:val>
        </c:ser>
        <c:ser>
          <c:idx val="6"/>
          <c:order val="5"/>
          <c:tx>
            <c:strRef>
              <c:f>[1]Montée!$W$8</c:f>
              <c:strCache>
                <c:ptCount val="1"/>
                <c:pt idx="0">
                  <c:v>0,3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[1]Montée!$W$9:$W$83</c:f>
              <c:numCache>
                <c:formatCode>General</c:formatCode>
                <c:ptCount val="75"/>
                <c:pt idx="0">
                  <c:v>14.774267127375012</c:v>
                </c:pt>
                <c:pt idx="1">
                  <c:v>14.35804738164398</c:v>
                </c:pt>
                <c:pt idx="2">
                  <c:v>13.950216765523376</c:v>
                </c:pt>
                <c:pt idx="3">
                  <c:v>13.550630947708287</c:v>
                </c:pt>
                <c:pt idx="4">
                  <c:v>13.159146284451783</c:v>
                </c:pt>
                <c:pt idx="5">
                  <c:v>12.775619792166028</c:v>
                </c:pt>
                <c:pt idx="6">
                  <c:v>12.399909118469997</c:v>
                </c:pt>
                <c:pt idx="7">
                  <c:v>12.031872511587901</c:v>
                </c:pt>
                <c:pt idx="8">
                  <c:v>11.671368787996505</c:v>
                </c:pt>
                <c:pt idx="9">
                  <c:v>11.318257298211712</c:v>
                </c:pt>
                <c:pt idx="10">
                  <c:v>10.972397890597346</c:v>
                </c:pt>
                <c:pt idx="11">
                  <c:v>10.633650873070675</c:v>
                </c:pt>
                <c:pt idx="12">
                  <c:v>10.301876972570078</c:v>
                </c:pt>
                <c:pt idx="13">
                  <c:v>9.9769372921407005</c:v>
                </c:pt>
                <c:pt idx="14">
                  <c:v>9.658693265483139</c:v>
                </c:pt>
                <c:pt idx="15">
                  <c:v>9.3470066087993899</c:v>
                </c:pt>
                <c:pt idx="16">
                  <c:v>9.0417392697575263</c:v>
                </c:pt>
                <c:pt idx="17">
                  <c:v>8.7427533733836498</c:v>
                </c:pt>
                <c:pt idx="18">
                  <c:v>8.4499111646753384</c:v>
                </c:pt>
                <c:pt idx="19">
                  <c:v>8.1630749477153906</c:v>
                </c:pt>
                <c:pt idx="20">
                  <c:v>7.8821070210476698</c:v>
                </c:pt>
                <c:pt idx="21">
                  <c:v>7.6068696090592152</c:v>
                </c:pt>
                <c:pt idx="22">
                  <c:v>7.3372247890929359</c:v>
                </c:pt>
                <c:pt idx="23">
                  <c:v>7.0730344139936925</c:v>
                </c:pt>
                <c:pt idx="24">
                  <c:v>6.8141600297681562</c:v>
                </c:pt>
                <c:pt idx="25">
                  <c:v>6.5604627880133712</c:v>
                </c:pt>
                <c:pt idx="26">
                  <c:v>6.3118033527419284</c:v>
                </c:pt>
                <c:pt idx="27">
                  <c:v>6.0680418012023534</c:v>
                </c:pt>
                <c:pt idx="28">
                  <c:v>5.8290375182612477</c:v>
                </c:pt>
                <c:pt idx="29">
                  <c:v>5.5946490838788314</c:v>
                </c:pt>
                <c:pt idx="30">
                  <c:v>5.3647341531719768</c:v>
                </c:pt>
                <c:pt idx="31">
                  <c:v>5.1391493285174095</c:v>
                </c:pt>
                <c:pt idx="32">
                  <c:v>4.9177500231030633</c:v>
                </c:pt>
                <c:pt idx="33">
                  <c:v>4.7003903152867395</c:v>
                </c:pt>
                <c:pt idx="34">
                  <c:v>4.4869227930680218</c:v>
                </c:pt>
                <c:pt idx="35">
                  <c:v>4.2771983879211639</c:v>
                </c:pt>
                <c:pt idx="36">
                  <c:v>4.0710661971736037</c:v>
                </c:pt>
                <c:pt idx="37">
                  <c:v>3.8683732940452273</c:v>
                </c:pt>
                <c:pt idx="38">
                  <c:v>3.6689645243881426</c:v>
                </c:pt>
                <c:pt idx="39">
                  <c:v>3.4726822890838189</c:v>
                </c:pt>
                <c:pt idx="40">
                  <c:v>3.2793663109641935</c:v>
                </c:pt>
                <c:pt idx="41">
                  <c:v>3.0888533850240929</c:v>
                </c:pt>
                <c:pt idx="42">
                  <c:v>2.9009771105838738</c:v>
                </c:pt>
                <c:pt idx="43">
                  <c:v>2.7155676039423149</c:v>
                </c:pt>
                <c:pt idx="44">
                  <c:v>2.5324501565981485</c:v>
                </c:pt>
                <c:pt idx="45">
                  <c:v>2.3232275397931881</c:v>
                </c:pt>
                <c:pt idx="46">
                  <c:v>2.1187995019955741</c:v>
                </c:pt>
                <c:pt idx="47">
                  <c:v>1.9187997179242191</c:v>
                </c:pt>
                <c:pt idx="48">
                  <c:v>1.7228707915224601</c:v>
                </c:pt>
                <c:pt idx="49">
                  <c:v>1.5306636163763532</c:v>
                </c:pt>
                <c:pt idx="50">
                  <c:v>1.3418367525561616</c:v>
                </c:pt>
                <c:pt idx="51">
                  <c:v>1.1560558187669707</c:v>
                </c:pt>
                <c:pt idx="52">
                  <c:v>0.97299289872420047</c:v>
                </c:pt>
                <c:pt idx="53">
                  <c:v>0.79232596069782901</c:v>
                </c:pt>
                <c:pt idx="54">
                  <c:v>0.61373828919522433</c:v>
                </c:pt>
                <c:pt idx="55">
                  <c:v>0.43691792777670946</c:v>
                </c:pt>
                <c:pt idx="56">
                  <c:v>0.26155713202050346</c:v>
                </c:pt>
                <c:pt idx="57">
                  <c:v>8.7351831674391534E-2</c:v>
                </c:pt>
                <c:pt idx="58">
                  <c:v>-8.599889894945667E-2</c:v>
                </c:pt>
                <c:pt idx="59">
                  <c:v>-0.25879336326278057</c:v>
                </c:pt>
                <c:pt idx="60">
                  <c:v>-0.43132775828305836</c:v>
                </c:pt>
                <c:pt idx="61">
                  <c:v>-0.60389668500523674</c:v>
                </c:pt>
                <c:pt idx="62">
                  <c:v>-0.77679365414702772</c:v>
                </c:pt>
                <c:pt idx="63">
                  <c:v>-0.95031158814051264</c:v>
                </c:pt>
                <c:pt idx="64">
                  <c:v>-1.1247433202330974</c:v>
                </c:pt>
                <c:pt idx="65">
                  <c:v>-1.3003820915529536</c:v>
                </c:pt>
                <c:pt idx="66">
                  <c:v>-1.4775220469874144</c:v>
                </c:pt>
                <c:pt idx="67">
                  <c:v>-1.6564587307176999</c:v>
                </c:pt>
                <c:pt idx="68">
                  <c:v>-1.8374895822496544</c:v>
                </c:pt>
                <c:pt idx="69">
                  <c:v>-2.020914433777981</c:v>
                </c:pt>
                <c:pt idx="70">
                  <c:v>-2.2070360097205146</c:v>
                </c:pt>
                <c:pt idx="71">
                  <c:v>-2.3961604292598375</c:v>
                </c:pt>
                <c:pt idx="72">
                  <c:v>-2.5885977127313344</c:v>
                </c:pt>
                <c:pt idx="73">
                  <c:v>-2.7846622927004052</c:v>
                </c:pt>
                <c:pt idx="74">
                  <c:v>-2.9846735305761829</c:v>
                </c:pt>
              </c:numCache>
            </c:numRef>
          </c:val>
        </c:ser>
        <c:ser>
          <c:idx val="7"/>
          <c:order val="6"/>
          <c:tx>
            <c:strRef>
              <c:f>[1]Montée!$X$8</c:f>
              <c:strCache>
                <c:ptCount val="1"/>
                <c:pt idx="0">
                  <c:v>0,35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[1]Montée!$X$9:$X$83</c:f>
              <c:numCache>
                <c:formatCode>General</c:formatCode>
                <c:ptCount val="75"/>
                <c:pt idx="0">
                  <c:v>13.907439420062103</c:v>
                </c:pt>
                <c:pt idx="1">
                  <c:v>13.530101292427013</c:v>
                </c:pt>
                <c:pt idx="2">
                  <c:v>13.159951806444978</c:v>
                </c:pt>
                <c:pt idx="3">
                  <c:v>12.796879941631305</c:v>
                </c:pt>
                <c:pt idx="4">
                  <c:v>12.440774848942619</c:v>
                </c:pt>
                <c:pt idx="5">
                  <c:v>12.091525834028081</c:v>
                </c:pt>
                <c:pt idx="6">
                  <c:v>11.749022339105444</c:v>
                </c:pt>
                <c:pt idx="7">
                  <c:v>11.413153923379909</c:v>
                </c:pt>
                <c:pt idx="8">
                  <c:v>11.083810241918151</c:v>
                </c:pt>
                <c:pt idx="9">
                  <c:v>10.760881022883806</c:v>
                </c:pt>
                <c:pt idx="10">
                  <c:v>10.444256043033626</c:v>
                </c:pt>
                <c:pt idx="11">
                  <c:v>10.133825101367004</c:v>
                </c:pt>
                <c:pt idx="12">
                  <c:v>9.8294779908132153</c:v>
                </c:pt>
                <c:pt idx="13">
                  <c:v>9.531104467832801</c:v>
                </c:pt>
                <c:pt idx="14">
                  <c:v>9.2385942198001647</c:v>
                </c:pt>
                <c:pt idx="15">
                  <c:v>8.9518368300252487</c:v>
                </c:pt>
                <c:pt idx="16">
                  <c:v>8.6707217402611683</c:v>
                </c:pt>
                <c:pt idx="17">
                  <c:v>8.3951382105335419</c:v>
                </c:pt>
                <c:pt idx="18">
                  <c:v>8.1249752761151566</c:v>
                </c:pt>
                <c:pt idx="19">
                  <c:v>7.8601217014561975</c:v>
                </c:pt>
                <c:pt idx="20">
                  <c:v>7.600465930865866</c:v>
                </c:pt>
                <c:pt idx="21">
                  <c:v>7.3458960357258993</c:v>
                </c:pt>
                <c:pt idx="22">
                  <c:v>7.0962996579997553</c:v>
                </c:pt>
                <c:pt idx="23">
                  <c:v>6.8515639497824576</c:v>
                </c:pt>
                <c:pt idx="24">
                  <c:v>6.611575508617241</c:v>
                </c:pt>
                <c:pt idx="25">
                  <c:v>6.3762203082829796</c:v>
                </c:pt>
                <c:pt idx="26">
                  <c:v>6.1453836247334737</c:v>
                </c:pt>
                <c:pt idx="27">
                  <c:v>5.9189499568443891</c:v>
                </c:pt>
                <c:pt idx="28">
                  <c:v>5.6968029415962622</c:v>
                </c:pt>
                <c:pt idx="29">
                  <c:v>5.478825263291994</c:v>
                </c:pt>
                <c:pt idx="30">
                  <c:v>5.2648985563751243</c:v>
                </c:pt>
                <c:pt idx="31">
                  <c:v>5.0549033013797011</c:v>
                </c:pt>
                <c:pt idx="32">
                  <c:v>4.848718713504109</c:v>
                </c:pt>
                <c:pt idx="33">
                  <c:v>4.6462226232595736</c:v>
                </c:pt>
                <c:pt idx="34">
                  <c:v>4.4472913485982764</c:v>
                </c:pt>
                <c:pt idx="35">
                  <c:v>4.2517995578762058</c:v>
                </c:pt>
                <c:pt idx="36">
                  <c:v>4.0596201229517552</c:v>
                </c:pt>
                <c:pt idx="37">
                  <c:v>3.8706239616615563</c:v>
                </c:pt>
                <c:pt idx="38">
                  <c:v>3.6846798688503117</c:v>
                </c:pt>
                <c:pt idx="39">
                  <c:v>3.5016543350604774</c:v>
                </c:pt>
                <c:pt idx="40">
                  <c:v>3.3214113519101831</c:v>
                </c:pt>
                <c:pt idx="41">
                  <c:v>3.1438122031027191</c:v>
                </c:pt>
                <c:pt idx="42">
                  <c:v>2.9687152399180174</c:v>
                </c:pt>
                <c:pt idx="43">
                  <c:v>2.7959756399345883</c:v>
                </c:pt>
                <c:pt idx="44">
                  <c:v>2.6254441554875214</c:v>
                </c:pt>
                <c:pt idx="45">
                  <c:v>2.4248036316752395</c:v>
                </c:pt>
                <c:pt idx="46">
                  <c:v>2.2292512798903097</c:v>
                </c:pt>
                <c:pt idx="47">
                  <c:v>2.0384288431448243</c:v>
                </c:pt>
                <c:pt idx="48">
                  <c:v>1.8519876967199551</c:v>
                </c:pt>
                <c:pt idx="49">
                  <c:v>1.6695882123436137</c:v>
                </c:pt>
                <c:pt idx="50">
                  <c:v>1.4908991402941323</c:v>
                </c:pt>
                <c:pt idx="51">
                  <c:v>1.3155970083070716</c:v>
                </c:pt>
                <c:pt idx="52">
                  <c:v>1.1433655361950672</c:v>
                </c:pt>
                <c:pt idx="53">
                  <c:v>0.97389506512170088</c:v>
                </c:pt>
                <c:pt idx="54">
                  <c:v>0.80688200049938241</c:v>
                </c:pt>
                <c:pt idx="55">
                  <c:v>0.64202826750838038</c:v>
                </c:pt>
                <c:pt idx="56">
                  <c:v>0.47904077825958558</c:v>
                </c:pt>
                <c:pt idx="57">
                  <c:v>0.31763090964714791</c:v>
                </c:pt>
                <c:pt idx="58">
                  <c:v>0.15751399095909768</c:v>
                </c:pt>
                <c:pt idx="59">
                  <c:v>-1.5911996657538285E-3</c:v>
                </c:pt>
                <c:pt idx="60">
                  <c:v>-0.15996293082763469</c:v>
                </c:pt>
                <c:pt idx="61">
                  <c:v>-0.31787700637842264</c:v>
                </c:pt>
                <c:pt idx="62">
                  <c:v>-0.4756072477175215</c:v>
                </c:pt>
                <c:pt idx="63">
                  <c:v>-0.63342597071762796</c:v>
                </c:pt>
                <c:pt idx="64">
                  <c:v>-0.79160445811445079</c:v>
                </c:pt>
                <c:pt idx="65">
                  <c:v>-0.95041342818349395</c:v>
                </c:pt>
                <c:pt idx="66">
                  <c:v>-1.110123500517437</c:v>
                </c:pt>
                <c:pt idx="67">
                  <c:v>-1.2710056597095021</c:v>
                </c:pt>
                <c:pt idx="68">
                  <c:v>-1.4333317177414027</c:v>
                </c:pt>
                <c:pt idx="69">
                  <c:v>-1.5973747758692165</c:v>
                </c:pt>
                <c:pt idx="70">
                  <c:v>-1.7634096867963631</c:v>
                </c:pt>
                <c:pt idx="71">
                  <c:v>-1.931713517920411</c:v>
                </c:pt>
                <c:pt idx="72">
                  <c:v>-2.1025660164389581</c:v>
                </c:pt>
                <c:pt idx="73">
                  <c:v>-2.2762500771000376</c:v>
                </c:pt>
                <c:pt idx="74">
                  <c:v>-2.4530522133837431</c:v>
                </c:pt>
              </c:numCache>
            </c:numRef>
          </c:val>
        </c:ser>
        <c:ser>
          <c:idx val="8"/>
          <c:order val="7"/>
          <c:tx>
            <c:strRef>
              <c:f>[1]Montée!$Y$8</c:f>
              <c:strCache>
                <c:ptCount val="1"/>
                <c:pt idx="0">
                  <c:v>0,4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[1]Montée!$Y$9:$Y$83</c:f>
              <c:numCache>
                <c:formatCode>General</c:formatCode>
                <c:ptCount val="75"/>
                <c:pt idx="0">
                  <c:v>11.731390036653634</c:v>
                </c:pt>
                <c:pt idx="1">
                  <c:v>11.433300777811805</c:v>
                </c:pt>
                <c:pt idx="2">
                  <c:v>11.140133295010195</c:v>
                </c:pt>
                <c:pt idx="3">
                  <c:v>10.85183116121247</c:v>
                </c:pt>
                <c:pt idx="4">
                  <c:v>10.568337260671418</c:v>
                </c:pt>
                <c:pt idx="5">
                  <c:v>10.289593784987487</c:v>
                </c:pt>
                <c:pt idx="6">
                  <c:v>10.015542227905389</c:v>
                </c:pt>
                <c:pt idx="7">
                  <c:v>9.7461233787769341</c:v>
                </c:pt>
                <c:pt idx="8">
                  <c:v>9.4812773146133047</c:v>
                </c:pt>
                <c:pt idx="9">
                  <c:v>9.2209433906445657</c:v>
                </c:pt>
                <c:pt idx="10">
                  <c:v>8.9650602292982402</c:v>
                </c:pt>
                <c:pt idx="11">
                  <c:v>8.7135657075028536</c:v>
                </c:pt>
                <c:pt idx="12">
                  <c:v>8.4663969422150771</c:v>
                </c:pt>
                <c:pt idx="13">
                  <c:v>8.2234902740624332</c:v>
                </c:pt>
                <c:pt idx="14">
                  <c:v>7.9847812489848771</c:v>
                </c:pt>
                <c:pt idx="15">
                  <c:v>7.7502045977509697</c:v>
                </c:pt>
                <c:pt idx="16">
                  <c:v>7.5196942132143851</c:v>
                </c:pt>
                <c:pt idx="17">
                  <c:v>7.2931831251670358</c:v>
                </c:pt>
                <c:pt idx="18">
                  <c:v>7.0706034726342928</c:v>
                </c:pt>
                <c:pt idx="19">
                  <c:v>6.8518864734461182</c:v>
                </c:pt>
                <c:pt idx="20">
                  <c:v>6.6369623909054409</c:v>
                </c:pt>
                <c:pt idx="21">
                  <c:v>6.4257604973614599</c:v>
                </c:pt>
                <c:pt idx="22">
                  <c:v>6.2182090344811289</c:v>
                </c:pt>
                <c:pt idx="23">
                  <c:v>6.0142351699955503</c:v>
                </c:pt>
                <c:pt idx="24">
                  <c:v>5.813764950681553</c:v>
                </c:pt>
                <c:pt idx="25">
                  <c:v>5.6167232513192111</c:v>
                </c:pt>
                <c:pt idx="26">
                  <c:v>5.4230337193462672</c:v>
                </c:pt>
                <c:pt idx="27">
                  <c:v>5.2326187149080097</c:v>
                </c:pt>
                <c:pt idx="28">
                  <c:v>5.0453992459774275</c:v>
                </c:pt>
                <c:pt idx="29">
                  <c:v>4.861294898194112</c:v>
                </c:pt>
                <c:pt idx="30">
                  <c:v>4.680223759042252</c:v>
                </c:pt>
                <c:pt idx="31">
                  <c:v>4.5021023359570869</c:v>
                </c:pt>
                <c:pt idx="32">
                  <c:v>4.3268454679154811</c:v>
                </c:pt>
                <c:pt idx="33">
                  <c:v>4.1543662300298791</c:v>
                </c:pt>
                <c:pt idx="34">
                  <c:v>3.9845758306248378</c:v>
                </c:pt>
                <c:pt idx="35">
                  <c:v>3.8173835002316658</c:v>
                </c:pt>
                <c:pt idx="36">
                  <c:v>3.6526963718895451</c:v>
                </c:pt>
                <c:pt idx="37">
                  <c:v>3.490419352089166</c:v>
                </c:pt>
                <c:pt idx="38">
                  <c:v>3.3304549816384932</c:v>
                </c:pt>
                <c:pt idx="39">
                  <c:v>3.1727032856681165</c:v>
                </c:pt>
                <c:pt idx="40">
                  <c:v>3.0170616119258913</c:v>
                </c:pt>
                <c:pt idx="41">
                  <c:v>2.8634244564361375</c:v>
                </c:pt>
                <c:pt idx="42">
                  <c:v>2.7116832755173705</c:v>
                </c:pt>
                <c:pt idx="43">
                  <c:v>2.5617262830633503</c:v>
                </c:pt>
                <c:pt idx="44">
                  <c:v>2.4134373234423538</c:v>
                </c:pt>
                <c:pt idx="45">
                  <c:v>2.2298421208799839</c:v>
                </c:pt>
                <c:pt idx="46">
                  <c:v>2.0511568704239771</c:v>
                </c:pt>
                <c:pt idx="47">
                  <c:v>1.8770442848040314</c:v>
                </c:pt>
                <c:pt idx="48">
                  <c:v>1.7071766795684427</c:v>
                </c:pt>
                <c:pt idx="49">
                  <c:v>1.5412353607769276</c:v>
                </c:pt>
                <c:pt idx="50">
                  <c:v>1.3789100309807494</c:v>
                </c:pt>
                <c:pt idx="51">
                  <c:v>1.219898212388798</c:v>
                </c:pt>
                <c:pt idx="52">
                  <c:v>1.0639046861523245</c:v>
                </c:pt>
                <c:pt idx="53">
                  <c:v>0.91064094673334028</c:v>
                </c:pt>
                <c:pt idx="54">
                  <c:v>0.75982467035195</c:v>
                </c:pt>
                <c:pt idx="55">
                  <c:v>0.61117919653631914</c:v>
                </c:pt>
                <c:pt idx="56">
                  <c:v>0.46443302182566226</c:v>
                </c:pt>
                <c:pt idx="57">
                  <c:v>0.31931930470158787</c:v>
                </c:pt>
                <c:pt idx="58">
                  <c:v>0.17557538084634494</c:v>
                </c:pt>
                <c:pt idx="59">
                  <c:v>3.2942287848111818E-2</c:v>
                </c:pt>
                <c:pt idx="60">
                  <c:v>-0.10883570150644251</c:v>
                </c:pt>
                <c:pt idx="61">
                  <c:v>-0.25001153819378241</c:v>
                </c:pt>
                <c:pt idx="62">
                  <c:v>-0.39083584899366275</c:v>
                </c:pt>
                <c:pt idx="63">
                  <c:v>-0.53155738241690176</c:v>
                </c:pt>
                <c:pt idx="64">
                  <c:v>-0.67242344931566711</c:v>
                </c:pt>
                <c:pt idx="65">
                  <c:v>-0.81368035895872359</c:v>
                </c:pt>
                <c:pt idx="66">
                  <c:v>-0.95557385134283912</c:v>
                </c:pt>
                <c:pt idx="67">
                  <c:v>-1.0983495265017216</c:v>
                </c:pt>
                <c:pt idx="68">
                  <c:v>-1.2422532715653745</c:v>
                </c:pt>
                <c:pt idx="69">
                  <c:v>-1.3875316863156697</c:v>
                </c:pt>
                <c:pt idx="70">
                  <c:v>-1.5344325079779628</c:v>
                </c:pt>
                <c:pt idx="71">
                  <c:v>-1.6832050359841757</c:v>
                </c:pt>
                <c:pt idx="72">
                  <c:v>-1.834100557439331</c:v>
                </c:pt>
                <c:pt idx="73">
                  <c:v>-1.9873727740216878</c:v>
                </c:pt>
                <c:pt idx="74">
                  <c:v>-2.143278231045695</c:v>
                </c:pt>
              </c:numCache>
            </c:numRef>
          </c:val>
        </c:ser>
        <c:ser>
          <c:idx val="9"/>
          <c:order val="8"/>
          <c:tx>
            <c:strRef>
              <c:f>[1]Montée!$Z$8</c:f>
              <c:strCache>
                <c:ptCount val="1"/>
                <c:pt idx="0">
                  <c:v>0,45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[1]Montée!$Z$9:$Z$83</c:f>
              <c:numCache>
                <c:formatCode>General</c:formatCode>
                <c:ptCount val="75"/>
                <c:pt idx="0">
                  <c:v>8.130458109319024</c:v>
                </c:pt>
                <c:pt idx="1">
                  <c:v>7.9560297856659385</c:v>
                </c:pt>
                <c:pt idx="2">
                  <c:v>7.7830852742487169</c:v>
                </c:pt>
                <c:pt idx="3">
                  <c:v>7.6116465136828992</c:v>
                </c:pt>
                <c:pt idx="4">
                  <c:v>7.4417335178449324</c:v>
                </c:pt>
                <c:pt idx="5">
                  <c:v>7.2733643875929168</c:v>
                </c:pt>
                <c:pt idx="6">
                  <c:v>7.1065553212899006</c:v>
                </c:pt>
                <c:pt idx="7">
                  <c:v>6.9413206240654182</c:v>
                </c:pt>
                <c:pt idx="8">
                  <c:v>6.7776727157469612</c:v>
                </c:pt>
                <c:pt idx="9">
                  <c:v>6.6156221373882156</c:v>
                </c:pt>
                <c:pt idx="10">
                  <c:v>6.4551775563155047</c:v>
                </c:pt>
                <c:pt idx="11">
                  <c:v>6.2963457696084957</c:v>
                </c:pt>
                <c:pt idx="12">
                  <c:v>6.1391317059252213</c:v>
                </c:pt>
                <c:pt idx="13">
                  <c:v>5.983538425574892</c:v>
                </c:pt>
                <c:pt idx="14">
                  <c:v>5.8295671187348006</c:v>
                </c:pt>
                <c:pt idx="15">
                  <c:v>5.6772171017006476</c:v>
                </c:pt>
                <c:pt idx="16">
                  <c:v>5.5264858110508337</c:v>
                </c:pt>
                <c:pt idx="17">
                  <c:v>5.3773687955966585</c:v>
                </c:pt>
                <c:pt idx="18">
                  <c:v>5.2298597059810934</c:v>
                </c:pt>
                <c:pt idx="19">
                  <c:v>5.0839502817781632</c:v>
                </c:pt>
                <c:pt idx="20">
                  <c:v>4.9396303359338756</c:v>
                </c:pt>
                <c:pt idx="21">
                  <c:v>4.7968877363777782</c:v>
                </c:pt>
                <c:pt idx="22">
                  <c:v>4.6557083846209899</c:v>
                </c:pt>
                <c:pt idx="23">
                  <c:v>4.5160761911422513</c:v>
                </c:pt>
                <c:pt idx="24">
                  <c:v>4.3779730473485952</c:v>
                </c:pt>
                <c:pt idx="25">
                  <c:v>4.2413787938801466</c:v>
                </c:pt>
                <c:pt idx="26">
                  <c:v>4.1062711850107663</c:v>
                </c:pt>
                <c:pt idx="27">
                  <c:v>3.9726258488764383</c:v>
                </c:pt>
                <c:pt idx="28">
                  <c:v>3.840416243242216</c:v>
                </c:pt>
                <c:pt idx="29">
                  <c:v>3.7096136064950014</c:v>
                </c:pt>
                <c:pt idx="30">
                  <c:v>3.5801869035246194</c:v>
                </c:pt>
                <c:pt idx="31">
                  <c:v>3.4521027661278803</c:v>
                </c:pt>
                <c:pt idx="32">
                  <c:v>3.3253254275405992</c:v>
                </c:pt>
                <c:pt idx="33">
                  <c:v>3.1998166506700172</c:v>
                </c:pt>
                <c:pt idx="34">
                  <c:v>3.0755356495644763</c:v>
                </c:pt>
                <c:pt idx="35">
                  <c:v>2.9524390036185038</c:v>
                </c:pt>
                <c:pt idx="36">
                  <c:v>2.8304805639693531</c:v>
                </c:pt>
                <c:pt idx="37">
                  <c:v>2.7096113514947282</c:v>
                </c:pt>
                <c:pt idx="38">
                  <c:v>2.5897794457710788</c:v>
                </c:pt>
                <c:pt idx="39">
                  <c:v>2.4709298642967474</c:v>
                </c:pt>
                <c:pt idx="40">
                  <c:v>2.3530044312239169</c:v>
                </c:pt>
                <c:pt idx="41">
                  <c:v>2.2359416347772334</c:v>
                </c:pt>
                <c:pt idx="42">
                  <c:v>2.1196764724646258</c:v>
                </c:pt>
                <c:pt idx="43">
                  <c:v>2.0041402831066382</c:v>
                </c:pt>
                <c:pt idx="44">
                  <c:v>1.8892597892084213</c:v>
                </c:pt>
                <c:pt idx="45">
                  <c:v>1.7325783130278249</c:v>
                </c:pt>
                <c:pt idx="46">
                  <c:v>1.5801498414862492</c:v>
                </c:pt>
                <c:pt idx="47">
                  <c:v>1.4316730395456481</c:v>
                </c:pt>
                <c:pt idx="48">
                  <c:v>1.2868554090382245</c:v>
                </c:pt>
                <c:pt idx="49">
                  <c:v>1.1454127227011166</c:v>
                </c:pt>
                <c:pt idx="50">
                  <c:v>1.0070684757226542</c:v>
                </c:pt>
                <c:pt idx="51">
                  <c:v>0.87155335375534193</c:v>
                </c:pt>
                <c:pt idx="52">
                  <c:v>0.73860471638420355</c:v>
                </c:pt>
                <c:pt idx="53">
                  <c:v>0.6079660950709691</c:v>
                </c:pt>
                <c:pt idx="54">
                  <c:v>0.47938670462442068</c:v>
                </c:pt>
                <c:pt idx="55">
                  <c:v>0.35262096727536529</c:v>
                </c:pt>
                <c:pt idx="56">
                  <c:v>0.22742804846105447</c:v>
                </c:pt>
                <c:pt idx="57">
                  <c:v>0.10357140344860549</c:v>
                </c:pt>
                <c:pt idx="58">
                  <c:v>-1.9181666049889134E-2</c:v>
                </c:pt>
                <c:pt idx="59">
                  <c:v>-0.14106044609646617</c:v>
                </c:pt>
                <c:pt idx="60">
                  <c:v>-0.26229123638637475</c:v>
                </c:pt>
                <c:pt idx="61">
                  <c:v>-0.38309776853453381</c:v>
                </c:pt>
                <c:pt idx="62">
                  <c:v>-0.50370161755961451</c:v>
                </c:pt>
                <c:pt idx="63">
                  <c:v>-0.62432260732044043</c:v>
                </c:pt>
                <c:pt idx="64">
                  <c:v>-0.74517921064505677</c:v>
                </c:pt>
                <c:pt idx="65">
                  <c:v>-0.8664889448799955</c:v>
                </c:pt>
                <c:pt idx="66">
                  <c:v>-0.98846876357562885</c:v>
                </c:pt>
                <c:pt idx="67">
                  <c:v>-1.1113354450132356</c:v>
                </c:pt>
                <c:pt idx="68">
                  <c:v>-1.2353059782703504</c:v>
                </c:pt>
                <c:pt idx="69">
                  <c:v>-1.3605979475132906</c:v>
                </c:pt>
                <c:pt idx="70">
                  <c:v>-1.4874299151990773</c:v>
                </c:pt>
                <c:pt idx="71">
                  <c:v>-1.6160218048638058</c:v>
                </c:pt>
                <c:pt idx="72">
                  <c:v>-1.7465952841702379</c:v>
                </c:pt>
                <c:pt idx="73">
                  <c:v>-1.8793741488846047</c:v>
                </c:pt>
                <c:pt idx="74">
                  <c:v>-2.0145847084507067</c:v>
                </c:pt>
              </c:numCache>
            </c:numRef>
          </c:val>
        </c:ser>
        <c:ser>
          <c:idx val="10"/>
          <c:order val="9"/>
          <c:tx>
            <c:strRef>
              <c:f>[1]Montée!$AA$8</c:f>
              <c:strCache>
                <c:ptCount val="1"/>
                <c:pt idx="0">
                  <c:v>0,5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[1]Montée!$AA$9:$AA$83</c:f>
              <c:numCache>
                <c:formatCode>General</c:formatCode>
                <c:ptCount val="75"/>
                <c:pt idx="0">
                  <c:v>2.9874679873502736</c:v>
                </c:pt>
                <c:pt idx="1">
                  <c:v>2.9851163073522908</c:v>
                </c:pt>
                <c:pt idx="2">
                  <c:v>2.9795332933878687</c:v>
                </c:pt>
                <c:pt idx="3">
                  <c:v>2.97084545815457</c:v>
                </c:pt>
                <c:pt idx="4">
                  <c:v>2.9591757434552646</c:v>
                </c:pt>
                <c:pt idx="5">
                  <c:v>2.9446435510102122</c:v>
                </c:pt>
                <c:pt idx="6">
                  <c:v>2.9273647720959173</c:v>
                </c:pt>
                <c:pt idx="7">
                  <c:v>2.9074518159528981</c:v>
                </c:pt>
                <c:pt idx="8">
                  <c:v>2.8850136369004526</c:v>
                </c:pt>
                <c:pt idx="9">
                  <c:v>2.8601557600926002</c:v>
                </c:pt>
                <c:pt idx="10">
                  <c:v>2.8329803058440484</c:v>
                </c:pt>
                <c:pt idx="11">
                  <c:v>2.8035860124507379</c:v>
                </c:pt>
                <c:pt idx="12">
                  <c:v>2.7720682574235012</c:v>
                </c:pt>
                <c:pt idx="13">
                  <c:v>2.7385190770479064</c:v>
                </c:pt>
                <c:pt idx="14">
                  <c:v>2.7030271841768774</c:v>
                </c:pt>
                <c:pt idx="15">
                  <c:v>2.6656779841560412</c:v>
                </c:pt>
                <c:pt idx="16">
                  <c:v>2.6265535887741955</c:v>
                </c:pt>
                <c:pt idx="17">
                  <c:v>2.5857328281234873</c:v>
                </c:pt>
                <c:pt idx="18">
                  <c:v>2.5432912602454403</c:v>
                </c:pt>
                <c:pt idx="19">
                  <c:v>2.4993011784293997</c:v>
                </c:pt>
                <c:pt idx="20">
                  <c:v>2.4538316160201861</c:v>
                </c:pt>
                <c:pt idx="21">
                  <c:v>2.4069483485806829</c:v>
                </c:pt>
                <c:pt idx="22">
                  <c:v>2.3587138932436784</c:v>
                </c:pt>
                <c:pt idx="23">
                  <c:v>2.3091875050738802</c:v>
                </c:pt>
                <c:pt idx="24">
                  <c:v>2.2584251702480476</c:v>
                </c:pt>
                <c:pt idx="25">
                  <c:v>2.2064795958453787</c:v>
                </c:pt>
                <c:pt idx="26">
                  <c:v>2.1534001960246631</c:v>
                </c:pt>
                <c:pt idx="27">
                  <c:v>2.0992330743465701</c:v>
                </c:pt>
                <c:pt idx="28">
                  <c:v>2.0440210019805809</c:v>
                </c:pt>
                <c:pt idx="29">
                  <c:v>1.9878033915149984</c:v>
                </c:pt>
                <c:pt idx="30">
                  <c:v>1.9306162660658992</c:v>
                </c:pt>
                <c:pt idx="31">
                  <c:v>1.8724922233561057</c:v>
                </c:pt>
                <c:pt idx="32">
                  <c:v>1.8134603944083831</c:v>
                </c:pt>
                <c:pt idx="33">
                  <c:v>1.7535463964678344</c:v>
                </c:pt>
                <c:pt idx="34">
                  <c:v>1.6927722797364821</c:v>
                </c:pt>
                <c:pt idx="35">
                  <c:v>1.6311564674680681</c:v>
                </c:pt>
                <c:pt idx="36">
                  <c:v>1.5687136889333333</c:v>
                </c:pt>
                <c:pt idx="37">
                  <c:v>1.5054549047242616</c:v>
                </c:pt>
                <c:pt idx="38">
                  <c:v>1.4413872238205498</c:v>
                </c:pt>
                <c:pt idx="39">
                  <c:v>1.3765138117918516</c:v>
                </c:pt>
                <c:pt idx="40">
                  <c:v>1.3108337894551778</c:v>
                </c:pt>
                <c:pt idx="41">
                  <c:v>1.2443421212472405</c:v>
                </c:pt>
                <c:pt idx="42">
                  <c:v>1.1770294925064988</c:v>
                </c:pt>
                <c:pt idx="43">
                  <c:v>1.1088821747883566</c:v>
                </c:pt>
                <c:pt idx="44">
                  <c:v>1.0398812909916786</c:v>
                </c:pt>
                <c:pt idx="45">
                  <c:v>0.92115195623739332</c:v>
                </c:pt>
                <c:pt idx="46">
                  <c:v>0.8055235996551332</c:v>
                </c:pt>
                <c:pt idx="47">
                  <c:v>0.69274752335859058</c:v>
                </c:pt>
                <c:pt idx="48">
                  <c:v>0.58258234468677006</c:v>
                </c:pt>
                <c:pt idx="49">
                  <c:v>0.47479350186823965</c:v>
                </c:pt>
                <c:pt idx="50">
                  <c:v>0.36915277526442136</c:v>
                </c:pt>
                <c:pt idx="51">
                  <c:v>0.26543782324193854</c:v>
                </c:pt>
                <c:pt idx="52">
                  <c:v>0.16343173175526005</c:v>
                </c:pt>
                <c:pt idx="53">
                  <c:v>6.2922576750567893E-2</c:v>
                </c:pt>
                <c:pt idx="54">
                  <c:v>-3.6297001470501966E-2</c:v>
                </c:pt>
                <c:pt idx="55">
                  <c:v>-0.13443021276235978</c:v>
                </c:pt>
                <c:pt idx="56">
                  <c:v>-0.23167652133281358</c:v>
                </c:pt>
                <c:pt idx="57">
                  <c:v>-0.32823204041385878</c:v>
                </c:pt>
                <c:pt idx="58">
                  <c:v>-0.424289918172017</c:v>
                </c:pt>
                <c:pt idx="59">
                  <c:v>-0.52004071560433562</c:v>
                </c:pt>
                <c:pt idx="60">
                  <c:v>-0.61567277714753921</c:v>
                </c:pt>
                <c:pt idx="61">
                  <c:v>-0.71137259471064684</c:v>
                </c:pt>
                <c:pt idx="62">
                  <c:v>-0.80732516582547098</c:v>
                </c:pt>
                <c:pt idx="63">
                  <c:v>-0.903714346594924</c:v>
                </c:pt>
                <c:pt idx="64">
                  <c:v>-1.0007232001056909</c:v>
                </c:pt>
                <c:pt idx="65">
                  <c:v>-1.098534340959908</c:v>
                </c:pt>
                <c:pt idx="66">
                  <c:v>-1.1973302765696143</c:v>
                </c:pt>
                <c:pt idx="67">
                  <c:v>-1.2972937458481857</c:v>
                </c:pt>
                <c:pt idx="68">
                  <c:v>-1.3986080559244507</c:v>
                </c:pt>
                <c:pt idx="69">
                  <c:v>-1.5014574174980548</c:v>
                </c:pt>
                <c:pt idx="70">
                  <c:v>-1.6060272794482988</c:v>
                </c:pt>
                <c:pt idx="71">
                  <c:v>-1.7125046633038392</c:v>
                </c:pt>
                <c:pt idx="72">
                  <c:v>-1.8210784981765435</c:v>
                </c:pt>
                <c:pt idx="73">
                  <c:v>-1.9319399567600928</c:v>
                </c:pt>
                <c:pt idx="74">
                  <c:v>-2.0452827929920367</c:v>
                </c:pt>
              </c:numCache>
            </c:numRef>
          </c:val>
        </c:ser>
        <c:ser>
          <c:idx val="11"/>
          <c:order val="10"/>
          <c:tx>
            <c:strRef>
              <c:f>[1]Montée!$AB$8</c:f>
              <c:strCache>
                <c:ptCount val="1"/>
                <c:pt idx="0">
                  <c:v>0,55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[1]Montée!$AB$9:$AB$83</c:f>
              <c:numCache>
                <c:formatCode>General</c:formatCode>
                <c:ptCount val="75"/>
                <c:pt idx="0">
                  <c:v>-3.8155822251665357</c:v>
                </c:pt>
                <c:pt idx="1">
                  <c:v>-3.5934603693143203</c:v>
                </c:pt>
                <c:pt idx="2">
                  <c:v>-3.3806690040554899</c:v>
                </c:pt>
                <c:pt idx="3">
                  <c:v>-3.1769484270529142</c:v>
                </c:pt>
                <c:pt idx="4">
                  <c:v>-2.982044598713498</c:v>
                </c:pt>
                <c:pt idx="5">
                  <c:v>-2.7957090883490454</c:v>
                </c:pt>
                <c:pt idx="6">
                  <c:v>-2.6176990215213425</c:v>
                </c:pt>
                <c:pt idx="7">
                  <c:v>-2.4477770286234195</c:v>
                </c:pt>
                <c:pt idx="8">
                  <c:v>-2.2857111947541782</c:v>
                </c:pt>
                <c:pt idx="9">
                  <c:v>-2.1312750109461707</c:v>
                </c:pt>
                <c:pt idx="10">
                  <c:v>-1.9842473268114678</c:v>
                </c:pt>
                <c:pt idx="11">
                  <c:v>-1.8444123046745537</c:v>
                </c:pt>
                <c:pt idx="12">
                  <c:v>-1.7115593752664557</c:v>
                </c:pt>
                <c:pt idx="13">
                  <c:v>-1.5854831950594961</c:v>
                </c:pt>
                <c:pt idx="14">
                  <c:v>-1.4659836053276905</c:v>
                </c:pt>
                <c:pt idx="15">
                  <c:v>-1.3528655930241951</c:v>
                </c:pt>
                <c:pt idx="16">
                  <c:v>-1.2459392535736651</c:v>
                </c:pt>
                <c:pt idx="17">
                  <c:v>-1.1450197556849031</c:v>
                </c:pt>
                <c:pt idx="18">
                  <c:v>-1.0499273082965261</c:v>
                </c:pt>
                <c:pt idx="19">
                  <c:v>-0.96048712977723594</c:v>
                </c:pt>
                <c:pt idx="20">
                  <c:v>-0.87652941951124064</c:v>
                </c:pt>
                <c:pt idx="21">
                  <c:v>-0.7978893320091246</c:v>
                </c:pt>
                <c:pt idx="22">
                  <c:v>-0.72440695369537078</c:v>
                </c:pt>
                <c:pt idx="23">
                  <c:v>-0.65592728253531551</c:v>
                </c:pt>
                <c:pt idx="24">
                  <c:v>-0.59230021067651806</c:v>
                </c:pt>
                <c:pt idx="25">
                  <c:v>-0.53338051029377365</c:v>
                </c:pt>
                <c:pt idx="26">
                  <c:v>-0.4790278228412907</c:v>
                </c:pt>
                <c:pt idx="27">
                  <c:v>-0.42910665193180086</c:v>
                </c:pt>
                <c:pt idx="28">
                  <c:v>-0.38348636007982639</c:v>
                </c:pt>
                <c:pt idx="29">
                  <c:v>-0.34204116956530967</c:v>
                </c:pt>
                <c:pt idx="30">
                  <c:v>-0.30465016769438896</c:v>
                </c:pt>
                <c:pt idx="31">
                  <c:v>-0.27119731675654618</c:v>
                </c:pt>
                <c:pt idx="32">
                  <c:v>-0.24157146900200016</c:v>
                </c:pt>
                <c:pt idx="33">
                  <c:v>-0.21566638698947921</c:v>
                </c:pt>
                <c:pt idx="34">
                  <c:v>-0.19338076968396806</c:v>
                </c:pt>
                <c:pt idx="35">
                  <c:v>-0.17461828471535873</c:v>
                </c:pt>
                <c:pt idx="36">
                  <c:v>-0.15928760724376456</c:v>
                </c:pt>
                <c:pt idx="37">
                  <c:v>-0.14730246591475327</c:v>
                </c:pt>
                <c:pt idx="38">
                  <c:v>-0.13858169642930862</c:v>
                </c:pt>
                <c:pt idx="39">
                  <c:v>-0.13304930329811304</c:v>
                </c:pt>
                <c:pt idx="40">
                  <c:v>-0.13063453039941419</c:v>
                </c:pt>
                <c:pt idx="41">
                  <c:v>-0.13127194101351136</c:v>
                </c:pt>
                <c:pt idx="42">
                  <c:v>-0.1349015080662811</c:v>
                </c:pt>
                <c:pt idx="43">
                  <c:v>-0.14146871537893713</c:v>
                </c:pt>
                <c:pt idx="44">
                  <c:v>-0.15092500966000555</c:v>
                </c:pt>
                <c:pt idx="45">
                  <c:v>-0.21962205091909381</c:v>
                </c:pt>
                <c:pt idx="46">
                  <c:v>-0.28688671829774659</c:v>
                </c:pt>
                <c:pt idx="47">
                  <c:v>-0.35289689176180972</c:v>
                </c:pt>
                <c:pt idx="48">
                  <c:v>-0.41782544088092122</c:v>
                </c:pt>
                <c:pt idx="49">
                  <c:v>-0.48184062011843931</c:v>
                </c:pt>
                <c:pt idx="50">
                  <c:v>-0.54510645166504967</c:v>
                </c:pt>
                <c:pt idx="51">
                  <c:v>-0.60778309662960583</c:v>
                </c:pt>
                <c:pt idx="52">
                  <c:v>-0.6700272153737763</c:v>
                </c:pt>
                <c:pt idx="53">
                  <c:v>-0.73199231775129181</c:v>
                </c:pt>
                <c:pt idx="54">
                  <c:v>-0.793829103988547</c:v>
                </c:pt>
                <c:pt idx="55">
                  <c:v>-0.85568579692077718</c:v>
                </c:pt>
                <c:pt idx="56">
                  <c:v>-0.91770846627682579</c:v>
                </c:pt>
                <c:pt idx="57">
                  <c:v>-0.98004134568584567</c:v>
                </c:pt>
                <c:pt idx="58">
                  <c:v>-1.0428271430607727</c:v>
                </c:pt>
                <c:pt idx="59">
                  <c:v>-1.1062073449964744</c:v>
                </c:pt>
                <c:pt idx="60">
                  <c:v>-1.1703225158045334</c:v>
                </c:pt>
                <c:pt idx="61">
                  <c:v>-1.2353125917921384</c:v>
                </c:pt>
                <c:pt idx="62">
                  <c:v>-1.3013171713791107</c:v>
                </c:pt>
                <c:pt idx="63">
                  <c:v>-1.3684758016349849</c:v>
                </c:pt>
                <c:pt idx="64">
                  <c:v>-1.4369282618068735</c:v>
                </c:pt>
                <c:pt idx="65">
                  <c:v>-1.5068148443990133</c:v>
                </c:pt>
                <c:pt idx="66">
                  <c:v>-1.578276634355952</c:v>
                </c:pt>
                <c:pt idx="67">
                  <c:v>-1.6514557868935844</c:v>
                </c:pt>
                <c:pt idx="68">
                  <c:v>-1.7264958045154344</c:v>
                </c:pt>
                <c:pt idx="69">
                  <c:v>-1.8035418137459536</c:v>
                </c:pt>
                <c:pt idx="70">
                  <c:v>-1.882740842107764</c:v>
                </c:pt>
                <c:pt idx="71">
                  <c:v>-1.9642420958661895</c:v>
                </c:pt>
                <c:pt idx="72">
                  <c:v>-2.0481972390615191</c:v>
                </c:pt>
                <c:pt idx="73">
                  <c:v>-2.1347606743478478</c:v>
                </c:pt>
                <c:pt idx="74">
                  <c:v>-2.22408982615636</c:v>
                </c:pt>
              </c:numCache>
            </c:numRef>
          </c:val>
        </c:ser>
        <c:ser>
          <c:idx val="12"/>
          <c:order val="11"/>
          <c:tx>
            <c:strRef>
              <c:f>[1]Montée!$AC$8</c:f>
              <c:strCache>
                <c:ptCount val="1"/>
                <c:pt idx="0">
                  <c:v>0,6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[1]Montée!$AC$9:$AC$83</c:f>
              <c:numCache>
                <c:formatCode>General</c:formatCode>
                <c:ptCount val="75"/>
                <c:pt idx="0">
                  <c:v>-12.397176400515399</c:v>
                </c:pt>
                <c:pt idx="1">
                  <c:v>-11.894216033588792</c:v>
                </c:pt>
                <c:pt idx="2">
                  <c:v>-11.408176586228839</c:v>
                </c:pt>
                <c:pt idx="3">
                  <c:v>-10.938634160748757</c:v>
                </c:pt>
                <c:pt idx="4">
                  <c:v>-10.485173096081876</c:v>
                </c:pt>
                <c:pt idx="5">
                  <c:v>-10.047385886513275</c:v>
                </c:pt>
                <c:pt idx="6">
                  <c:v>-9.6248731016376823</c:v>
                </c:pt>
                <c:pt idx="7">
                  <c:v>-9.2172433075923301</c:v>
                </c:pt>
                <c:pt idx="8">
                  <c:v>-8.8241129896169763</c:v>
                </c:pt>
                <c:pt idx="9">
                  <c:v>-8.4451064759962744</c:v>
                </c:pt>
                <c:pt idx="10">
                  <c:v>-8.0798558634445659</c:v>
                </c:pt>
                <c:pt idx="11">
                  <c:v>-7.7280009439962898</c:v>
                </c:pt>
                <c:pt idx="12">
                  <c:v>-7.3891891334704836</c:v>
                </c:pt>
                <c:pt idx="13">
                  <c:v>-7.0630754015825055</c:v>
                </c:pt>
                <c:pt idx="14">
                  <c:v>-6.7493222037810705</c:v>
                </c:pt>
                <c:pt idx="15">
                  <c:v>-6.4475994148948592</c:v>
                </c:pt>
                <c:pt idx="16">
                  <c:v>-6.1575842646785777</c:v>
                </c:pt>
                <c:pt idx="17">
                  <c:v>-5.8789612753554863</c:v>
                </c:pt>
                <c:pt idx="18">
                  <c:v>-5.6114222012599795</c:v>
                </c:pt>
                <c:pt idx="19">
                  <c:v>-5.3546659706920909</c:v>
                </c:pt>
                <c:pt idx="20">
                  <c:v>-5.1083986301036752</c:v>
                </c:pt>
                <c:pt idx="21">
                  <c:v>-4.8723332907455674</c:v>
                </c:pt>
                <c:pt idx="22">
                  <c:v>-4.6461900779142162</c:v>
                </c:pt>
                <c:pt idx="23">
                  <c:v>-4.429696082947717</c:v>
                </c:pt>
                <c:pt idx="24">
                  <c:v>-4.2225853181317232</c:v>
                </c:pt>
                <c:pt idx="25">
                  <c:v>-4.0245986746891438</c:v>
                </c:pt>
                <c:pt idx="26">
                  <c:v>-3.8354838840404217</c:v>
                </c:pt>
                <c:pt idx="27">
                  <c:v>-3.6549954825363549</c:v>
                </c:pt>
                <c:pt idx="28">
                  <c:v>-3.4828947798810188</c:v>
                </c:pt>
                <c:pt idx="29">
                  <c:v>-3.3189498314801789</c:v>
                </c:pt>
                <c:pt idx="30">
                  <c:v>-3.1629354149691471</c:v>
                </c:pt>
                <c:pt idx="31">
                  <c:v>-3.0146330111947703</c:v>
                </c:pt>
                <c:pt idx="32">
                  <c:v>-2.8738307899487179</c:v>
                </c:pt>
                <c:pt idx="33">
                  <c:v>-2.7403236007734391</c:v>
                </c:pt>
                <c:pt idx="34">
                  <c:v>-2.6139129691890695</c:v>
                </c:pt>
                <c:pt idx="35">
                  <c:v>-2.4944070987182791</c:v>
                </c:pt>
                <c:pt idx="36">
                  <c:v>-2.3816208791181657</c:v>
                </c:pt>
                <c:pt idx="37">
                  <c:v>-2.2753759012623296</c:v>
                </c:pt>
                <c:pt idx="38">
                  <c:v>-2.175500479154759</c:v>
                </c:pt>
                <c:pt idx="39">
                  <c:v>-2.0818296795979405</c:v>
                </c:pt>
                <c:pt idx="40">
                  <c:v>-1.9942053600831193</c:v>
                </c:pt>
                <c:pt idx="41">
                  <c:v>-1.9124762155202113</c:v>
                </c:pt>
                <c:pt idx="42">
                  <c:v>-1.836497834478978</c:v>
                </c:pt>
                <c:pt idx="43">
                  <c:v>-1.7661327656726358</c:v>
                </c:pt>
                <c:pt idx="44">
                  <c:v>-1.7012506209159817</c:v>
                </c:pt>
                <c:pt idx="45">
                  <c:v>-1.706868305438173</c:v>
                </c:pt>
                <c:pt idx="46">
                  <c:v>-1.7132632996544728</c:v>
                </c:pt>
                <c:pt idx="47">
                  <c:v>-1.7205231094831488</c:v>
                </c:pt>
                <c:pt idx="48">
                  <c:v>-1.7287333507821154</c:v>
                </c:pt>
                <c:pt idx="49">
                  <c:v>-1.7379780162424485</c:v>
                </c:pt>
                <c:pt idx="50">
                  <c:v>-1.7483397341793421</c:v>
                </c:pt>
                <c:pt idx="51">
                  <c:v>-1.7599000198536503</c:v>
                </c:pt>
                <c:pt idx="52">
                  <c:v>-1.7727395199360743</c:v>
                </c:pt>
                <c:pt idx="53">
                  <c:v>-1.7869382507060254</c:v>
                </c:pt>
                <c:pt idx="54">
                  <c:v>-1.8025758305586932</c:v>
                </c:pt>
                <c:pt idx="55">
                  <c:v>-1.8197317073764829</c:v>
                </c:pt>
                <c:pt idx="56">
                  <c:v>-1.8384853813048792</c:v>
                </c:pt>
                <c:pt idx="57">
                  <c:v>-1.8589166234578782</c:v>
                </c:pt>
                <c:pt idx="58">
                  <c:v>-1.8811056910642356</c:v>
                </c:pt>
                <c:pt idx="59">
                  <c:v>-1.9051335395532634</c:v>
                </c:pt>
                <c:pt idx="60">
                  <c:v>-1.9310820320670683</c:v>
                </c:pt>
                <c:pt idx="61">
                  <c:v>-1.95903414687572</c:v>
                </c:pt>
                <c:pt idx="62">
                  <c:v>-1.989074183162119</c:v>
                </c:pt>
                <c:pt idx="63">
                  <c:v>-2.021287965634893</c:v>
                </c:pt>
                <c:pt idx="64">
                  <c:v>-2.0557630484198777</c:v>
                </c:pt>
                <c:pt idx="65">
                  <c:v>-2.0925889186741697</c:v>
                </c:pt>
                <c:pt idx="66">
                  <c:v>-2.1318572003609138</c:v>
                </c:pt>
                <c:pt idx="67">
                  <c:v>-2.1736618586181198</c:v>
                </c:pt>
                <c:pt idx="68">
                  <c:v>-2.2180994051508485</c:v>
                </c:pt>
                <c:pt idx="69">
                  <c:v>-2.2652691050729823</c:v>
                </c:pt>
                <c:pt idx="70">
                  <c:v>-2.3152731856225111</c:v>
                </c:pt>
                <c:pt idx="71">
                  <c:v>-2.3682170471729096</c:v>
                </c:pt>
                <c:pt idx="72">
                  <c:v>-2.4242094769625089</c:v>
                </c:pt>
                <c:pt idx="73">
                  <c:v>-2.4833628659641311</c:v>
                </c:pt>
                <c:pt idx="74">
                  <c:v>-2.5457934293181763</c:v>
                </c:pt>
              </c:numCache>
            </c:numRef>
          </c:val>
        </c:ser>
        <c:ser>
          <c:idx val="13"/>
          <c:order val="12"/>
          <c:tx>
            <c:strRef>
              <c:f>[1]Montée!$AD$8</c:f>
              <c:strCache>
                <c:ptCount val="1"/>
                <c:pt idx="0">
                  <c:v>0,65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[1]Montée!$AD$9:$AD$83</c:f>
              <c:numCache>
                <c:formatCode>General</c:formatCode>
                <c:ptCount val="75"/>
                <c:pt idx="0">
                  <c:v>-22.876095011823452</c:v>
                </c:pt>
                <c:pt idx="1">
                  <c:v>-22.031971137538079</c:v>
                </c:pt>
                <c:pt idx="2">
                  <c:v>-21.213957413073164</c:v>
                </c:pt>
                <c:pt idx="3">
                  <c:v>-20.421432359975263</c:v>
                </c:pt>
                <c:pt idx="4">
                  <c:v>-19.653785829119499</c:v>
                </c:pt>
                <c:pt idx="5">
                  <c:v>-18.910418887166248</c:v>
                </c:pt>
                <c:pt idx="6">
                  <c:v>-18.1907437043172</c:v>
                </c:pt>
                <c:pt idx="7">
                  <c:v>-17.494183443415576</c:v>
                </c:pt>
                <c:pt idx="8">
                  <c:v>-16.820172150440012</c:v>
                </c:pt>
                <c:pt idx="9">
                  <c:v>-16.168154646442385</c:v>
                </c:pt>
                <c:pt idx="10">
                  <c:v>-15.537586420986072</c:v>
                </c:pt>
                <c:pt idx="11">
                  <c:v>-14.927933527143177</c:v>
                </c:pt>
                <c:pt idx="12">
                  <c:v>-14.338672478114047</c:v>
                </c:pt>
                <c:pt idx="13">
                  <c:v>-13.769290145537365</c:v>
                </c:pt>
                <c:pt idx="14">
                  <c:v>-13.219283659562885</c:v>
                </c:pt>
                <c:pt idx="15">
                  <c:v>-12.688160310765229</c:v>
                </c:pt>
                <c:pt idx="16">
                  <c:v>-12.175437453981921</c:v>
                </c:pt>
                <c:pt idx="17">
                  <c:v>-11.680642414165716</c:v>
                </c:pt>
                <c:pt idx="18">
                  <c:v>-11.203312394347076</c:v>
                </c:pt>
                <c:pt idx="19">
                  <c:v>-10.742994385810562</c:v>
                </c:pt>
                <c:pt idx="20">
                  <c:v>-10.299245080595957</c:v>
                </c:pt>
                <c:pt idx="21">
                  <c:v>-9.8716307864439337</c:v>
                </c:pt>
                <c:pt idx="22">
                  <c:v>-9.4597273443146275</c:v>
                </c:pt>
                <c:pt idx="23">
                  <c:v>-9.0631200486174777</c:v>
                </c:pt>
                <c:pt idx="24">
                  <c:v>-8.6814035703012795</c:v>
                </c:pt>
                <c:pt idx="25">
                  <c:v>-8.3141818829652561</c:v>
                </c:pt>
                <c:pt idx="26">
                  <c:v>-7.9610681921639284</c:v>
                </c:pt>
                <c:pt idx="27">
                  <c:v>-7.6216848680924336</c:v>
                </c:pt>
                <c:pt idx="28">
                  <c:v>-7.2956633818540322</c:v>
                </c:pt>
                <c:pt idx="29">
                  <c:v>-6.9826442455268252</c:v>
                </c:pt>
                <c:pt idx="30">
                  <c:v>-6.6822769562650643</c:v>
                </c:pt>
                <c:pt idx="31">
                  <c:v>-6.3942199446886923</c:v>
                </c:pt>
                <c:pt idx="32">
                  <c:v>-6.1181405278359904</c:v>
                </c:pt>
                <c:pt idx="33">
                  <c:v>-5.8537148669762953</c:v>
                </c:pt>
                <c:pt idx="34">
                  <c:v>-5.6006279306047881</c:v>
                </c:pt>
                <c:pt idx="35">
                  <c:v>-5.358573462967688</c:v>
                </c:pt>
                <c:pt idx="36">
                  <c:v>-5.1272539584959311</c:v>
                </c:pt>
                <c:pt idx="37">
                  <c:v>-4.9063806425569076</c:v>
                </c:pt>
                <c:pt idx="38">
                  <c:v>-4.6956734589690425</c:v>
                </c:pt>
                <c:pt idx="39">
                  <c:v>-4.4948610647621345</c:v>
                </c:pt>
                <c:pt idx="40">
                  <c:v>-4.3036808327079186</c:v>
                </c:pt>
                <c:pt idx="41">
                  <c:v>-4.1218788621914486</c:v>
                </c:pt>
                <c:pt idx="42">
                  <c:v>-3.9492099990436076</c:v>
                </c:pt>
                <c:pt idx="43">
                  <c:v>-3.7854378650100915</c:v>
                </c:pt>
                <c:pt idx="44">
                  <c:v>-3.6303345400023423</c:v>
                </c:pt>
                <c:pt idx="45">
                  <c:v>-3.5589049400509811</c:v>
                </c:pt>
                <c:pt idx="46">
                  <c:v>-3.4910297618840294</c:v>
                </c:pt>
                <c:pt idx="47">
                  <c:v>-3.4266852800348104</c:v>
                </c:pt>
                <c:pt idx="48">
                  <c:v>-3.3658498501170113</c:v>
                </c:pt>
                <c:pt idx="49">
                  <c:v>-3.3085040161561032</c:v>
                </c:pt>
                <c:pt idx="50">
                  <c:v>-3.2546306154489404</c:v>
                </c:pt>
                <c:pt idx="51">
                  <c:v>-3.2042148813575855</c:v>
                </c:pt>
                <c:pt idx="52">
                  <c:v>-3.1572445444302781</c:v>
                </c:pt>
                <c:pt idx="53">
                  <c:v>-3.1137099322299617</c:v>
                </c:pt>
                <c:pt idx="54">
                  <c:v>-3.0736040682396091</c:v>
                </c:pt>
                <c:pt idx="55">
                  <c:v>-3.0369227702031156</c:v>
                </c:pt>
                <c:pt idx="56">
                  <c:v>-3.0036647482511913</c:v>
                </c:pt>
                <c:pt idx="57">
                  <c:v>-2.9738317031530883</c:v>
                </c:pt>
                <c:pt idx="58">
                  <c:v>-2.9474284250273168</c:v>
                </c:pt>
                <c:pt idx="59">
                  <c:v>-2.924462892837794</c:v>
                </c:pt>
                <c:pt idx="60">
                  <c:v>-2.9049463749956947</c:v>
                </c:pt>
                <c:pt idx="61">
                  <c:v>-2.8888935313822213</c:v>
                </c:pt>
                <c:pt idx="62">
                  <c:v>-2.8763225171029774</c:v>
                </c:pt>
                <c:pt idx="63">
                  <c:v>-2.8672550882810004</c:v>
                </c:pt>
                <c:pt idx="64">
                  <c:v>-2.8617167101925691</c:v>
                </c:pt>
                <c:pt idx="65">
                  <c:v>-2.859736668047657</c:v>
                </c:pt>
                <c:pt idx="66">
                  <c:v>-2.8613481807154617</c:v>
                </c:pt>
                <c:pt idx="67">
                  <c:v>-2.8665885176945869</c:v>
                </c:pt>
                <c:pt idx="68">
                  <c:v>-2.8754991196273414</c:v>
                </c:pt>
                <c:pt idx="69">
                  <c:v>-2.8881257226582226</c:v>
                </c:pt>
                <c:pt idx="70">
                  <c:v>-2.9045184869378238</c:v>
                </c:pt>
                <c:pt idx="71">
                  <c:v>-2.9247321295753652</c:v>
                </c:pt>
                <c:pt idx="72">
                  <c:v>-2.9488260623455149</c:v>
                </c:pt>
                <c:pt idx="73">
                  <c:v>-2.9768645344584703</c:v>
                </c:pt>
                <c:pt idx="74">
                  <c:v>-3.0089167807060315</c:v>
                </c:pt>
              </c:numCache>
            </c:numRef>
          </c:val>
        </c:ser>
        <c:ser>
          <c:idx val="14"/>
          <c:order val="13"/>
          <c:tx>
            <c:strRef>
              <c:f>[1]Montée!$AE$8</c:f>
              <c:strCache>
                <c:ptCount val="1"/>
                <c:pt idx="0">
                  <c:v>0,7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[1]Montée!$AE$9:$AE$83</c:f>
              <c:numCache>
                <c:formatCode>General</c:formatCode>
                <c:ptCount val="75"/>
                <c:pt idx="0">
                  <c:v>-35.3713092041884</c:v>
                </c:pt>
                <c:pt idx="1">
                  <c:v>-34.121741987894119</c:v>
                </c:pt>
                <c:pt idx="2">
                  <c:v>-32.909180653539579</c:v>
                </c:pt>
                <c:pt idx="3">
                  <c:v>-31.73277038349606</c:v>
                </c:pt>
                <c:pt idx="4">
                  <c:v>-30.591671338113127</c:v>
                </c:pt>
                <c:pt idx="5">
                  <c:v>-29.485058504627364</c:v>
                </c:pt>
                <c:pt idx="6">
                  <c:v>-28.412121547473586</c:v>
                </c:pt>
                <c:pt idx="7">
                  <c:v>-27.37206466004033</c:v>
                </c:pt>
                <c:pt idx="8">
                  <c:v>-26.364106417915991</c:v>
                </c:pt>
                <c:pt idx="9">
                  <c:v>-25.387479633672637</c:v>
                </c:pt>
                <c:pt idx="10">
                  <c:v>-24.441431213240843</c:v>
                </c:pt>
                <c:pt idx="11">
                  <c:v>-23.525222013929575</c:v>
                </c:pt>
                <c:pt idx="12">
                  <c:v>-22.638126704151009</c:v>
                </c:pt>
                <c:pt idx="13">
                  <c:v>-21.779433624913889</c:v>
                </c:pt>
                <c:pt idx="14">
                  <c:v>-20.948444653152546</c:v>
                </c:pt>
                <c:pt idx="15">
                  <c:v>-20.144475066965253</c:v>
                </c:pt>
                <c:pt idx="16">
                  <c:v>-19.366853412839319</c:v>
                </c:pt>
                <c:pt idx="17">
                  <c:v>-18.614921374946952</c:v>
                </c:pt>
                <c:pt idx="18">
                  <c:v>-17.88803364660162</c:v>
                </c:pt>
                <c:pt idx="19">
                  <c:v>-17.185557803971321</c:v>
                </c:pt>
                <c:pt idx="20">
                  <c:v>-16.506874182152522</c:v>
                </c:pt>
                <c:pt idx="21">
                  <c:v>-15.851375753716072</c:v>
                </c:pt>
                <c:pt idx="22">
                  <c:v>-15.218468009845033</c:v>
                </c:pt>
                <c:pt idx="23">
                  <c:v>-14.607568844193427</c:v>
                </c:pt>
                <c:pt idx="24">
                  <c:v>-14.018108439604093</c:v>
                </c:pt>
                <c:pt idx="25">
                  <c:v>-13.449529157836256</c:v>
                </c:pt>
                <c:pt idx="26">
                  <c:v>-12.901285432463052</c:v>
                </c:pt>
                <c:pt idx="27">
                  <c:v>-12.372843665113185</c:v>
                </c:pt>
                <c:pt idx="28">
                  <c:v>-11.863682125244281</c:v>
                </c:pt>
                <c:pt idx="29">
                  <c:v>-11.373290853650115</c:v>
                </c:pt>
                <c:pt idx="30">
                  <c:v>-10.901171569920553</c:v>
                </c:pt>
                <c:pt idx="31">
                  <c:v>-10.446837584090538</c:v>
                </c:pt>
                <c:pt idx="32">
                  <c:v>-10.009813712733379</c:v>
                </c:pt>
                <c:pt idx="33">
                  <c:v>-9.5896361997750841</c:v>
                </c:pt>
                <c:pt idx="34">
                  <c:v>-9.1858526423288307</c:v>
                </c:pt>
                <c:pt idx="35">
                  <c:v>-8.7980219218737243</c:v>
                </c:pt>
                <c:pt idx="36">
                  <c:v>-8.4257141411294452</c:v>
                </c:pt>
                <c:pt idx="37">
                  <c:v>-8.0685105670073689</c:v>
                </c:pt>
                <c:pt idx="38">
                  <c:v>-7.726003580052021</c:v>
                </c:pt>
                <c:pt idx="39">
                  <c:v>-7.3977966308214151</c:v>
                </c:pt>
                <c:pt idx="40">
                  <c:v>-7.0835042036942433</c:v>
                </c:pt>
                <c:pt idx="41">
                  <c:v>-6.7827517886337159</c:v>
                </c:pt>
                <c:pt idx="42">
                  <c:v>-6.4951758614851292</c:v>
                </c:pt>
                <c:pt idx="43">
                  <c:v>-6.220423873434374</c:v>
                </c:pt>
                <c:pt idx="44">
                  <c:v>-5.9581534356816652</c:v>
                </c:pt>
                <c:pt idx="45">
                  <c:v>-5.7948173604609119</c:v>
                </c:pt>
                <c:pt idx="46">
                  <c:v>-5.6384077847184129</c:v>
                </c:pt>
                <c:pt idx="47">
                  <c:v>-5.4887676407216279</c:v>
                </c:pt>
                <c:pt idx="48">
                  <c:v>-5.3457468009748323</c:v>
                </c:pt>
                <c:pt idx="49">
                  <c:v>-5.2092019930845135</c:v>
                </c:pt>
                <c:pt idx="50">
                  <c:v>-5.0789967191094805</c:v>
                </c:pt>
                <c:pt idx="51">
                  <c:v>-4.9550011795257394</c:v>
                </c:pt>
                <c:pt idx="52">
                  <c:v>-4.8370922019328315</c:v>
                </c:pt>
                <c:pt idx="53">
                  <c:v>-4.725153174625448</c:v>
                </c:pt>
                <c:pt idx="54">
                  <c:v>-4.6190739851519105</c:v>
                </c:pt>
                <c:pt idx="55">
                  <c:v>-4.5187509639795502</c:v>
                </c:pt>
                <c:pt idx="56">
                  <c:v>-4.4240868333858892</c:v>
                </c:pt>
                <c:pt idx="57">
                  <c:v>-4.3349906616941336</c:v>
                </c:pt>
                <c:pt idx="58">
                  <c:v>-4.2513778229714614</c:v>
                </c:pt>
                <c:pt idx="59">
                  <c:v>-4.1731699623091902</c:v>
                </c:pt>
                <c:pt idx="60">
                  <c:v>-4.1002949668050723</c:v>
                </c:pt>
                <c:pt idx="61">
                  <c:v>-4.0326869423694047</c:v>
                </c:pt>
                <c:pt idx="62">
                  <c:v>-3.9702861964788836</c:v>
                </c:pt>
                <c:pt idx="63">
                  <c:v>-3.9130392270045746</c:v>
                </c:pt>
                <c:pt idx="64">
                  <c:v>-3.8608987172434879</c:v>
                </c:pt>
                <c:pt idx="65">
                  <c:v>-3.8138235372866625</c:v>
                </c:pt>
                <c:pt idx="66">
                  <c:v>-3.7717787518607135</c:v>
                </c:pt>
                <c:pt idx="67">
                  <c:v>-3.7347356347841352</c:v>
                </c:pt>
                <c:pt idx="68">
                  <c:v>-3.7026716901845544</c:v>
                </c:pt>
                <c:pt idx="69">
                  <c:v>-3.6755706806284465</c:v>
                </c:pt>
                <c:pt idx="70">
                  <c:v>-3.6534226623205712</c:v>
                </c:pt>
                <c:pt idx="71">
                  <c:v>-3.6362240275366267</c:v>
                </c:pt>
                <c:pt idx="72">
                  <c:v>-3.6239775544592487</c:v>
                </c:pt>
                <c:pt idx="73">
                  <c:v>-3.6166924645946397</c:v>
                </c:pt>
                <c:pt idx="74">
                  <c:v>-3.6143844879546427</c:v>
                </c:pt>
              </c:numCache>
            </c:numRef>
          </c:val>
        </c:ser>
        <c:ser>
          <c:idx val="15"/>
          <c:order val="14"/>
          <c:tx>
            <c:strRef>
              <c:f>[1]Montée!$AF$8</c:f>
              <c:strCache>
                <c:ptCount val="1"/>
                <c:pt idx="0">
                  <c:v>0,75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[1]Montée!$AF$9:$AF$83</c:f>
              <c:numCache>
                <c:formatCode>General</c:formatCode>
                <c:ptCount val="75"/>
                <c:pt idx="0">
                  <c:v>-50.001917237355002</c:v>
                </c:pt>
                <c:pt idx="1">
                  <c:v>-48.278675461165385</c:v>
                </c:pt>
                <c:pt idx="2">
                  <c:v>-46.605149615919181</c:v>
                </c:pt>
                <c:pt idx="3">
                  <c:v>-44.980213417888983</c:v>
                </c:pt>
                <c:pt idx="4">
                  <c:v>-43.40275980322776</c:v>
                </c:pt>
                <c:pt idx="5">
                  <c:v>-41.871700733639734</c:v>
                </c:pt>
                <c:pt idx="6">
                  <c:v>-40.385967003586991</c:v>
                </c:pt>
                <c:pt idx="7">
                  <c:v>-38.944508049070777</c:v>
                </c:pt>
                <c:pt idx="8">
                  <c:v>-37.546291758031302</c:v>
                </c:pt>
                <c:pt idx="9">
                  <c:v>-36.190304282410821</c:v>
                </c:pt>
                <c:pt idx="10">
                  <c:v>-34.875549851929691</c:v>
                </c:pt>
                <c:pt idx="11">
                  <c:v>-33.601050589626844</c:v>
                </c:pt>
                <c:pt idx="12">
                  <c:v>-32.365846329220766</c:v>
                </c:pt>
                <c:pt idx="13">
                  <c:v>-31.168994434350875</c:v>
                </c:pt>
                <c:pt idx="14">
                  <c:v>-30.009569619762637</c:v>
                </c:pt>
                <c:pt idx="15">
                  <c:v>-28.886663774505379</c:v>
                </c:pt>
                <c:pt idx="16">
                  <c:v>-27.79938578721589</c:v>
                </c:pt>
                <c:pt idx="17">
                  <c:v>-26.746861373566471</c:v>
                </c:pt>
                <c:pt idx="18">
                  <c:v>-25.728232905961786</c:v>
                </c:pt>
                <c:pt idx="19">
                  <c:v>-24.742659245575222</c:v>
                </c:pt>
                <c:pt idx="20">
                  <c:v>-23.789315576821618</c:v>
                </c:pt>
                <c:pt idx="21">
                  <c:v>-22.867393244371463</c:v>
                </c:pt>
                <c:pt idx="22">
                  <c:v>-21.976099592818304</c:v>
                </c:pt>
                <c:pt idx="23">
                  <c:v>-21.114657809120903</c:v>
                </c:pt>
                <c:pt idx="24">
                  <c:v>-20.282306767949294</c:v>
                </c:pt>
                <c:pt idx="25">
                  <c:v>-19.478300880076016</c:v>
                </c:pt>
                <c:pt idx="26">
                  <c:v>-18.701909943962448</c:v>
                </c:pt>
                <c:pt idx="27">
                  <c:v>-17.95241900070361</c:v>
                </c:pt>
                <c:pt idx="28">
                  <c:v>-17.229128192506778</c:v>
                </c:pt>
                <c:pt idx="29">
                  <c:v>-16.531352624893309</c:v>
                </c:pt>
                <c:pt idx="30">
                  <c:v>-15.858422232828527</c:v>
                </c:pt>
                <c:pt idx="31">
                  <c:v>-15.209681651000562</c:v>
                </c:pt>
                <c:pt idx="32">
                  <c:v>-14.584490088487307</c:v>
                </c:pt>
                <c:pt idx="33">
                  <c:v>-13.982221208069983</c:v>
                </c:pt>
                <c:pt idx="34">
                  <c:v>-13.402263010473332</c:v>
                </c:pt>
                <c:pt idx="35">
                  <c:v>-12.844017723835325</c:v>
                </c:pt>
                <c:pt idx="36">
                  <c:v>-12.306901698735302</c:v>
                </c:pt>
                <c:pt idx="37">
                  <c:v>-11.790345309136224</c:v>
                </c:pt>
                <c:pt idx="38">
                  <c:v>-11.293792859627935</c:v>
                </c:pt>
                <c:pt idx="39">
                  <c:v>-10.816702499390688</c:v>
                </c:pt>
                <c:pt idx="40">
                  <c:v>-10.358546143334836</c:v>
                </c:pt>
                <c:pt idx="41">
                  <c:v>-9.9188094009121048</c:v>
                </c:pt>
                <c:pt idx="42">
                  <c:v>-9.4969915131371003</c:v>
                </c:pt>
                <c:pt idx="43">
                  <c:v>-9.0926052984056476</c:v>
                </c:pt>
                <c:pt idx="44">
                  <c:v>-8.705175757740836</c:v>
                </c:pt>
                <c:pt idx="45">
                  <c:v>-8.4342024876861839</c:v>
                </c:pt>
                <c:pt idx="46">
                  <c:v>-8.1741510893982774</c:v>
                </c:pt>
                <c:pt idx="47">
                  <c:v>-7.9247078202320518</c:v>
                </c:pt>
                <c:pt idx="48">
                  <c:v>-7.6855716634374893</c:v>
                </c:pt>
                <c:pt idx="49">
                  <c:v>-7.4564540159679877</c:v>
                </c:pt>
                <c:pt idx="50">
                  <c:v>-7.2370783891067072</c:v>
                </c:pt>
                <c:pt idx="51">
                  <c:v>-7.027180121713732</c:v>
                </c:pt>
                <c:pt idx="52">
                  <c:v>-6.8265061059053815</c:v>
                </c:pt>
                <c:pt idx="53">
                  <c:v>-6.6348145249854973</c:v>
                </c:pt>
                <c:pt idx="54">
                  <c:v>-6.4518746034575036</c:v>
                </c:pt>
                <c:pt idx="55">
                  <c:v>-6.2774663689548138</c:v>
                </c:pt>
                <c:pt idx="56">
                  <c:v>-6.1113804259363729</c:v>
                </c:pt>
                <c:pt idx="57">
                  <c:v>-5.9534177410033688</c:v>
                </c:pt>
                <c:pt idx="58">
                  <c:v>-5.803389439702463</c:v>
                </c:pt>
                <c:pt idx="59">
                  <c:v>-5.6611166146905916</c:v>
                </c:pt>
                <c:pt idx="60">
                  <c:v>-5.5264301451459348</c:v>
                </c:pt>
                <c:pt idx="61">
                  <c:v>-5.3991705273196526</c:v>
                </c:pt>
                <c:pt idx="62">
                  <c:v>-5.2791877161328458</c:v>
                </c:pt>
                <c:pt idx="63">
                  <c:v>-5.1663409777334817</c:v>
                </c:pt>
                <c:pt idx="64">
                  <c:v>-5.0604987529382779</c:v>
                </c:pt>
                <c:pt idx="65">
                  <c:v>-4.9615385314949823</c:v>
                </c:pt>
                <c:pt idx="66">
                  <c:v>-4.869346737111222</c:v>
                </c:pt>
                <c:pt idx="67">
                  <c:v>-4.7838186232068134</c:v>
                </c:pt>
                <c:pt idx="68">
                  <c:v>-4.7048581793574558</c:v>
                </c:pt>
                <c:pt idx="69">
                  <c:v>-4.6323780484088921</c:v>
                </c:pt>
                <c:pt idx="70">
                  <c:v>-4.5662994542520146</c:v>
                </c:pt>
                <c:pt idx="71">
                  <c:v>-4.5065521402608963</c:v>
                </c:pt>
                <c:pt idx="72">
                  <c:v>-4.4530743184075581</c:v>
                </c:pt>
                <c:pt idx="73">
                  <c:v>-4.4058126290792394</c:v>
                </c:pt>
                <c:pt idx="74">
                  <c:v>-4.3647221116361763</c:v>
                </c:pt>
              </c:numCache>
            </c:numRef>
          </c:val>
        </c:ser>
        <c:ser>
          <c:idx val="16"/>
          <c:order val="15"/>
          <c:tx>
            <c:strRef>
              <c:f>[1]Montée!$AG$8</c:f>
              <c:strCache>
                <c:ptCount val="1"/>
                <c:pt idx="0">
                  <c:v>0,8</c:v>
                </c:pt>
              </c:strCache>
            </c:strRef>
          </c:tx>
          <c:cat>
            <c:numRef>
              <c:f>[1]Montée!$P$9:$P$83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cat>
          <c:val>
            <c:numRef>
              <c:f>[1]Montée!$AG$9:$AG$83</c:f>
              <c:numCache>
                <c:formatCode>General</c:formatCode>
                <c:ptCount val="75"/>
                <c:pt idx="0">
                  <c:v>-66.887104762387921</c:v>
                </c:pt>
                <c:pt idx="1">
                  <c:v>-64.618008200581869</c:v>
                </c:pt>
                <c:pt idx="2">
                  <c:v>-62.413259829299427</c:v>
                </c:pt>
                <c:pt idx="3">
                  <c:v>-60.27142140635415</c:v>
                </c:pt>
                <c:pt idx="4">
                  <c:v>-58.191078782044585</c:v>
                </c:pt>
                <c:pt idx="5">
                  <c:v>-56.170841655487777</c:v>
                </c:pt>
                <c:pt idx="6">
                  <c:v>-54.209343332652018</c:v>
                </c:pt>
                <c:pt idx="7">
                  <c:v>-52.305240486125243</c:v>
                </c:pt>
                <c:pt idx="8">
                  <c:v>-50.457212916661852</c:v>
                </c:pt>
                <c:pt idx="9">
                  <c:v>-48.663963316548987</c:v>
                </c:pt>
                <c:pt idx="10">
                  <c:v>-46.924217034840723</c:v>
                </c:pt>
                <c:pt idx="11">
                  <c:v>-45.236721844508203</c:v>
                </c:pt>
                <c:pt idx="12">
                  <c:v>-43.600247711559057</c:v>
                </c:pt>
                <c:pt idx="13">
                  <c:v>-42.013586566183399</c:v>
                </c:pt>
                <c:pt idx="14">
                  <c:v>-40.47555207598483</c:v>
                </c:pt>
                <c:pt idx="15">
                  <c:v>-38.98497942136391</c:v>
                </c:pt>
                <c:pt idx="16">
                  <c:v>-37.540725073120825</c:v>
                </c:pt>
                <c:pt idx="17">
                  <c:v>-36.141666572353735</c:v>
                </c:pt>
                <c:pt idx="18">
                  <c:v>-34.786702312730689</c:v>
                </c:pt>
                <c:pt idx="19">
                  <c:v>-33.474751325222101</c:v>
                </c:pt>
                <c:pt idx="20">
                  <c:v>-32.204753065384153</c:v>
                </c:pt>
                <c:pt idx="21">
                  <c:v>-30.975667203293124</c:v>
                </c:pt>
                <c:pt idx="22">
                  <c:v>-29.786473416235374</c:v>
                </c:pt>
                <c:pt idx="23">
                  <c:v>-28.636171184267791</c:v>
                </c:pt>
                <c:pt idx="24">
                  <c:v>-27.523779588770491</c:v>
                </c:pt>
                <c:pt idx="25">
                  <c:v>-26.448337114124456</c:v>
                </c:pt>
                <c:pt idx="26">
                  <c:v>-25.408901452655943</c:v>
                </c:pt>
                <c:pt idx="27">
                  <c:v>-24.404549313000597</c:v>
                </c:pt>
                <c:pt idx="28">
                  <c:v>-23.434376232053086</c:v>
                </c:pt>
                <c:pt idx="29">
                  <c:v>-22.497496390679853</c:v>
                </c:pt>
                <c:pt idx="30">
                  <c:v>-21.593042433388081</c:v>
                </c:pt>
                <c:pt idx="31">
                  <c:v>-20.720165292158331</c:v>
                </c:pt>
                <c:pt idx="32">
                  <c:v>-19.878034014665825</c:v>
                </c:pt>
                <c:pt idx="33">
                  <c:v>-19.065835597133397</c:v>
                </c:pt>
                <c:pt idx="34">
                  <c:v>-18.28277482207918</c:v>
                </c:pt>
                <c:pt idx="35">
                  <c:v>-17.52807410124371</c:v>
                </c:pt>
                <c:pt idx="36">
                  <c:v>-16.800973324005504</c:v>
                </c:pt>
                <c:pt idx="37">
                  <c:v>-16.100729711619088</c:v>
                </c:pt>
                <c:pt idx="38">
                  <c:v>-15.426617677639106</c:v>
                </c:pt>
                <c:pt idx="39">
                  <c:v>-14.777928694923931</c:v>
                </c:pt>
                <c:pt idx="40">
                  <c:v>-14.153971169647178</c:v>
                </c:pt>
                <c:pt idx="41">
                  <c:v>-13.554070322781984</c:v>
                </c:pt>
                <c:pt idx="42">
                  <c:v>-12.977568079563985</c:v>
                </c:pt>
                <c:pt idx="43">
                  <c:v>-12.423822967483398</c:v>
                </c:pt>
                <c:pt idx="44">
                  <c:v>-11.892208055420975</c:v>
                </c:pt>
                <c:pt idx="45">
                  <c:v>-11.497008909523975</c:v>
                </c:pt>
                <c:pt idx="46">
                  <c:v>-11.117379175701515</c:v>
                </c:pt>
                <c:pt idx="47">
                  <c:v>-10.752823903830786</c:v>
                </c:pt>
                <c:pt idx="48">
                  <c:v>-10.40286762120687</c:v>
                </c:pt>
                <c:pt idx="49">
                  <c:v>-10.067053757051038</c:v>
                </c:pt>
                <c:pt idx="50">
                  <c:v>-9.7449440895995636</c:v>
                </c:pt>
                <c:pt idx="51">
                  <c:v>-9.4361182151949681</c:v>
                </c:pt>
                <c:pt idx="52">
                  <c:v>-9.1401730388244111</c:v>
                </c:pt>
                <c:pt idx="53">
                  <c:v>-8.8567222855717329</c:v>
                </c:pt>
                <c:pt idx="54">
                  <c:v>-8.5853960324717011</c:v>
                </c:pt>
                <c:pt idx="55">
                  <c:v>-8.3258402602761805</c:v>
                </c:pt>
                <c:pt idx="56">
                  <c:v>-8.077716424663187</c:v>
                </c:pt>
                <c:pt idx="57">
                  <c:v>-7.8407010464404276</c:v>
                </c:pt>
                <c:pt idx="58">
                  <c:v>-7.6144853203153744</c:v>
                </c:pt>
                <c:pt idx="59">
                  <c:v>-7.3987747418241518</c:v>
                </c:pt>
                <c:pt idx="60">
                  <c:v>-7.1932887520313225</c:v>
                </c:pt>
                <c:pt idx="61">
                  <c:v>-6.9977603996322797</c:v>
                </c:pt>
                <c:pt idx="62">
                  <c:v>-6.8119360201093757</c:v>
                </c:pt>
                <c:pt idx="63">
                  <c:v>-6.6355749316120178</c:v>
                </c:pt>
                <c:pt idx="64">
                  <c:v>-6.4684491472499799</c:v>
                </c:pt>
                <c:pt idx="65">
                  <c:v>-6.310343103507833</c:v>
                </c:pt>
                <c:pt idx="66">
                  <c:v>-6.1610534045070331</c:v>
                </c:pt>
                <c:pt idx="67">
                  <c:v>-6.020388581860673</c:v>
                </c:pt>
                <c:pt idx="68">
                  <c:v>-5.8881688698840549</c:v>
                </c:pt>
                <c:pt idx="69">
                  <c:v>-5.7642259959424909</c:v>
                </c:pt>
                <c:pt idx="70">
                  <c:v>-5.6484029857358085</c:v>
                </c:pt>
                <c:pt idx="71">
                  <c:v>-5.540553983336908</c:v>
                </c:pt>
                <c:pt idx="72">
                  <c:v>-5.4405440858197025</c:v>
                </c:pt>
                <c:pt idx="73">
                  <c:v>-5.3482491923295692</c:v>
                </c:pt>
                <c:pt idx="74">
                  <c:v>-5.2635558674672938</c:v>
                </c:pt>
              </c:numCache>
            </c:numRef>
          </c:val>
        </c:ser>
        <c:bandFmts>
          <c:bandFmt>
            <c:idx val="0"/>
            <c:spPr>
              <a:solidFill>
                <a:schemeClr val="accent2">
                  <a:lumMod val="75000"/>
                </a:schemeClr>
              </a:solidFill>
            </c:spPr>
          </c:bandFmt>
          <c:bandFmt>
            <c:idx val="1"/>
            <c:spPr>
              <a:solidFill>
                <a:schemeClr val="accent2">
                  <a:lumMod val="75000"/>
                </a:schemeClr>
              </a:solidFill>
            </c:spPr>
          </c:bandFmt>
          <c:bandFmt>
            <c:idx val="2"/>
            <c:spPr>
              <a:solidFill>
                <a:schemeClr val="accent2">
                  <a:lumMod val="75000"/>
                </a:schemeClr>
              </a:solidFill>
            </c:spPr>
          </c:bandFmt>
          <c:bandFmt>
            <c:idx val="3"/>
            <c:spPr>
              <a:solidFill>
                <a:schemeClr val="accent2">
                  <a:lumMod val="75000"/>
                </a:schemeClr>
              </a:solidFill>
            </c:spPr>
          </c:bandFmt>
          <c:bandFmt>
            <c:idx val="4"/>
            <c:spPr>
              <a:solidFill>
                <a:schemeClr val="accent3">
                  <a:lumMod val="75000"/>
                </a:schemeClr>
              </a:solidFill>
            </c:spPr>
          </c:bandFmt>
        </c:bandFmts>
        <c:axId val="75394048"/>
        <c:axId val="75408512"/>
        <c:axId val="75333120"/>
      </c:surface3DChart>
      <c:catAx>
        <c:axId val="75394048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de-DE"/>
                  <a:t>altitude [m]</a:t>
                </a:r>
              </a:p>
            </c:rich>
          </c:tx>
          <c:layout>
            <c:manualLayout>
              <c:xMode val="edge"/>
              <c:yMode val="edge"/>
              <c:x val="0.57979689575840054"/>
              <c:y val="6.8029672843435973E-2"/>
            </c:manualLayout>
          </c:layout>
        </c:title>
        <c:numFmt formatCode="General" sourceLinked="0"/>
        <c:tickLblPos val="low"/>
        <c:txPr>
          <a:bodyPr rot="0" vert="horz"/>
          <a:lstStyle/>
          <a:p>
            <a:pPr>
              <a:defRPr/>
            </a:pPr>
            <a:endParaRPr lang="de-DE"/>
          </a:p>
        </c:txPr>
        <c:crossAx val="75408512"/>
        <c:crosses val="autoZero"/>
        <c:auto val="1"/>
        <c:lblAlgn val="ctr"/>
        <c:lblOffset val="200"/>
        <c:tickLblSkip val="5"/>
        <c:tickMarkSkip val="1"/>
        <c:noMultiLvlLbl val="1"/>
      </c:catAx>
      <c:valAx>
        <c:axId val="75408512"/>
        <c:scaling>
          <c:orientation val="minMax"/>
        </c:scaling>
        <c:delete val="1"/>
        <c:axPos val="l"/>
        <c:numFmt formatCode="General" sourceLinked="1"/>
        <c:tickLblPos val="none"/>
        <c:crossAx val="75394048"/>
        <c:crosses val="autoZero"/>
        <c:crossBetween val="between"/>
      </c:valAx>
      <c:serAx>
        <c:axId val="75333120"/>
        <c:scaling>
          <c:orientation val="maxMin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de-DE"/>
                  <a:t>Mach</a:t>
                </a:r>
              </a:p>
            </c:rich>
          </c:tx>
          <c:layout>
            <c:manualLayout>
              <c:xMode val="edge"/>
              <c:yMode val="edge"/>
              <c:x val="0.22476238618320857"/>
              <c:y val="2.7529254443755435E-2"/>
            </c:manualLayout>
          </c:layout>
        </c:title>
        <c:numFmt formatCode="#,##0.00" sourceLinked="0"/>
        <c:tickLblPos val="high"/>
        <c:txPr>
          <a:bodyPr rot="0" vert="horz"/>
          <a:lstStyle/>
          <a:p>
            <a:pPr>
              <a:defRPr/>
            </a:pPr>
            <a:endParaRPr lang="de-DE"/>
          </a:p>
        </c:txPr>
        <c:crossAx val="75408512"/>
        <c:crosses val="autoZero"/>
        <c:tickLblSkip val="5"/>
        <c:tickMarkSkip val="1"/>
      </c:serAx>
    </c:plotArea>
    <c:plotVisOnly val="1"/>
    <c:dispBlanksAs val="gap"/>
  </c:chart>
  <c:spPr>
    <a:effectLst/>
  </c:spPr>
  <c:printSettings>
    <c:headerFooter alignWithMargins="0"/>
    <c:pageMargins b="0.98425196899999956" l="0.78740157499999996" r="0.78740157499999996" t="0.98425196899999956" header="0.49212598450000061" footer="0.4921259845000006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Montée!$E$9:$E$81</c:f>
              <c:numCache>
                <c:formatCode>General</c:formatCode>
                <c:ptCount val="73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</c:numCache>
            </c:numRef>
          </c:xVal>
          <c:yVal>
            <c:numRef>
              <c:f>Montée!$N$9:$N$81</c:f>
              <c:numCache>
                <c:formatCode>General</c:formatCode>
                <c:ptCount val="73"/>
                <c:pt idx="0">
                  <c:v>17205.193877369755</c:v>
                </c:pt>
                <c:pt idx="1">
                  <c:v>17176.626276827497</c:v>
                </c:pt>
                <c:pt idx="2">
                  <c:v>17148.000557383806</c:v>
                </c:pt>
                <c:pt idx="3">
                  <c:v>17119.314433602736</c:v>
                </c:pt>
                <c:pt idx="4">
                  <c:v>17090.565474181938</c:v>
                </c:pt>
                <c:pt idx="5">
                  <c:v>17061.836618374437</c:v>
                </c:pt>
                <c:pt idx="6">
                  <c:v>17033.055985859952</c:v>
                </c:pt>
                <c:pt idx="7">
                  <c:v>17004.220952881798</c:v>
                </c:pt>
                <c:pt idx="8">
                  <c:v>16975.328724432933</c:v>
                </c:pt>
                <c:pt idx="9">
                  <c:v>16946.376320220588</c:v>
                </c:pt>
                <c:pt idx="10">
                  <c:v>16917.360559275279</c:v>
                </c:pt>
                <c:pt idx="11">
                  <c:v>16888.278043050737</c:v>
                </c:pt>
                <c:pt idx="12">
                  <c:v>16859.125136840856</c:v>
                </c:pt>
                <c:pt idx="13">
                  <c:v>16829.897949316397</c:v>
                </c:pt>
                <c:pt idx="14">
                  <c:v>16800.592309956926</c:v>
                </c:pt>
                <c:pt idx="15">
                  <c:v>16771.20374412198</c:v>
                </c:pt>
                <c:pt idx="16">
                  <c:v>16741.72744546879</c:v>
                </c:pt>
                <c:pt idx="17">
                  <c:v>16712.158245381037</c:v>
                </c:pt>
                <c:pt idx="18">
                  <c:v>16682.49057902304</c:v>
                </c:pt>
                <c:pt idx="19">
                  <c:v>16652.718447574913</c:v>
                </c:pt>
                <c:pt idx="20">
                  <c:v>16622.835376134801</c:v>
                </c:pt>
                <c:pt idx="21">
                  <c:v>16592.834366692394</c:v>
                </c:pt>
                <c:pt idx="22">
                  <c:v>16562.707845480461</c:v>
                </c:pt>
                <c:pt idx="23">
                  <c:v>16532.447603895267</c:v>
                </c:pt>
                <c:pt idx="24">
                  <c:v>16502.044732037968</c:v>
                </c:pt>
                <c:pt idx="25">
                  <c:v>16471.489543762607</c:v>
                </c:pt>
                <c:pt idx="26">
                  <c:v>16440.771491915351</c:v>
                </c:pt>
                <c:pt idx="27">
                  <c:v>16409.879072206284</c:v>
                </c:pt>
                <c:pt idx="28">
                  <c:v>16378.799713858793</c:v>
                </c:pt>
                <c:pt idx="29">
                  <c:v>16347.519654819131</c:v>
                </c:pt>
                <c:pt idx="30">
                  <c:v>16316.023798863098</c:v>
                </c:pt>
                <c:pt idx="31">
                  <c:v>16284.295551385723</c:v>
                </c:pt>
                <c:pt idx="32">
                  <c:v>16252.31662997459</c:v>
                </c:pt>
                <c:pt idx="33">
                  <c:v>16220.066845010146</c:v>
                </c:pt>
                <c:pt idx="34">
                  <c:v>16187.745248067511</c:v>
                </c:pt>
                <c:pt idx="35">
                  <c:v>16155.153374939229</c:v>
                </c:pt>
                <c:pt idx="36">
                  <c:v>16122.267380861083</c:v>
                </c:pt>
                <c:pt idx="37">
                  <c:v>16089.060748664286</c:v>
                </c:pt>
                <c:pt idx="38">
                  <c:v>16055.503899127358</c:v>
                </c:pt>
                <c:pt idx="39">
                  <c:v>16021.563729150661</c:v>
                </c:pt>
                <c:pt idx="40">
                  <c:v>15987.203061166336</c:v>
                </c:pt>
                <c:pt idx="41">
                  <c:v>15952.379982581835</c:v>
                </c:pt>
                <c:pt idx="42">
                  <c:v>15917.145716451188</c:v>
                </c:pt>
                <c:pt idx="43">
                  <c:v>15881.501432597537</c:v>
                </c:pt>
                <c:pt idx="44">
                  <c:v>15845.379278004017</c:v>
                </c:pt>
                <c:pt idx="45">
                  <c:v>15808.701753909183</c:v>
                </c:pt>
                <c:pt idx="46">
                  <c:v>15771.194712990144</c:v>
                </c:pt>
                <c:pt idx="47">
                  <c:v>15732.701118136814</c:v>
                </c:pt>
                <c:pt idx="48">
                  <c:v>15693.033401713699</c:v>
                </c:pt>
                <c:pt idx="49">
                  <c:v>15651.964568914822</c:v>
                </c:pt>
                <c:pt idx="50">
                  <c:v>15609.215856808238</c:v>
                </c:pt>
                <c:pt idx="51">
                  <c:v>15563.920897670501</c:v>
                </c:pt>
                <c:pt idx="52">
                  <c:v>15516.131195130212</c:v>
                </c:pt>
                <c:pt idx="53">
                  <c:v>15465.266078972634</c:v>
                </c:pt>
                <c:pt idx="54">
                  <c:v>15410.551478718233</c:v>
                </c:pt>
                <c:pt idx="55">
                  <c:v>15350.923888179759</c:v>
                </c:pt>
                <c:pt idx="56">
                  <c:v>15284.867723081918</c:v>
                </c:pt>
                <c:pt idx="57">
                  <c:v>15210.123195492381</c:v>
                </c:pt>
                <c:pt idx="58">
                  <c:v>15123.121976225826</c:v>
                </c:pt>
                <c:pt idx="59">
                  <c:v>15017.791874558745</c:v>
                </c:pt>
                <c:pt idx="60">
                  <c:v>14882.707047347754</c:v>
                </c:pt>
                <c:pt idx="61">
                  <c:v>14693.187260897283</c:v>
                </c:pt>
                <c:pt idx="62">
                  <c:v>14385.651163258945</c:v>
                </c:pt>
                <c:pt idx="63">
                  <c:v>13793.688076449713</c:v>
                </c:pt>
                <c:pt idx="64">
                  <c:v>13212.115583647825</c:v>
                </c:pt>
                <c:pt idx="65">
                  <c:v>12668.089205620197</c:v>
                </c:pt>
                <c:pt idx="66">
                  <c:v>12134.365520413556</c:v>
                </c:pt>
                <c:pt idx="67">
                  <c:v>11634.287392640934</c:v>
                </c:pt>
                <c:pt idx="68">
                  <c:v>11144.566623401555</c:v>
                </c:pt>
                <c:pt idx="69">
                  <c:v>10684.812099015551</c:v>
                </c:pt>
                <c:pt idx="70">
                  <c:v>10230.537189996252</c:v>
                </c:pt>
                <c:pt idx="71">
                  <c:v>9812.3273125385276</c:v>
                </c:pt>
                <c:pt idx="72">
                  <c:v>9396.5189157107416</c:v>
                </c:pt>
              </c:numCache>
            </c:numRef>
          </c:yVal>
          <c:smooth val="1"/>
        </c:ser>
        <c:axId val="75432320"/>
        <c:axId val="75433856"/>
      </c:scatterChart>
      <c:valAx>
        <c:axId val="75432320"/>
        <c:scaling>
          <c:orientation val="minMax"/>
        </c:scaling>
        <c:axPos val="b"/>
        <c:numFmt formatCode="General" sourceLinked="1"/>
        <c:tickLblPos val="nextTo"/>
        <c:crossAx val="75433856"/>
        <c:crosses val="autoZero"/>
        <c:crossBetween val="midCat"/>
      </c:valAx>
      <c:valAx>
        <c:axId val="75433856"/>
        <c:scaling>
          <c:orientation val="minMax"/>
        </c:scaling>
        <c:axPos val="l"/>
        <c:majorGridlines/>
        <c:numFmt formatCode="General" sourceLinked="1"/>
        <c:tickLblPos val="nextTo"/>
        <c:crossAx val="754323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v>Trainée</c:v>
          </c:tx>
          <c:marker>
            <c:symbol val="none"/>
          </c:marker>
          <c:xVal>
            <c:numRef>
              <c:f>Montée!$E$9:$E$83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xVal>
          <c:yVal>
            <c:numRef>
              <c:f>Montée!$Q$9:$Q$83</c:f>
              <c:numCache>
                <c:formatCode>General</c:formatCode>
                <c:ptCount val="75"/>
                <c:pt idx="0">
                  <c:v>9109.9712376707412</c:v>
                </c:pt>
                <c:pt idx="1">
                  <c:v>8892.9358135495295</c:v>
                </c:pt>
                <c:pt idx="2">
                  <c:v>8656.3532892129624</c:v>
                </c:pt>
                <c:pt idx="3">
                  <c:v>8425.311421946164</c:v>
                </c:pt>
                <c:pt idx="4">
                  <c:v>9565.7985194269022</c:v>
                </c:pt>
                <c:pt idx="5">
                  <c:v>9303.3800855482477</c:v>
                </c:pt>
                <c:pt idx="6">
                  <c:v>9047.3234723319893</c:v>
                </c:pt>
                <c:pt idx="7">
                  <c:v>8822.5644836818246</c:v>
                </c:pt>
                <c:pt idx="8">
                  <c:v>8578.7885518296116</c:v>
                </c:pt>
                <c:pt idx="9">
                  <c:v>8340.8998003192009</c:v>
                </c:pt>
                <c:pt idx="10">
                  <c:v>8134.5252060889688</c:v>
                </c:pt>
                <c:pt idx="11">
                  <c:v>7907.9033118717407</c:v>
                </c:pt>
                <c:pt idx="12">
                  <c:v>7712.9782059194295</c:v>
                </c:pt>
                <c:pt idx="13">
                  <c:v>7496.9803524369099</c:v>
                </c:pt>
                <c:pt idx="14">
                  <c:v>7312.7064278172093</c:v>
                </c:pt>
                <c:pt idx="15">
                  <c:v>7133.6752326241776</c:v>
                </c:pt>
                <c:pt idx="16">
                  <c:v>6932.3757523119684</c:v>
                </c:pt>
                <c:pt idx="17">
                  <c:v>6762.8649899545917</c:v>
                </c:pt>
                <c:pt idx="18">
                  <c:v>6597.9923034050607</c:v>
                </c:pt>
                <c:pt idx="19">
                  <c:v>6437.5564776132505</c:v>
                </c:pt>
                <c:pt idx="20">
                  <c:v>6281.3659304662269</c:v>
                </c:pt>
                <c:pt idx="21">
                  <c:v>6129.2383678561901</c:v>
                </c:pt>
                <c:pt idx="22">
                  <c:v>6009.2684857991007</c:v>
                </c:pt>
                <c:pt idx="23">
                  <c:v>5864.7647341111779</c:v>
                </c:pt>
                <c:pt idx="24">
                  <c:v>5723.7911338838221</c:v>
                </c:pt>
                <c:pt idx="25">
                  <c:v>5614.8290111244578</c:v>
                </c:pt>
                <c:pt idx="26">
                  <c:v>5480.3695746044332</c:v>
                </c:pt>
                <c:pt idx="27">
                  <c:v>5377.7733071157209</c:v>
                </c:pt>
                <c:pt idx="28">
                  <c:v>5278.1553439554737</c:v>
                </c:pt>
                <c:pt idx="29">
                  <c:v>5181.2749481351912</c:v>
                </c:pt>
                <c:pt idx="30">
                  <c:v>5086.9071732487419</c:v>
                </c:pt>
                <c:pt idx="31">
                  <c:v>4994.8422128191296</c:v>
                </c:pt>
                <c:pt idx="32">
                  <c:v>4904.8847658797276</c:v>
                </c:pt>
                <c:pt idx="33">
                  <c:v>5208.0577165433169</c:v>
                </c:pt>
                <c:pt idx="34">
                  <c:v>5106.8569838276289</c:v>
                </c:pt>
                <c:pt idx="35">
                  <c:v>5008.2201889462249</c:v>
                </c:pt>
                <c:pt idx="36">
                  <c:v>4911.93883856906</c:v>
                </c:pt>
                <c:pt idx="37">
                  <c:v>4847.1085933489585</c:v>
                </c:pt>
                <c:pt idx="38">
                  <c:v>4754.8711977281619</c:v>
                </c:pt>
                <c:pt idx="39">
                  <c:v>4693.772747874882</c:v>
                </c:pt>
                <c:pt idx="40">
                  <c:v>4634.2228720404628</c:v>
                </c:pt>
                <c:pt idx="41">
                  <c:v>4620.1512368110343</c:v>
                </c:pt>
                <c:pt idx="42">
                  <c:v>4609.5846414627986</c:v>
                </c:pt>
                <c:pt idx="43">
                  <c:v>4598.9009600173458</c:v>
                </c:pt>
                <c:pt idx="44">
                  <c:v>4588.0805730933916</c:v>
                </c:pt>
                <c:pt idx="45">
                  <c:v>4577.1010747364371</c:v>
                </c:pt>
                <c:pt idx="46">
                  <c:v>4565.8831347480836</c:v>
                </c:pt>
                <c:pt idx="47">
                  <c:v>4554.3813494983106</c:v>
                </c:pt>
                <c:pt idx="48">
                  <c:v>4542.5414921834372</c:v>
                </c:pt>
                <c:pt idx="49">
                  <c:v>4530.2979412496225</c:v>
                </c:pt>
                <c:pt idx="50">
                  <c:v>4517.5701131865189</c:v>
                </c:pt>
                <c:pt idx="51">
                  <c:v>4504.1074004141947</c:v>
                </c:pt>
                <c:pt idx="52">
                  <c:v>4489.9248797810387</c:v>
                </c:pt>
                <c:pt idx="53">
                  <c:v>4474.8547047328357</c:v>
                </c:pt>
                <c:pt idx="54">
                  <c:v>4458.6731257006495</c:v>
                </c:pt>
                <c:pt idx="55">
                  <c:v>4441.0727286745105</c:v>
                </c:pt>
                <c:pt idx="56">
                  <c:v>4421.6154187587235</c:v>
                </c:pt>
                <c:pt idx="57">
                  <c:v>4399.6479718373766</c:v>
                </c:pt>
                <c:pt idx="58">
                  <c:v>4374.138892714378</c:v>
                </c:pt>
                <c:pt idx="59">
                  <c:v>4343.3328620069424</c:v>
                </c:pt>
                <c:pt idx="60">
                  <c:v>4303.9268897487127</c:v>
                </c:pt>
                <c:pt idx="61">
                  <c:v>4248.7862891448904</c:v>
                </c:pt>
                <c:pt idx="62">
                  <c:v>4159.5305720479537</c:v>
                </c:pt>
                <c:pt idx="63">
                  <c:v>3988.0548275111219</c:v>
                </c:pt>
                <c:pt idx="64">
                  <c:v>3819.6098879473889</c:v>
                </c:pt>
                <c:pt idx="65">
                  <c:v>3662.0450605803994</c:v>
                </c:pt>
                <c:pt idx="66">
                  <c:v>3507.482974995618</c:v>
                </c:pt>
                <c:pt idx="67">
                  <c:v>3362.6697375078174</c:v>
                </c:pt>
                <c:pt idx="68">
                  <c:v>3220.8725718595592</c:v>
                </c:pt>
                <c:pt idx="69">
                  <c:v>3087.7574565465147</c:v>
                </c:pt>
                <c:pt idx="70">
                  <c:v>2956.2466201647276</c:v>
                </c:pt>
                <c:pt idx="71">
                  <c:v>2835.1770465516488</c:v>
                </c:pt>
                <c:pt idx="72">
                  <c:v>2714.8202856470234</c:v>
                </c:pt>
                <c:pt idx="73">
                  <c:v>2603.2672159342751</c:v>
                </c:pt>
                <c:pt idx="74">
                  <c:v>2493.0929744963219</c:v>
                </c:pt>
              </c:numCache>
            </c:numRef>
          </c:yVal>
          <c:smooth val="1"/>
        </c:ser>
        <c:ser>
          <c:idx val="1"/>
          <c:order val="1"/>
          <c:tx>
            <c:v>Poussée disponible</c:v>
          </c:tx>
          <c:marker>
            <c:symbol val="none"/>
          </c:marker>
          <c:xVal>
            <c:numRef>
              <c:f>Montée!$E$9:$E$83</c:f>
              <c:numCache>
                <c:formatCode>General</c:formatCode>
                <c:ptCount val="75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  <c:pt idx="21">
                  <c:v>5250</c:v>
                </c:pt>
                <c:pt idx="22">
                  <c:v>5500</c:v>
                </c:pt>
                <c:pt idx="23">
                  <c:v>5750</c:v>
                </c:pt>
                <c:pt idx="24">
                  <c:v>6000</c:v>
                </c:pt>
                <c:pt idx="25">
                  <c:v>6250</c:v>
                </c:pt>
                <c:pt idx="26">
                  <c:v>6500</c:v>
                </c:pt>
                <c:pt idx="27">
                  <c:v>6750</c:v>
                </c:pt>
                <c:pt idx="28">
                  <c:v>7000</c:v>
                </c:pt>
                <c:pt idx="29">
                  <c:v>7250</c:v>
                </c:pt>
                <c:pt idx="30">
                  <c:v>7500</c:v>
                </c:pt>
                <c:pt idx="31">
                  <c:v>7750</c:v>
                </c:pt>
                <c:pt idx="32">
                  <c:v>8000</c:v>
                </c:pt>
                <c:pt idx="33">
                  <c:v>8250</c:v>
                </c:pt>
                <c:pt idx="34">
                  <c:v>8500</c:v>
                </c:pt>
                <c:pt idx="35">
                  <c:v>8750</c:v>
                </c:pt>
                <c:pt idx="36">
                  <c:v>9000</c:v>
                </c:pt>
                <c:pt idx="37">
                  <c:v>9250</c:v>
                </c:pt>
                <c:pt idx="38">
                  <c:v>9500</c:v>
                </c:pt>
                <c:pt idx="39">
                  <c:v>9750</c:v>
                </c:pt>
                <c:pt idx="40">
                  <c:v>10000</c:v>
                </c:pt>
                <c:pt idx="41">
                  <c:v>10250</c:v>
                </c:pt>
                <c:pt idx="42">
                  <c:v>10500</c:v>
                </c:pt>
                <c:pt idx="43">
                  <c:v>10750</c:v>
                </c:pt>
                <c:pt idx="44">
                  <c:v>11000</c:v>
                </c:pt>
                <c:pt idx="45">
                  <c:v>11250</c:v>
                </c:pt>
                <c:pt idx="46">
                  <c:v>11500</c:v>
                </c:pt>
                <c:pt idx="47">
                  <c:v>11750</c:v>
                </c:pt>
                <c:pt idx="48">
                  <c:v>12000</c:v>
                </c:pt>
                <c:pt idx="49">
                  <c:v>12250</c:v>
                </c:pt>
                <c:pt idx="50">
                  <c:v>12500</c:v>
                </c:pt>
                <c:pt idx="51">
                  <c:v>12750</c:v>
                </c:pt>
                <c:pt idx="52">
                  <c:v>13000</c:v>
                </c:pt>
                <c:pt idx="53">
                  <c:v>13250</c:v>
                </c:pt>
                <c:pt idx="54">
                  <c:v>13500</c:v>
                </c:pt>
                <c:pt idx="55">
                  <c:v>13750</c:v>
                </c:pt>
                <c:pt idx="56">
                  <c:v>14000</c:v>
                </c:pt>
                <c:pt idx="57">
                  <c:v>14250</c:v>
                </c:pt>
                <c:pt idx="58">
                  <c:v>14500</c:v>
                </c:pt>
                <c:pt idx="59">
                  <c:v>14750</c:v>
                </c:pt>
                <c:pt idx="60">
                  <c:v>15000</c:v>
                </c:pt>
                <c:pt idx="61">
                  <c:v>15250</c:v>
                </c:pt>
                <c:pt idx="62">
                  <c:v>15500</c:v>
                </c:pt>
                <c:pt idx="63">
                  <c:v>15750</c:v>
                </c:pt>
                <c:pt idx="64">
                  <c:v>16000</c:v>
                </c:pt>
                <c:pt idx="65">
                  <c:v>16250</c:v>
                </c:pt>
                <c:pt idx="66">
                  <c:v>16500</c:v>
                </c:pt>
                <c:pt idx="67">
                  <c:v>16750</c:v>
                </c:pt>
                <c:pt idx="68">
                  <c:v>17000</c:v>
                </c:pt>
                <c:pt idx="69">
                  <c:v>17250</c:v>
                </c:pt>
                <c:pt idx="70">
                  <c:v>17500</c:v>
                </c:pt>
                <c:pt idx="71">
                  <c:v>17750</c:v>
                </c:pt>
                <c:pt idx="72">
                  <c:v>18000</c:v>
                </c:pt>
                <c:pt idx="73">
                  <c:v>18250</c:v>
                </c:pt>
                <c:pt idx="74">
                  <c:v>18500</c:v>
                </c:pt>
              </c:numCache>
            </c:numRef>
          </c:xVal>
          <c:yVal>
            <c:numRef>
              <c:f>Montée!$R$9:$R$83</c:f>
              <c:numCache>
                <c:formatCode>General</c:formatCode>
                <c:ptCount val="75"/>
                <c:pt idx="0">
                  <c:v>30278.228340615609</c:v>
                </c:pt>
                <c:pt idx="1">
                  <c:v>29501.291772582848</c:v>
                </c:pt>
                <c:pt idx="2">
                  <c:v>28740.041867699601</c:v>
                </c:pt>
                <c:pt idx="3">
                  <c:v>27994.248675477251</c:v>
                </c:pt>
                <c:pt idx="4">
                  <c:v>27263.684329831602</c:v>
                </c:pt>
                <c:pt idx="5">
                  <c:v>26548.123041983094</c:v>
                </c:pt>
                <c:pt idx="6">
                  <c:v>25847.341093340729</c:v>
                </c:pt>
                <c:pt idx="7">
                  <c:v>25161.116828369195</c:v>
                </c:pt>
                <c:pt idx="8">
                  <c:v>24489.230647439432</c:v>
                </c:pt>
                <c:pt idx="9">
                  <c:v>23831.464999662327</c:v>
                </c:pt>
                <c:pt idx="10">
                  <c:v>23187.604375705268</c:v>
                </c:pt>
                <c:pt idx="11">
                  <c:v>22557.435300591733</c:v>
                </c:pt>
                <c:pt idx="12">
                  <c:v>21940.746326483455</c:v>
                </c:pt>
                <c:pt idx="13">
                  <c:v>21337.328025445364</c:v>
                </c:pt>
                <c:pt idx="14">
                  <c:v>20746.972982192627</c:v>
                </c:pt>
                <c:pt idx="15">
                  <c:v>20169.475786820276</c:v>
                </c:pt>
                <c:pt idx="16">
                  <c:v>19604.633027514832</c:v>
                </c:pt>
                <c:pt idx="17">
                  <c:v>19052.243283247833</c:v>
                </c:pt>
                <c:pt idx="18">
                  <c:v>18512.107116451287</c:v>
                </c:pt>
                <c:pt idx="19">
                  <c:v>17984.027065674774</c:v>
                </c:pt>
                <c:pt idx="20">
                  <c:v>17467.807638223949</c:v>
                </c:pt>
                <c:pt idx="21">
                  <c:v>16963.255302780413</c:v>
                </c:pt>
                <c:pt idx="22">
                  <c:v>16470.178482002902</c:v>
                </c:pt>
                <c:pt idx="23">
                  <c:v>15988.387545109195</c:v>
                </c:pt>
                <c:pt idx="24">
                  <c:v>15517.694800439063</c:v>
                </c:pt>
                <c:pt idx="25">
                  <c:v>15057.914487997827</c:v>
                </c:pt>
                <c:pt idx="26">
                  <c:v>14608.862771980312</c:v>
                </c:pt>
                <c:pt idx="27">
                  <c:v>14170.357733275197</c:v>
                </c:pt>
                <c:pt idx="28">
                  <c:v>13742.219361949459</c:v>
                </c:pt>
                <c:pt idx="29">
                  <c:v>13324.269549712673</c:v>
                </c:pt>
                <c:pt idx="30">
                  <c:v>12916.332082361152</c:v>
                </c:pt>
                <c:pt idx="31">
                  <c:v>12518.232632201629</c:v>
                </c:pt>
                <c:pt idx="32">
                  <c:v>12129.798750454209</c:v>
                </c:pt>
                <c:pt idx="33">
                  <c:v>11750.859859634578</c:v>
                </c:pt>
                <c:pt idx="34">
                  <c:v>11381.247245915187</c:v>
                </c:pt>
                <c:pt idx="35">
                  <c:v>11020.79405146506</c:v>
                </c:pt>
                <c:pt idx="36">
                  <c:v>10669.335266768312</c:v>
                </c:pt>
                <c:pt idx="37">
                  <c:v>10326.707722920941</c:v>
                </c:pt>
                <c:pt idx="38">
                  <c:v>9992.7500839057157</c:v>
                </c:pt>
                <c:pt idx="39">
                  <c:v>9667.3028388450148</c:v>
                </c:pt>
                <c:pt idx="40">
                  <c:v>9350.2082942313682</c:v>
                </c:pt>
                <c:pt idx="41">
                  <c:v>9041.3105661354402</c:v>
                </c:pt>
                <c:pt idx="42">
                  <c:v>8740.4555723912163</c:v>
                </c:pt>
                <c:pt idx="43">
                  <c:v>8447.4910247582375</c:v>
                </c:pt>
                <c:pt idx="44">
                  <c:v>8162.2647282721973</c:v>
                </c:pt>
                <c:pt idx="45">
                  <c:v>7822.0398482242535</c:v>
                </c:pt>
                <c:pt idx="46">
                  <c:v>7495.9964451140377</c:v>
                </c:pt>
                <c:pt idx="47">
                  <c:v>7183.5433973042791</c:v>
                </c:pt>
                <c:pt idx="48">
                  <c:v>6884.1142226780821</c:v>
                </c:pt>
                <c:pt idx="49">
                  <c:v>6597.1660515982676</c:v>
                </c:pt>
                <c:pt idx="50">
                  <c:v>6322.1786426764638</c:v>
                </c:pt>
                <c:pt idx="51">
                  <c:v>6058.6534395675953</c:v>
                </c:pt>
                <c:pt idx="52">
                  <c:v>5806.112667079653</c:v>
                </c:pt>
                <c:pt idx="53">
                  <c:v>5564.0984649600186</c:v>
                </c:pt>
                <c:pt idx="54">
                  <c:v>5332.1720577878878</c:v>
                </c:pt>
                <c:pt idx="55">
                  <c:v>5109.9129594677706</c:v>
                </c:pt>
                <c:pt idx="56">
                  <c:v>4896.9182108818131</c:v>
                </c:pt>
                <c:pt idx="57">
                  <c:v>4692.8016493188125</c:v>
                </c:pt>
                <c:pt idx="58">
                  <c:v>4497.193208355362</c:v>
                </c:pt>
                <c:pt idx="59">
                  <c:v>4309.7382469197964</c:v>
                </c:pt>
                <c:pt idx="60">
                  <c:v>4130.0969063225648</c:v>
                </c:pt>
                <c:pt idx="61">
                  <c:v>3957.943494087252</c:v>
                </c:pt>
                <c:pt idx="62">
                  <c:v>3792.9658934651984</c:v>
                </c:pt>
                <c:pt idx="63">
                  <c:v>3634.8649975630733</c:v>
                </c:pt>
                <c:pt idx="64">
                  <c:v>3483.354167057561</c:v>
                </c:pt>
                <c:pt idx="65">
                  <c:v>3338.1587105139029</c:v>
                </c:pt>
                <c:pt idx="66">
                  <c:v>3199.0153863661708</c:v>
                </c:pt>
                <c:pt idx="67">
                  <c:v>3065.6719256562951</c:v>
                </c:pt>
                <c:pt idx="68">
                  <c:v>2937.8865746666374</c:v>
                </c:pt>
                <c:pt idx="69">
                  <c:v>2815.4276566168164</c:v>
                </c:pt>
                <c:pt idx="70">
                  <c:v>2698.0731516301985</c:v>
                </c:pt>
                <c:pt idx="71">
                  <c:v>2585.6102942084831</c:v>
                </c:pt>
                <c:pt idx="72">
                  <c:v>2477.8351874846394</c:v>
                </c:pt>
                <c:pt idx="73">
                  <c:v>2374.5524335547748</c:v>
                </c:pt>
                <c:pt idx="74">
                  <c:v>2275.5747792187899</c:v>
                </c:pt>
              </c:numCache>
            </c:numRef>
          </c:yVal>
          <c:smooth val="1"/>
        </c:ser>
        <c:axId val="75446528"/>
        <c:axId val="75472896"/>
      </c:scatterChart>
      <c:valAx>
        <c:axId val="75446528"/>
        <c:scaling>
          <c:orientation val="minMax"/>
        </c:scaling>
        <c:axPos val="b"/>
        <c:numFmt formatCode="General" sourceLinked="1"/>
        <c:tickLblPos val="nextTo"/>
        <c:crossAx val="75472896"/>
        <c:crosses val="autoZero"/>
        <c:crossBetween val="midCat"/>
      </c:valAx>
      <c:valAx>
        <c:axId val="75472896"/>
        <c:scaling>
          <c:orientation val="minMax"/>
        </c:scaling>
        <c:axPos val="l"/>
        <c:majorGridlines/>
        <c:numFmt formatCode="General" sourceLinked="1"/>
        <c:tickLblPos val="nextTo"/>
        <c:crossAx val="754465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de-DE"/>
              <a:t>Vue de dessus</a:t>
            </a:r>
          </a:p>
        </c:rich>
      </c:tx>
      <c:layout>
        <c:manualLayout>
          <c:xMode val="edge"/>
          <c:yMode val="edge"/>
          <c:x val="0.44724977457168619"/>
          <c:y val="3.617571059431536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5.7108506161707264E-3"/>
          <c:y val="0.35675924230401435"/>
          <c:w val="0.99188458070333441"/>
          <c:h val="0.55814170515507266"/>
        </c:manualLayout>
      </c:layout>
      <c:scatterChart>
        <c:scatterStyle val="lineMarker"/>
        <c:ser>
          <c:idx val="0"/>
          <c:order val="0"/>
          <c:tx>
            <c:v>Fuselage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'Dessin aménagé'!$V$14:$V$19</c:f>
              <c:numCache>
                <c:formatCode>General</c:formatCode>
                <c:ptCount val="6"/>
                <c:pt idx="0">
                  <c:v>0</c:v>
                </c:pt>
                <c:pt idx="1">
                  <c:v>0.71547758809844564</c:v>
                </c:pt>
                <c:pt idx="2">
                  <c:v>0.71547758809844564</c:v>
                </c:pt>
                <c:pt idx="3">
                  <c:v>-0.71547758809844564</c:v>
                </c:pt>
                <c:pt idx="4">
                  <c:v>-0.71547758809844564</c:v>
                </c:pt>
                <c:pt idx="5">
                  <c:v>0</c:v>
                </c:pt>
              </c:numCache>
            </c:numRef>
          </c:xVal>
          <c:yVal>
            <c:numRef>
              <c:f>'Dessin aménagé'!$W$14:$W$19</c:f>
              <c:numCache>
                <c:formatCode>General</c:formatCode>
                <c:ptCount val="6"/>
                <c:pt idx="0">
                  <c:v>0</c:v>
                </c:pt>
                <c:pt idx="1">
                  <c:v>1.5</c:v>
                </c:pt>
                <c:pt idx="2">
                  <c:v>14.309551761968912</c:v>
                </c:pt>
                <c:pt idx="3">
                  <c:v>14.309551761968912</c:v>
                </c:pt>
                <c:pt idx="4">
                  <c:v>1.5</c:v>
                </c:pt>
                <c:pt idx="5">
                  <c:v>0</c:v>
                </c:pt>
              </c:numCache>
            </c:numRef>
          </c:yVal>
        </c:ser>
        <c:ser>
          <c:idx val="1"/>
          <c:order val="1"/>
          <c:tx>
            <c:v>Voilure 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'Dessin aménagé'!$V$90:$V$93</c:f>
              <c:numCache>
                <c:formatCode>General</c:formatCode>
                <c:ptCount val="4"/>
                <c:pt idx="0">
                  <c:v>0.71547758809844564</c:v>
                </c:pt>
                <c:pt idx="1">
                  <c:v>30.109910085027607</c:v>
                </c:pt>
                <c:pt idx="2">
                  <c:v>30.109910085027607</c:v>
                </c:pt>
                <c:pt idx="3">
                  <c:v>0.71547758809844564</c:v>
                </c:pt>
              </c:numCache>
            </c:numRef>
          </c:xVal>
          <c:yVal>
            <c:numRef>
              <c:f>'Dessin aménagé'!$W$90:$W$93</c:f>
              <c:numCache>
                <c:formatCode>General</c:formatCode>
                <c:ptCount val="4"/>
                <c:pt idx="0">
                  <c:v>5.9238199668681943</c:v>
                </c:pt>
                <c:pt idx="1">
                  <c:v>8.4954995811275165</c:v>
                </c:pt>
                <c:pt idx="2">
                  <c:v>9.7779172709152515</c:v>
                </c:pt>
                <c:pt idx="3">
                  <c:v>9.2986033610464442</c:v>
                </c:pt>
              </c:numCache>
            </c:numRef>
          </c:yVal>
        </c:ser>
        <c:ser>
          <c:idx val="2"/>
          <c:order val="2"/>
          <c:tx>
            <c:v>Voilure 2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'Dessin aménagé'!$V$95:$V$98</c:f>
              <c:numCache>
                <c:formatCode>General</c:formatCode>
                <c:ptCount val="4"/>
                <c:pt idx="0">
                  <c:v>-0.71547758809844564</c:v>
                </c:pt>
                <c:pt idx="1">
                  <c:v>-30.109910085027607</c:v>
                </c:pt>
                <c:pt idx="2">
                  <c:v>-30.109910085027607</c:v>
                </c:pt>
                <c:pt idx="3">
                  <c:v>-0.71547758809844564</c:v>
                </c:pt>
              </c:numCache>
            </c:numRef>
          </c:xVal>
          <c:yVal>
            <c:numRef>
              <c:f>'Dessin aménagé'!$W$95:$W$98</c:f>
              <c:numCache>
                <c:formatCode>General</c:formatCode>
                <c:ptCount val="4"/>
                <c:pt idx="0">
                  <c:v>5.9238199668681943</c:v>
                </c:pt>
                <c:pt idx="1">
                  <c:v>8.4954995811275165</c:v>
                </c:pt>
                <c:pt idx="2">
                  <c:v>9.7779172709152515</c:v>
                </c:pt>
                <c:pt idx="3">
                  <c:v>9.2986033610464442</c:v>
                </c:pt>
              </c:numCache>
            </c:numRef>
          </c:yVal>
        </c:ser>
        <c:ser>
          <c:idx val="3"/>
          <c:order val="3"/>
          <c:tx>
            <c:v>Empennage 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'Dessin aménagé'!$V$78:$V$81</c:f>
              <c:numCache>
                <c:formatCode>General</c:formatCode>
                <c:ptCount val="4"/>
                <c:pt idx="0">
                  <c:v>0.71547758809844564</c:v>
                </c:pt>
                <c:pt idx="1">
                  <c:v>8.0921734757662964</c:v>
                </c:pt>
                <c:pt idx="2">
                  <c:v>8.0921734757662964</c:v>
                </c:pt>
                <c:pt idx="3">
                  <c:v>0.71547758809844564</c:v>
                </c:pt>
              </c:numCache>
            </c:numRef>
          </c:xVal>
          <c:yVal>
            <c:numRef>
              <c:f>'Dessin aménagé'!$W$78:$W$81</c:f>
              <c:numCache>
                <c:formatCode>General</c:formatCode>
                <c:ptCount val="4"/>
                <c:pt idx="0">
                  <c:v>12.48407467088173</c:v>
                </c:pt>
                <c:pt idx="1">
                  <c:v>13.12945193533097</c:v>
                </c:pt>
                <c:pt idx="2">
                  <c:v>14.172581701666502</c:v>
                </c:pt>
                <c:pt idx="3">
                  <c:v>14.309551761968912</c:v>
                </c:pt>
              </c:numCache>
            </c:numRef>
          </c:yVal>
        </c:ser>
        <c:ser>
          <c:idx val="4"/>
          <c:order val="4"/>
          <c:tx>
            <c:v>Empennage 2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'Dessin aménagé'!$V$83:$V$86</c:f>
              <c:numCache>
                <c:formatCode>General</c:formatCode>
                <c:ptCount val="4"/>
                <c:pt idx="0">
                  <c:v>-0.71547758809844564</c:v>
                </c:pt>
                <c:pt idx="1">
                  <c:v>-8.0921734757662964</c:v>
                </c:pt>
                <c:pt idx="2">
                  <c:v>-8.0921734757662964</c:v>
                </c:pt>
                <c:pt idx="3">
                  <c:v>-0.71547758809844564</c:v>
                </c:pt>
              </c:numCache>
            </c:numRef>
          </c:xVal>
          <c:yVal>
            <c:numRef>
              <c:f>'Dessin aménagé'!$W$83:$W$86</c:f>
              <c:numCache>
                <c:formatCode>General</c:formatCode>
                <c:ptCount val="4"/>
                <c:pt idx="0">
                  <c:v>12.48407467088173</c:v>
                </c:pt>
                <c:pt idx="1">
                  <c:v>13.12945193533097</c:v>
                </c:pt>
                <c:pt idx="2">
                  <c:v>14.172581701666502</c:v>
                </c:pt>
                <c:pt idx="3">
                  <c:v>14.309551761968912</c:v>
                </c:pt>
              </c:numCache>
            </c:numRef>
          </c:yVal>
        </c:ser>
        <c:ser>
          <c:idx val="5"/>
          <c:order val="5"/>
          <c:tx>
            <c:v>Moteur 1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'Dessin aménagé'!$V$36:$V$44</c:f>
              <c:numCache>
                <c:formatCode>General</c:formatCode>
                <c:ptCount val="9"/>
                <c:pt idx="0">
                  <c:v>0.75187515214711997</c:v>
                </c:pt>
                <c:pt idx="1">
                  <c:v>0.83095517619689141</c:v>
                </c:pt>
                <c:pt idx="2">
                  <c:v>0.83095517619689141</c:v>
                </c:pt>
                <c:pt idx="3">
                  <c:v>0.78940741738704678</c:v>
                </c:pt>
                <c:pt idx="4">
                  <c:v>4.1547758809844626E-2</c:v>
                </c:pt>
                <c:pt idx="5">
                  <c:v>0</c:v>
                </c:pt>
                <c:pt idx="6">
                  <c:v>0</c:v>
                </c:pt>
                <c:pt idx="7">
                  <c:v>7.9080024049771436E-2</c:v>
                </c:pt>
                <c:pt idx="8">
                  <c:v>0.75187515214711997</c:v>
                </c:pt>
              </c:numCache>
            </c:numRef>
          </c:xVal>
          <c:yVal>
            <c:numRef>
              <c:f>'Dessin aménagé'!$W$36:$W$44</c:f>
              <c:numCache>
                <c:formatCode>General</c:formatCode>
                <c:ptCount val="9"/>
                <c:pt idx="0">
                  <c:v>9.922369222669106</c:v>
                </c:pt>
                <c:pt idx="1">
                  <c:v>10.752369222669106</c:v>
                </c:pt>
                <c:pt idx="2">
                  <c:v>12.809551761968912</c:v>
                </c:pt>
                <c:pt idx="3">
                  <c:v>13.309551761968912</c:v>
                </c:pt>
                <c:pt idx="4">
                  <c:v>13.309551761968912</c:v>
                </c:pt>
                <c:pt idx="5">
                  <c:v>12.809551761968912</c:v>
                </c:pt>
                <c:pt idx="6">
                  <c:v>10.752369222669106</c:v>
                </c:pt>
                <c:pt idx="7">
                  <c:v>9.922369222669106</c:v>
                </c:pt>
                <c:pt idx="8">
                  <c:v>9.922369222669106</c:v>
                </c:pt>
              </c:numCache>
            </c:numRef>
          </c:yVal>
        </c:ser>
        <c:ser>
          <c:idx val="6"/>
          <c:order val="6"/>
          <c:tx>
            <c:v>Moteur 2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'Dessin aménagé'!$V$56:$V$64</c:f>
              <c:numCache>
                <c:formatCode>General</c:formatCode>
                <c:ptCount val="9"/>
                <c:pt idx="0">
                  <c:v>-0.75187515214711997</c:v>
                </c:pt>
                <c:pt idx="1">
                  <c:v>-0.83095517619689141</c:v>
                </c:pt>
                <c:pt idx="2">
                  <c:v>-0.83095517619689141</c:v>
                </c:pt>
                <c:pt idx="3">
                  <c:v>-0.78940741738704678</c:v>
                </c:pt>
                <c:pt idx="4">
                  <c:v>-4.1547758809844626E-2</c:v>
                </c:pt>
                <c:pt idx="5">
                  <c:v>0</c:v>
                </c:pt>
                <c:pt idx="6">
                  <c:v>0</c:v>
                </c:pt>
                <c:pt idx="7">
                  <c:v>-7.9080024049771436E-2</c:v>
                </c:pt>
                <c:pt idx="8">
                  <c:v>-0.75187515214711997</c:v>
                </c:pt>
              </c:numCache>
            </c:numRef>
          </c:xVal>
          <c:yVal>
            <c:numRef>
              <c:f>'Dessin aménagé'!$W$56:$W$64</c:f>
              <c:numCache>
                <c:formatCode>General</c:formatCode>
                <c:ptCount val="9"/>
                <c:pt idx="0">
                  <c:v>9.922369222669106</c:v>
                </c:pt>
                <c:pt idx="1">
                  <c:v>10.752369222669106</c:v>
                </c:pt>
                <c:pt idx="2">
                  <c:v>12.809551761968912</c:v>
                </c:pt>
                <c:pt idx="3">
                  <c:v>13.309551761968912</c:v>
                </c:pt>
                <c:pt idx="4">
                  <c:v>13.309551761968912</c:v>
                </c:pt>
                <c:pt idx="5">
                  <c:v>12.809551761968912</c:v>
                </c:pt>
                <c:pt idx="6">
                  <c:v>10.752369222669106</c:v>
                </c:pt>
                <c:pt idx="7">
                  <c:v>9.922369222669106</c:v>
                </c:pt>
                <c:pt idx="8">
                  <c:v>9.922369222669106</c:v>
                </c:pt>
              </c:numCache>
            </c:numRef>
          </c:yVal>
        </c:ser>
        <c:ser>
          <c:idx val="7"/>
          <c:order val="7"/>
          <c:tx>
            <c:v>Réservoir 1</c:v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'Dessin aménagé'!$V$104:$V$108</c:f>
              <c:numCache>
                <c:formatCode>General</c:formatCode>
                <c:ptCount val="5"/>
                <c:pt idx="0">
                  <c:v>0.71547758809844564</c:v>
                </c:pt>
                <c:pt idx="1">
                  <c:v>20.311765919384552</c:v>
                </c:pt>
                <c:pt idx="2">
                  <c:v>20.311765919384552</c:v>
                </c:pt>
                <c:pt idx="3">
                  <c:v>0.71547758809844564</c:v>
                </c:pt>
                <c:pt idx="4">
                  <c:v>0.71547758809844564</c:v>
                </c:pt>
              </c:numCache>
            </c:numRef>
          </c:xVal>
          <c:yVal>
            <c:numRef>
              <c:f>'Dessin aménagé'!$W$104:$W$108</c:f>
              <c:numCache>
                <c:formatCode>General</c:formatCode>
                <c:ptCount val="5"/>
                <c:pt idx="0">
                  <c:v>6.7675158154127564</c:v>
                </c:pt>
                <c:pt idx="1">
                  <c:v>8.1332412741872187</c:v>
                </c:pt>
                <c:pt idx="2">
                  <c:v>8.8261967977918196</c:v>
                </c:pt>
                <c:pt idx="3">
                  <c:v>7.9486900033751438</c:v>
                </c:pt>
                <c:pt idx="4">
                  <c:v>6.7675158154127564</c:v>
                </c:pt>
              </c:numCache>
            </c:numRef>
          </c:yVal>
        </c:ser>
        <c:ser>
          <c:idx val="8"/>
          <c:order val="8"/>
          <c:tx>
            <c:v>Réservoir 2</c:v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'Dessin aménagé'!$V$110:$V$114</c:f>
              <c:numCache>
                <c:formatCode>General</c:formatCode>
                <c:ptCount val="5"/>
                <c:pt idx="0">
                  <c:v>-0.71547758809844564</c:v>
                </c:pt>
                <c:pt idx="1">
                  <c:v>-20.311765919384552</c:v>
                </c:pt>
                <c:pt idx="2">
                  <c:v>-20.311765919384552</c:v>
                </c:pt>
                <c:pt idx="3">
                  <c:v>-0.71547758809844564</c:v>
                </c:pt>
                <c:pt idx="4">
                  <c:v>-0.71547758809844564</c:v>
                </c:pt>
              </c:numCache>
            </c:numRef>
          </c:xVal>
          <c:yVal>
            <c:numRef>
              <c:f>'Dessin aménagé'!$W$110:$W$114</c:f>
              <c:numCache>
                <c:formatCode>General</c:formatCode>
                <c:ptCount val="5"/>
                <c:pt idx="0">
                  <c:v>6.7675158154127564</c:v>
                </c:pt>
                <c:pt idx="1">
                  <c:v>8.1332412741872187</c:v>
                </c:pt>
                <c:pt idx="2">
                  <c:v>8.8261967977918196</c:v>
                </c:pt>
                <c:pt idx="3">
                  <c:v>7.9486900033751438</c:v>
                </c:pt>
                <c:pt idx="4">
                  <c:v>6.7675158154127564</c:v>
                </c:pt>
              </c:numCache>
            </c:numRef>
          </c:yVal>
        </c:ser>
        <c:ser>
          <c:idx val="9"/>
          <c:order val="9"/>
          <c:tx>
            <c:v>Réservoir 3</c:v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'Dessin aménagé'!$V$118:$V$122</c:f>
              <c:numCache>
                <c:formatCode>General</c:formatCode>
                <c:ptCount val="5"/>
                <c:pt idx="0">
                  <c:v>0.66547758809844559</c:v>
                </c:pt>
                <c:pt idx="1">
                  <c:v>0.66547758809844559</c:v>
                </c:pt>
                <c:pt idx="2">
                  <c:v>-0.66547758809844559</c:v>
                </c:pt>
                <c:pt idx="3">
                  <c:v>-0.66547758809844559</c:v>
                </c:pt>
                <c:pt idx="4">
                  <c:v>0.66547758809844559</c:v>
                </c:pt>
              </c:numCache>
            </c:numRef>
          </c:xVal>
          <c:yVal>
            <c:numRef>
              <c:f>'Dessin aménagé'!$W$118:$W$122</c:f>
              <c:numCache>
                <c:formatCode>General</c:formatCode>
                <c:ptCount val="5"/>
                <c:pt idx="0">
                  <c:v>7.8038199668681942</c:v>
                </c:pt>
                <c:pt idx="1">
                  <c:v>10.303819966868193</c:v>
                </c:pt>
                <c:pt idx="2">
                  <c:v>10.303819966868193</c:v>
                </c:pt>
                <c:pt idx="3">
                  <c:v>7.8038199668681942</c:v>
                </c:pt>
                <c:pt idx="4">
                  <c:v>7.8038199668681942</c:v>
                </c:pt>
              </c:numCache>
            </c:numRef>
          </c:yVal>
        </c:ser>
        <c:ser>
          <c:idx val="10"/>
          <c:order val="10"/>
          <c:tx>
            <c:v>Ecoute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'Dessin aménagé'!$V$210:$V$214</c:f>
              <c:numCache>
                <c:formatCode>General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-0.4</c:v>
                </c:pt>
                <c:pt idx="3">
                  <c:v>-0.4</c:v>
                </c:pt>
                <c:pt idx="4">
                  <c:v>0.4</c:v>
                </c:pt>
              </c:numCache>
            </c:numRef>
          </c:xVal>
          <c:yVal>
            <c:numRef>
              <c:f>'Dessin aménagé'!$W$210:$W$214</c:f>
              <c:numCache>
                <c:formatCode>General</c:formatCode>
                <c:ptCount val="5"/>
                <c:pt idx="0">
                  <c:v>1.5</c:v>
                </c:pt>
                <c:pt idx="1">
                  <c:v>4.625</c:v>
                </c:pt>
                <c:pt idx="2">
                  <c:v>4.625</c:v>
                </c:pt>
                <c:pt idx="3">
                  <c:v>1.5</c:v>
                </c:pt>
                <c:pt idx="4">
                  <c:v>1.5</c:v>
                </c:pt>
              </c:numCache>
            </c:numRef>
          </c:yVal>
        </c:ser>
        <c:ser>
          <c:idx val="11"/>
          <c:order val="11"/>
          <c:tx>
            <c:v>Satcom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'Dessin aménagé'!$V$218:$V$222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-0.5</c:v>
                </c:pt>
                <c:pt idx="3">
                  <c:v>-0.5</c:v>
                </c:pt>
                <c:pt idx="4">
                  <c:v>0.5</c:v>
                </c:pt>
              </c:numCache>
            </c:numRef>
          </c:xVal>
          <c:yVal>
            <c:numRef>
              <c:f>'Dessin aménagé'!$W$218:$W$222</c:f>
              <c:numCache>
                <c:formatCode>General</c:formatCode>
                <c:ptCount val="5"/>
                <c:pt idx="0">
                  <c:v>4.7</c:v>
                </c:pt>
                <c:pt idx="1">
                  <c:v>5.7</c:v>
                </c:pt>
                <c:pt idx="2">
                  <c:v>5.7</c:v>
                </c:pt>
                <c:pt idx="3">
                  <c:v>4.7</c:v>
                </c:pt>
                <c:pt idx="4">
                  <c:v>4.7</c:v>
                </c:pt>
              </c:numCache>
            </c:numRef>
          </c:yVal>
        </c:ser>
        <c:ser>
          <c:idx val="12"/>
          <c:order val="12"/>
          <c:tx>
            <c:v>Radar 1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'Dessin aménagé'!$V$196:$V$200</c:f>
              <c:numCache>
                <c:formatCode>General</c:formatCode>
                <c:ptCount val="5"/>
                <c:pt idx="0">
                  <c:v>0.35</c:v>
                </c:pt>
                <c:pt idx="1">
                  <c:v>0.35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</c:numCache>
            </c:numRef>
          </c:xVal>
          <c:yVal>
            <c:numRef>
              <c:f>'Dessin aménagé'!$W$196:$W$200</c:f>
              <c:numCache>
                <c:formatCode>General</c:formatCode>
                <c:ptCount val="5"/>
                <c:pt idx="0">
                  <c:v>1.5</c:v>
                </c:pt>
                <c:pt idx="1">
                  <c:v>3.5</c:v>
                </c:pt>
                <c:pt idx="2">
                  <c:v>3.5</c:v>
                </c:pt>
                <c:pt idx="3">
                  <c:v>1.5</c:v>
                </c:pt>
                <c:pt idx="4">
                  <c:v>1.5</c:v>
                </c:pt>
              </c:numCache>
            </c:numRef>
          </c:yVal>
        </c:ser>
        <c:ser>
          <c:idx val="13"/>
          <c:order val="13"/>
          <c:tx>
            <c:v>Radar 2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'Dessin aménagé'!$V$202:$V$206</c:f>
              <c:numCache>
                <c:formatCode>General</c:formatCode>
                <c:ptCount val="5"/>
                <c:pt idx="0">
                  <c:v>-0.35</c:v>
                </c:pt>
                <c:pt idx="1">
                  <c:v>-0.35</c:v>
                </c:pt>
                <c:pt idx="2">
                  <c:v>0</c:v>
                </c:pt>
                <c:pt idx="3">
                  <c:v>0</c:v>
                </c:pt>
                <c:pt idx="4">
                  <c:v>-0.35</c:v>
                </c:pt>
              </c:numCache>
            </c:numRef>
          </c:xVal>
          <c:yVal>
            <c:numRef>
              <c:f>'Dessin aménagé'!$W$202:$W$206</c:f>
              <c:numCache>
                <c:formatCode>General</c:formatCode>
                <c:ptCount val="5"/>
                <c:pt idx="0">
                  <c:v>1.5</c:v>
                </c:pt>
                <c:pt idx="1">
                  <c:v>3.5</c:v>
                </c:pt>
                <c:pt idx="2">
                  <c:v>3.5</c:v>
                </c:pt>
                <c:pt idx="3">
                  <c:v>1.5</c:v>
                </c:pt>
                <c:pt idx="4">
                  <c:v>1.5</c:v>
                </c:pt>
              </c:numCache>
            </c:numRef>
          </c:yVal>
        </c:ser>
        <c:ser>
          <c:idx val="14"/>
          <c:order val="14"/>
          <c:tx>
            <c:v>Train avant</c:v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'Dessin aménagé'!$V$173:$V$179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-0.25</c:v>
                </c:pt>
                <c:pt idx="5">
                  <c:v>-0.25</c:v>
                </c:pt>
                <c:pt idx="6">
                  <c:v>0</c:v>
                </c:pt>
              </c:numCache>
            </c:numRef>
          </c:xVal>
          <c:yVal>
            <c:numRef>
              <c:f>'Dessin aménagé'!$W$173:$W$179</c:f>
              <c:numCache>
                <c:formatCode>General</c:formatCode>
                <c:ptCount val="7"/>
                <c:pt idx="0">
                  <c:v>2.8619103523937826</c:v>
                </c:pt>
                <c:pt idx="1">
                  <c:v>2.4</c:v>
                </c:pt>
                <c:pt idx="2">
                  <c:v>2.4</c:v>
                </c:pt>
                <c:pt idx="3">
                  <c:v>2</c:v>
                </c:pt>
                <c:pt idx="4">
                  <c:v>2</c:v>
                </c:pt>
                <c:pt idx="5">
                  <c:v>2.4</c:v>
                </c:pt>
                <c:pt idx="6">
                  <c:v>2.4</c:v>
                </c:pt>
              </c:numCache>
            </c:numRef>
          </c:yVal>
        </c:ser>
        <c:ser>
          <c:idx val="15"/>
          <c:order val="15"/>
          <c:tx>
            <c:v>Train principal 1</c:v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'Dessin aménagé'!$V$128:$V$147</c:f>
              <c:numCache>
                <c:formatCode>General</c:formatCode>
                <c:ptCount val="20"/>
                <c:pt idx="0">
                  <c:v>1.1154775880984458</c:v>
                </c:pt>
                <c:pt idx="1">
                  <c:v>0.51547758809844579</c:v>
                </c:pt>
                <c:pt idx="2">
                  <c:v>0.50341611225562755</c:v>
                </c:pt>
                <c:pt idx="3">
                  <c:v>0.4686864767222414</c:v>
                </c:pt>
                <c:pt idx="4">
                  <c:v>0.41547758809844582</c:v>
                </c:pt>
                <c:pt idx="5">
                  <c:v>0.35020722363183188</c:v>
                </c:pt>
                <c:pt idx="6">
                  <c:v>0.28074795256505974</c:v>
                </c:pt>
                <c:pt idx="7">
                  <c:v>0.2154775880984458</c:v>
                </c:pt>
                <c:pt idx="8">
                  <c:v>0.1622686994746502</c:v>
                </c:pt>
                <c:pt idx="9">
                  <c:v>0.1275390639412641</c:v>
                </c:pt>
                <c:pt idx="10">
                  <c:v>0.11547758809844577</c:v>
                </c:pt>
                <c:pt idx="11">
                  <c:v>0.12753906394126407</c:v>
                </c:pt>
                <c:pt idx="12">
                  <c:v>0.16226869947465017</c:v>
                </c:pt>
                <c:pt idx="13">
                  <c:v>0.21547758809844569</c:v>
                </c:pt>
                <c:pt idx="14">
                  <c:v>0.28074795256505969</c:v>
                </c:pt>
                <c:pt idx="15">
                  <c:v>0.35020722363183177</c:v>
                </c:pt>
                <c:pt idx="16">
                  <c:v>0.41547758809844582</c:v>
                </c:pt>
                <c:pt idx="17">
                  <c:v>0.46868647672224134</c:v>
                </c:pt>
                <c:pt idx="18">
                  <c:v>0.50341611225562755</c:v>
                </c:pt>
                <c:pt idx="19">
                  <c:v>0.51547758809844579</c:v>
                </c:pt>
              </c:numCache>
            </c:numRef>
          </c:xVal>
          <c:yVal>
            <c:numRef>
              <c:f>'Dessin aménagé'!$W$128:$W$147</c:f>
              <c:numCache>
                <c:formatCode>General</c:formatCode>
                <c:ptCount val="20"/>
                <c:pt idx="0">
                  <c:v>7.8702534690829022</c:v>
                </c:pt>
                <c:pt idx="1">
                  <c:v>7.8702534690829022</c:v>
                </c:pt>
                <c:pt idx="2">
                  <c:v>7.8018494404177687</c:v>
                </c:pt>
                <c:pt idx="3">
                  <c:v>7.7416959471455939</c:v>
                </c:pt>
                <c:pt idx="4">
                  <c:v>7.6970483883260146</c:v>
                </c:pt>
                <c:pt idx="5">
                  <c:v>7.6732919184804604</c:v>
                </c:pt>
                <c:pt idx="6">
                  <c:v>7.6732919184804604</c:v>
                </c:pt>
                <c:pt idx="7">
                  <c:v>7.6970483883260146</c:v>
                </c:pt>
                <c:pt idx="8">
                  <c:v>7.7416959471455939</c:v>
                </c:pt>
                <c:pt idx="9">
                  <c:v>7.8018494404177687</c:v>
                </c:pt>
                <c:pt idx="10">
                  <c:v>7.8702534690829022</c:v>
                </c:pt>
                <c:pt idx="11">
                  <c:v>7.9386574977480358</c:v>
                </c:pt>
                <c:pt idx="12">
                  <c:v>7.9988109910202105</c:v>
                </c:pt>
                <c:pt idx="13">
                  <c:v>8.0434585498397908</c:v>
                </c:pt>
                <c:pt idx="14">
                  <c:v>8.067215019685344</c:v>
                </c:pt>
                <c:pt idx="15">
                  <c:v>8.067215019685344</c:v>
                </c:pt>
                <c:pt idx="16">
                  <c:v>8.0434585498397908</c:v>
                </c:pt>
                <c:pt idx="17">
                  <c:v>7.9988109910202105</c:v>
                </c:pt>
                <c:pt idx="18">
                  <c:v>7.9386574977480358</c:v>
                </c:pt>
                <c:pt idx="19">
                  <c:v>7.8702534690829022</c:v>
                </c:pt>
              </c:numCache>
            </c:numRef>
          </c:yVal>
        </c:ser>
        <c:ser>
          <c:idx val="16"/>
          <c:order val="16"/>
          <c:tx>
            <c:v>Train principal 2</c:v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'Dessin aménagé'!$V$150:$V$169</c:f>
              <c:numCache>
                <c:formatCode>General</c:formatCode>
                <c:ptCount val="20"/>
                <c:pt idx="0">
                  <c:v>-1.1154775880984458</c:v>
                </c:pt>
                <c:pt idx="1">
                  <c:v>-0.51547758809844579</c:v>
                </c:pt>
                <c:pt idx="2">
                  <c:v>-0.50341611225562755</c:v>
                </c:pt>
                <c:pt idx="3">
                  <c:v>-0.4686864767222414</c:v>
                </c:pt>
                <c:pt idx="4">
                  <c:v>-0.41547758809844582</c:v>
                </c:pt>
                <c:pt idx="5">
                  <c:v>-0.35020722363183188</c:v>
                </c:pt>
                <c:pt idx="6">
                  <c:v>-0.28074795256505974</c:v>
                </c:pt>
                <c:pt idx="7">
                  <c:v>-0.2154775880984458</c:v>
                </c:pt>
                <c:pt idx="8">
                  <c:v>-0.1622686994746502</c:v>
                </c:pt>
                <c:pt idx="9">
                  <c:v>-0.1275390639412641</c:v>
                </c:pt>
                <c:pt idx="10">
                  <c:v>-0.11547758809844577</c:v>
                </c:pt>
                <c:pt idx="11">
                  <c:v>-0.12753906394126407</c:v>
                </c:pt>
                <c:pt idx="12">
                  <c:v>-0.16226869947465017</c:v>
                </c:pt>
                <c:pt idx="13">
                  <c:v>-0.21547758809844569</c:v>
                </c:pt>
                <c:pt idx="14">
                  <c:v>-0.28074795256505969</c:v>
                </c:pt>
                <c:pt idx="15">
                  <c:v>-0.35020722363183177</c:v>
                </c:pt>
                <c:pt idx="16">
                  <c:v>-0.41547758809844582</c:v>
                </c:pt>
                <c:pt idx="17">
                  <c:v>-0.46868647672224134</c:v>
                </c:pt>
                <c:pt idx="18">
                  <c:v>-0.50341611225562755</c:v>
                </c:pt>
                <c:pt idx="19">
                  <c:v>-0.51547758809844579</c:v>
                </c:pt>
              </c:numCache>
            </c:numRef>
          </c:xVal>
          <c:yVal>
            <c:numRef>
              <c:f>'Dessin aménagé'!$W$150:$W$169</c:f>
              <c:numCache>
                <c:formatCode>General</c:formatCode>
                <c:ptCount val="20"/>
                <c:pt idx="0">
                  <c:v>7.8702534690829022</c:v>
                </c:pt>
                <c:pt idx="1">
                  <c:v>7.8702534690829022</c:v>
                </c:pt>
                <c:pt idx="2">
                  <c:v>7.8018494404177687</c:v>
                </c:pt>
                <c:pt idx="3">
                  <c:v>7.7416959471455939</c:v>
                </c:pt>
                <c:pt idx="4">
                  <c:v>7.6970483883260146</c:v>
                </c:pt>
                <c:pt idx="5">
                  <c:v>7.6732919184804604</c:v>
                </c:pt>
                <c:pt idx="6">
                  <c:v>7.6732919184804604</c:v>
                </c:pt>
                <c:pt idx="7">
                  <c:v>7.6970483883260146</c:v>
                </c:pt>
                <c:pt idx="8">
                  <c:v>7.7416959471455939</c:v>
                </c:pt>
                <c:pt idx="9">
                  <c:v>7.8018494404177687</c:v>
                </c:pt>
                <c:pt idx="10">
                  <c:v>7.8702534690829022</c:v>
                </c:pt>
                <c:pt idx="11">
                  <c:v>7.9386574977480358</c:v>
                </c:pt>
                <c:pt idx="12">
                  <c:v>7.9988109910202105</c:v>
                </c:pt>
                <c:pt idx="13">
                  <c:v>8.0434585498397908</c:v>
                </c:pt>
                <c:pt idx="14">
                  <c:v>8.067215019685344</c:v>
                </c:pt>
                <c:pt idx="15">
                  <c:v>8.067215019685344</c:v>
                </c:pt>
                <c:pt idx="16">
                  <c:v>8.0434585498397908</c:v>
                </c:pt>
                <c:pt idx="17">
                  <c:v>7.9988109910202105</c:v>
                </c:pt>
                <c:pt idx="18">
                  <c:v>7.9386574977480358</c:v>
                </c:pt>
                <c:pt idx="19">
                  <c:v>7.8702534690829022</c:v>
                </c:pt>
              </c:numCache>
            </c:numRef>
          </c:yVal>
        </c:ser>
        <c:ser>
          <c:idx val="17"/>
          <c:order val="17"/>
          <c:tx>
            <c:v>c.g.</c:v>
          </c:tx>
          <c:marker>
            <c:symbol val="circle"/>
            <c:size val="14"/>
            <c:spPr>
              <a:solidFill>
                <a:srgbClr val="FF0000"/>
              </a:solidFill>
            </c:spPr>
          </c:marker>
          <c:xVal>
            <c:numRef>
              <c:f>'Dessin aménagé'!$V$14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Centrage!$B$58</c:f>
              <c:numCache>
                <c:formatCode>0.00</c:formatCode>
                <c:ptCount val="1"/>
                <c:pt idx="0">
                  <c:v>8.4032171320388223</c:v>
                </c:pt>
              </c:numCache>
            </c:numRef>
          </c:yVal>
        </c:ser>
        <c:ser>
          <c:idx val="18"/>
          <c:order val="18"/>
          <c:tx>
            <c:v>Foyer</c:v>
          </c:tx>
          <c:marker>
            <c:symbol val="diamond"/>
            <c:size val="13"/>
            <c:spPr>
              <a:solidFill>
                <a:srgbClr val="00B050"/>
              </a:solidFill>
            </c:spPr>
          </c:marker>
          <c:xVal>
            <c:numRef>
              <c:f>'Dessin aménagé'!$V$14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'Marge statique'!$B$28</c:f>
              <c:numCache>
                <c:formatCode>0.00000</c:formatCode>
                <c:ptCount val="1"/>
                <c:pt idx="0">
                  <c:v>8.5125703511276036</c:v>
                </c:pt>
              </c:numCache>
            </c:numRef>
          </c:yVal>
        </c:ser>
        <c:axId val="75635712"/>
        <c:axId val="75658368"/>
      </c:scatterChart>
      <c:valAx>
        <c:axId val="75635712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75658368"/>
        <c:crosses val="autoZero"/>
        <c:crossBetween val="midCat"/>
      </c:valAx>
      <c:valAx>
        <c:axId val="75658368"/>
        <c:scaling>
          <c:orientation val="minMax"/>
        </c:scaling>
        <c:axPos val="l"/>
        <c:numFmt formatCode="General" sourceLinked="1"/>
        <c:tickLblPos val="nextTo"/>
        <c:crossAx val="75635712"/>
        <c:crosses val="autoZero"/>
        <c:crossBetween val="midCat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072" footer="0.4921259845000007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de-DE"/>
              <a:t>Vue de profil</a:t>
            </a:r>
          </a:p>
        </c:rich>
      </c:tx>
      <c:layout>
        <c:manualLayout>
          <c:xMode val="edge"/>
          <c:yMode val="edge"/>
          <c:x val="0.4460431654676259"/>
          <c:y val="2.997850702188238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1.5887290167865709E-2"/>
          <c:y val="0.11692584669690854"/>
          <c:w val="0.9748201438848938"/>
          <c:h val="0.86765989511426822"/>
        </c:manualLayout>
      </c:layout>
      <c:scatterChart>
        <c:scatterStyle val="lineMarker"/>
        <c:ser>
          <c:idx val="0"/>
          <c:order val="0"/>
          <c:tx>
            <c:v>Moteur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'Dessin aménagé'!$AD$36:$AD$75</c:f>
              <c:numCache>
                <c:formatCode>General</c:formatCode>
                <c:ptCount val="40"/>
                <c:pt idx="0">
                  <c:v>9.922369222669106</c:v>
                </c:pt>
                <c:pt idx="1">
                  <c:v>10.752369222669106</c:v>
                </c:pt>
                <c:pt idx="2">
                  <c:v>12.809551761968912</c:v>
                </c:pt>
                <c:pt idx="3">
                  <c:v>13.309551761968912</c:v>
                </c:pt>
                <c:pt idx="4">
                  <c:v>13.309551761968912</c:v>
                </c:pt>
                <c:pt idx="5">
                  <c:v>12.809551761968912</c:v>
                </c:pt>
                <c:pt idx="6">
                  <c:v>10.752369222669106</c:v>
                </c:pt>
                <c:pt idx="7">
                  <c:v>9.922369222669106</c:v>
                </c:pt>
                <c:pt idx="8">
                  <c:v>9.922369222669106</c:v>
                </c:pt>
              </c:numCache>
            </c:numRef>
          </c:xVal>
          <c:yVal>
            <c:numRef>
              <c:f>'Dessin aménagé'!$AE$36:$AE$75</c:f>
              <c:numCache>
                <c:formatCode>General</c:formatCode>
                <c:ptCount val="40"/>
                <c:pt idx="0">
                  <c:v>1.4600056978868756</c:v>
                </c:pt>
                <c:pt idx="1">
                  <c:v>1.3809256738371043</c:v>
                </c:pt>
                <c:pt idx="2">
                  <c:v>1.3809256738371043</c:v>
                </c:pt>
                <c:pt idx="3">
                  <c:v>1.4224734326469488</c:v>
                </c:pt>
                <c:pt idx="4">
                  <c:v>2.1703330912241512</c:v>
                </c:pt>
                <c:pt idx="5">
                  <c:v>2.2118808500339955</c:v>
                </c:pt>
                <c:pt idx="6">
                  <c:v>2.2118808500339955</c:v>
                </c:pt>
                <c:pt idx="7">
                  <c:v>2.1328008259842242</c:v>
                </c:pt>
                <c:pt idx="8">
                  <c:v>1.4600056978868756</c:v>
                </c:pt>
              </c:numCache>
            </c:numRef>
          </c:yVal>
        </c:ser>
        <c:ser>
          <c:idx val="1"/>
          <c:order val="1"/>
          <c:tx>
            <c:v>Fuselage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'Dessin aménagé'!$AD$14:$AD$19</c:f>
              <c:numCache>
                <c:formatCode>General</c:formatCode>
                <c:ptCount val="6"/>
                <c:pt idx="0">
                  <c:v>0</c:v>
                </c:pt>
                <c:pt idx="1">
                  <c:v>1.5</c:v>
                </c:pt>
                <c:pt idx="2">
                  <c:v>14.309551761968912</c:v>
                </c:pt>
                <c:pt idx="3">
                  <c:v>14.309551761968912</c:v>
                </c:pt>
                <c:pt idx="4">
                  <c:v>1.5</c:v>
                </c:pt>
                <c:pt idx="5">
                  <c:v>0</c:v>
                </c:pt>
              </c:numCache>
            </c:numRef>
          </c:xVal>
          <c:yVal>
            <c:numRef>
              <c:f>'Dessin aménagé'!$AE$14:$AE$19</c:f>
              <c:numCache>
                <c:formatCode>General</c:formatCode>
                <c:ptCount val="6"/>
                <c:pt idx="0">
                  <c:v>0.71547758809844564</c:v>
                </c:pt>
                <c:pt idx="1">
                  <c:v>1.4309551761968913</c:v>
                </c:pt>
                <c:pt idx="2">
                  <c:v>1.4309551761968913</c:v>
                </c:pt>
                <c:pt idx="3">
                  <c:v>0</c:v>
                </c:pt>
                <c:pt idx="4">
                  <c:v>0</c:v>
                </c:pt>
                <c:pt idx="5">
                  <c:v>0.71547758809844564</c:v>
                </c:pt>
              </c:numCache>
            </c:numRef>
          </c:yVal>
        </c:ser>
        <c:ser>
          <c:idx val="2"/>
          <c:order val="2"/>
          <c:tx>
            <c:v>Empennage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'Dessin aménagé'!$AD$78:$AD$81</c:f>
              <c:numCache>
                <c:formatCode>General</c:formatCode>
                <c:ptCount val="4"/>
                <c:pt idx="0">
                  <c:v>12.48407467088173</c:v>
                </c:pt>
                <c:pt idx="1">
                  <c:v>13.550699636464891</c:v>
                </c:pt>
                <c:pt idx="2">
                  <c:v>14.593829402800424</c:v>
                </c:pt>
                <c:pt idx="3">
                  <c:v>14.309551761968912</c:v>
                </c:pt>
              </c:numCache>
            </c:numRef>
          </c:xVal>
          <c:yVal>
            <c:numRef>
              <c:f>'Dessin aménagé'!$AE$78:$AE$81</c:f>
              <c:numCache>
                <c:formatCode>General</c:formatCode>
                <c:ptCount val="4"/>
                <c:pt idx="0">
                  <c:v>1.4309551761968913</c:v>
                </c:pt>
                <c:pt idx="1">
                  <c:v>10.054769044240524</c:v>
                </c:pt>
                <c:pt idx="2">
                  <c:v>10.054769044240524</c:v>
                </c:pt>
                <c:pt idx="3">
                  <c:v>1.4309551761968913</c:v>
                </c:pt>
              </c:numCache>
            </c:numRef>
          </c:yVal>
        </c:ser>
        <c:ser>
          <c:idx val="3"/>
          <c:order val="3"/>
          <c:tx>
            <c:v>Réservoire fuselage</c:v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'Dessin aménagé'!$AD$118:$AD$122</c:f>
              <c:numCache>
                <c:formatCode>General</c:formatCode>
                <c:ptCount val="5"/>
                <c:pt idx="0">
                  <c:v>7.8038199668681942</c:v>
                </c:pt>
                <c:pt idx="1">
                  <c:v>7.8038199668681942</c:v>
                </c:pt>
                <c:pt idx="2">
                  <c:v>10.303819966868193</c:v>
                </c:pt>
                <c:pt idx="3">
                  <c:v>10.303819966868193</c:v>
                </c:pt>
                <c:pt idx="4">
                  <c:v>7.8038199668681942</c:v>
                </c:pt>
              </c:numCache>
            </c:numRef>
          </c:xVal>
          <c:yVal>
            <c:numRef>
              <c:f>'Dessin aménagé'!$AE$118:$AE$122</c:f>
              <c:numCache>
                <c:formatCode>General</c:formatCode>
                <c:ptCount val="5"/>
                <c:pt idx="0">
                  <c:v>0</c:v>
                </c:pt>
                <c:pt idx="1">
                  <c:v>1.4309551761968913</c:v>
                </c:pt>
                <c:pt idx="2">
                  <c:v>1.4309551761968913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</c:ser>
        <c:ser>
          <c:idx val="4"/>
          <c:order val="4"/>
          <c:tx>
            <c:v>Satcom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'Dessin aménagé'!$AD$218:$AD$222</c:f>
              <c:numCache>
                <c:formatCode>General</c:formatCode>
                <c:ptCount val="5"/>
                <c:pt idx="0">
                  <c:v>4.7</c:v>
                </c:pt>
                <c:pt idx="1">
                  <c:v>4.7</c:v>
                </c:pt>
                <c:pt idx="2">
                  <c:v>5.7</c:v>
                </c:pt>
                <c:pt idx="3">
                  <c:v>5.7</c:v>
                </c:pt>
                <c:pt idx="4">
                  <c:v>4.7</c:v>
                </c:pt>
              </c:numCache>
            </c:numRef>
          </c:xVal>
          <c:yVal>
            <c:numRef>
              <c:f>'Dessin aménagé'!$AE$218:$AE$222</c:f>
              <c:numCache>
                <c:formatCode>General</c:formatCode>
                <c:ptCount val="5"/>
                <c:pt idx="0">
                  <c:v>0.21547758809844564</c:v>
                </c:pt>
                <c:pt idx="1">
                  <c:v>1.2154775880984456</c:v>
                </c:pt>
                <c:pt idx="2">
                  <c:v>1.2154775880984456</c:v>
                </c:pt>
                <c:pt idx="3">
                  <c:v>0.21547758809844564</c:v>
                </c:pt>
                <c:pt idx="4">
                  <c:v>0.21547758809844564</c:v>
                </c:pt>
              </c:numCache>
            </c:numRef>
          </c:yVal>
        </c:ser>
        <c:ser>
          <c:idx val="5"/>
          <c:order val="5"/>
          <c:tx>
            <c:v>Ecoute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'Dessin aménagé'!$AD$210:$AD$214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4.625</c:v>
                </c:pt>
                <c:pt idx="3">
                  <c:v>4.625</c:v>
                </c:pt>
                <c:pt idx="4">
                  <c:v>1.5</c:v>
                </c:pt>
              </c:numCache>
            </c:numRef>
          </c:xVal>
          <c:yVal>
            <c:numRef>
              <c:f>'Dessin aménagé'!$AE$210:$AE$214</c:f>
              <c:numCache>
                <c:formatCode>General</c:formatCode>
                <c:ptCount val="5"/>
                <c:pt idx="0">
                  <c:v>0.51547758809844557</c:v>
                </c:pt>
                <c:pt idx="1">
                  <c:v>1.3154775880984455</c:v>
                </c:pt>
                <c:pt idx="2">
                  <c:v>1.3154775880984455</c:v>
                </c:pt>
                <c:pt idx="3">
                  <c:v>0.51547758809844557</c:v>
                </c:pt>
                <c:pt idx="4">
                  <c:v>0.51547758809844557</c:v>
                </c:pt>
              </c:numCache>
            </c:numRef>
          </c:yVal>
        </c:ser>
        <c:ser>
          <c:idx val="6"/>
          <c:order val="6"/>
          <c:tx>
            <c:v>Radar</c:v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'Dessin aménagé'!$AD$196:$AD$200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3.5</c:v>
                </c:pt>
                <c:pt idx="3">
                  <c:v>3.5</c:v>
                </c:pt>
                <c:pt idx="4">
                  <c:v>1.5</c:v>
                </c:pt>
              </c:numCache>
            </c:numRef>
          </c:xVal>
          <c:yVal>
            <c:numRef>
              <c:f>'Dessin aménagé'!$AE$196:$AE$200</c:f>
              <c:numCache>
                <c:formatCode>General</c:formatCode>
                <c:ptCount val="5"/>
                <c:pt idx="0">
                  <c:v>1.5477588098445627E-2</c:v>
                </c:pt>
                <c:pt idx="1">
                  <c:v>0.41547758809844565</c:v>
                </c:pt>
                <c:pt idx="2">
                  <c:v>0.41547758809844565</c:v>
                </c:pt>
                <c:pt idx="3">
                  <c:v>1.5477588098445627E-2</c:v>
                </c:pt>
                <c:pt idx="4">
                  <c:v>1.5477588098445627E-2</c:v>
                </c:pt>
              </c:numCache>
            </c:numRef>
          </c:yVal>
        </c:ser>
        <c:ser>
          <c:idx val="7"/>
          <c:order val="7"/>
          <c:tx>
            <c:v>Train principal</c:v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'Dessin aménagé'!$AD$128:$AD$147</c:f>
              <c:numCache>
                <c:formatCode>General</c:formatCode>
                <c:ptCount val="20"/>
                <c:pt idx="0">
                  <c:v>7.8702534690829022</c:v>
                </c:pt>
                <c:pt idx="1">
                  <c:v>7.8702534690829022</c:v>
                </c:pt>
                <c:pt idx="2">
                  <c:v>7.8018494404177687</c:v>
                </c:pt>
                <c:pt idx="3">
                  <c:v>7.7416959471455939</c:v>
                </c:pt>
                <c:pt idx="4">
                  <c:v>7.6970483883260146</c:v>
                </c:pt>
                <c:pt idx="5">
                  <c:v>7.6732919184804604</c:v>
                </c:pt>
                <c:pt idx="6">
                  <c:v>7.6732919184804604</c:v>
                </c:pt>
                <c:pt idx="7">
                  <c:v>7.6970483883260146</c:v>
                </c:pt>
                <c:pt idx="8">
                  <c:v>7.7416959471455939</c:v>
                </c:pt>
                <c:pt idx="9">
                  <c:v>7.8018494404177687</c:v>
                </c:pt>
                <c:pt idx="10">
                  <c:v>7.8702534690829022</c:v>
                </c:pt>
                <c:pt idx="11">
                  <c:v>7.9386574977480358</c:v>
                </c:pt>
                <c:pt idx="12">
                  <c:v>7.9988109910202105</c:v>
                </c:pt>
                <c:pt idx="13">
                  <c:v>8.0434585498397908</c:v>
                </c:pt>
                <c:pt idx="14">
                  <c:v>8.067215019685344</c:v>
                </c:pt>
                <c:pt idx="15">
                  <c:v>8.067215019685344</c:v>
                </c:pt>
                <c:pt idx="16">
                  <c:v>8.0434585498397908</c:v>
                </c:pt>
                <c:pt idx="17">
                  <c:v>7.9988109910202105</c:v>
                </c:pt>
                <c:pt idx="18">
                  <c:v>7.9386574977480358</c:v>
                </c:pt>
                <c:pt idx="19">
                  <c:v>7.8702534690829022</c:v>
                </c:pt>
              </c:numCache>
            </c:numRef>
          </c:xVal>
          <c:yVal>
            <c:numRef>
              <c:f>'Dessin aménagé'!$AE$128:$AE$147</c:f>
              <c:numCache>
                <c:formatCode>General</c:formatCode>
                <c:ptCount val="20"/>
                <c:pt idx="0">
                  <c:v>0</c:v>
                </c:pt>
                <c:pt idx="1">
                  <c:v>-0.6</c:v>
                </c:pt>
                <c:pt idx="2">
                  <c:v>-0.61206147584281834</c:v>
                </c:pt>
                <c:pt idx="3">
                  <c:v>-0.64679111137620438</c:v>
                </c:pt>
                <c:pt idx="4">
                  <c:v>-0.7</c:v>
                </c:pt>
                <c:pt idx="5">
                  <c:v>-0.76527036446661401</c:v>
                </c:pt>
                <c:pt idx="6">
                  <c:v>-0.83472963553338608</c:v>
                </c:pt>
                <c:pt idx="7">
                  <c:v>-0.9</c:v>
                </c:pt>
                <c:pt idx="8">
                  <c:v>-0.9532088886237956</c:v>
                </c:pt>
                <c:pt idx="9">
                  <c:v>-0.98793852415718175</c:v>
                </c:pt>
                <c:pt idx="10">
                  <c:v>-1</c:v>
                </c:pt>
                <c:pt idx="11">
                  <c:v>-0.98793852415718175</c:v>
                </c:pt>
                <c:pt idx="12">
                  <c:v>-0.95320888862379571</c:v>
                </c:pt>
                <c:pt idx="13">
                  <c:v>-0.90000000000000013</c:v>
                </c:pt>
                <c:pt idx="14">
                  <c:v>-0.83472963553338608</c:v>
                </c:pt>
                <c:pt idx="15">
                  <c:v>-0.76527036446661401</c:v>
                </c:pt>
                <c:pt idx="16">
                  <c:v>-0.7</c:v>
                </c:pt>
                <c:pt idx="17">
                  <c:v>-0.64679111137620449</c:v>
                </c:pt>
                <c:pt idx="18">
                  <c:v>-0.61206147584281834</c:v>
                </c:pt>
                <c:pt idx="19">
                  <c:v>-0.60000000000000009</c:v>
                </c:pt>
              </c:numCache>
            </c:numRef>
          </c:yVal>
        </c:ser>
        <c:ser>
          <c:idx val="8"/>
          <c:order val="8"/>
          <c:tx>
            <c:v>Train avant</c:v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'Dessin aménagé'!$AD$173:$AD$192</c:f>
              <c:numCache>
                <c:formatCode>General</c:formatCode>
                <c:ptCount val="20"/>
                <c:pt idx="0">
                  <c:v>2.8619103523937826</c:v>
                </c:pt>
                <c:pt idx="1">
                  <c:v>2.8619103523937826</c:v>
                </c:pt>
                <c:pt idx="2">
                  <c:v>2.7935063237286486</c:v>
                </c:pt>
                <c:pt idx="3">
                  <c:v>2.7333528304564747</c:v>
                </c:pt>
                <c:pt idx="4">
                  <c:v>2.6887052716368949</c:v>
                </c:pt>
                <c:pt idx="5">
                  <c:v>2.6649488017913407</c:v>
                </c:pt>
                <c:pt idx="6">
                  <c:v>2.6649488017913407</c:v>
                </c:pt>
                <c:pt idx="7">
                  <c:v>2.6887052716368949</c:v>
                </c:pt>
                <c:pt idx="8">
                  <c:v>2.7333528304564747</c:v>
                </c:pt>
                <c:pt idx="9">
                  <c:v>2.7935063237286486</c:v>
                </c:pt>
                <c:pt idx="10">
                  <c:v>2.8619103523937826</c:v>
                </c:pt>
                <c:pt idx="11">
                  <c:v>2.9303143810589161</c:v>
                </c:pt>
                <c:pt idx="12">
                  <c:v>2.9904678743310904</c:v>
                </c:pt>
                <c:pt idx="13">
                  <c:v>3.0351154331506702</c:v>
                </c:pt>
                <c:pt idx="14">
                  <c:v>3.0588719029962244</c:v>
                </c:pt>
                <c:pt idx="15">
                  <c:v>3.0588719029962244</c:v>
                </c:pt>
                <c:pt idx="16">
                  <c:v>3.0351154331506702</c:v>
                </c:pt>
                <c:pt idx="17">
                  <c:v>2.9904678743310904</c:v>
                </c:pt>
                <c:pt idx="18">
                  <c:v>2.9303143810589161</c:v>
                </c:pt>
                <c:pt idx="19">
                  <c:v>2.8619103523937826</c:v>
                </c:pt>
              </c:numCache>
            </c:numRef>
          </c:xVal>
          <c:yVal>
            <c:numRef>
              <c:f>'Dessin aménagé'!$AE$173:$AE$192</c:f>
              <c:numCache>
                <c:formatCode>General</c:formatCode>
                <c:ptCount val="20"/>
                <c:pt idx="0">
                  <c:v>0</c:v>
                </c:pt>
                <c:pt idx="1">
                  <c:v>-0.6</c:v>
                </c:pt>
                <c:pt idx="2">
                  <c:v>-0.61206147584281834</c:v>
                </c:pt>
                <c:pt idx="3">
                  <c:v>-0.64679111137620438</c:v>
                </c:pt>
                <c:pt idx="4">
                  <c:v>-0.7</c:v>
                </c:pt>
                <c:pt idx="5">
                  <c:v>-0.76527036446661401</c:v>
                </c:pt>
                <c:pt idx="6">
                  <c:v>-0.83472963553338608</c:v>
                </c:pt>
                <c:pt idx="7">
                  <c:v>-0.9</c:v>
                </c:pt>
                <c:pt idx="8">
                  <c:v>-0.9532088886237956</c:v>
                </c:pt>
                <c:pt idx="9">
                  <c:v>-0.98793852415718175</c:v>
                </c:pt>
                <c:pt idx="10">
                  <c:v>-1</c:v>
                </c:pt>
                <c:pt idx="11">
                  <c:v>-0.98793852415718175</c:v>
                </c:pt>
                <c:pt idx="12">
                  <c:v>-0.95320888862379571</c:v>
                </c:pt>
                <c:pt idx="13">
                  <c:v>-0.90000000000000013</c:v>
                </c:pt>
                <c:pt idx="14">
                  <c:v>-0.83472963553338608</c:v>
                </c:pt>
                <c:pt idx="15">
                  <c:v>-0.76527036446661401</c:v>
                </c:pt>
                <c:pt idx="16">
                  <c:v>-0.7</c:v>
                </c:pt>
                <c:pt idx="17">
                  <c:v>-0.64679111137620449</c:v>
                </c:pt>
                <c:pt idx="18">
                  <c:v>-0.61206147584281834</c:v>
                </c:pt>
                <c:pt idx="19">
                  <c:v>-0.60000000000000009</c:v>
                </c:pt>
              </c:numCache>
            </c:numRef>
          </c:yVal>
        </c:ser>
        <c:axId val="76433664"/>
        <c:axId val="76451840"/>
      </c:scatterChart>
      <c:valAx>
        <c:axId val="76433664"/>
        <c:scaling>
          <c:orientation val="minMax"/>
        </c:scaling>
        <c:delete val="1"/>
        <c:axPos val="b"/>
        <c:numFmt formatCode="General" sourceLinked="1"/>
        <c:tickLblPos val="none"/>
        <c:crossAx val="76451840"/>
        <c:crosses val="autoZero"/>
        <c:crossBetween val="midCat"/>
      </c:valAx>
      <c:valAx>
        <c:axId val="76451840"/>
        <c:scaling>
          <c:orientation val="minMax"/>
        </c:scaling>
        <c:delete val="1"/>
        <c:axPos val="l"/>
        <c:numFmt formatCode="General" sourceLinked="1"/>
        <c:tickLblPos val="none"/>
        <c:crossAx val="76433664"/>
        <c:crosses val="autoZero"/>
        <c:crossBetween val="midCat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072" footer="0.4921259845000007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de-DE"/>
              <a:t>Vue de face</a:t>
            </a:r>
          </a:p>
        </c:rich>
      </c:tx>
      <c:layout>
        <c:manualLayout>
          <c:xMode val="edge"/>
          <c:yMode val="edge"/>
          <c:x val="0.44304932735426089"/>
          <c:y val="4.182494233675335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4.4843049327354294E-3"/>
          <c:y val="0.23106146078014356"/>
          <c:w val="0.9766816143497794"/>
          <c:h val="0.73106331033717464"/>
        </c:manualLayout>
      </c:layout>
      <c:scatterChart>
        <c:scatterStyle val="lineMarker"/>
        <c:ser>
          <c:idx val="0"/>
          <c:order val="0"/>
          <c:tx>
            <c:v>Fuselage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'Dessin aménagé'!$Z$14:$Z$32</c:f>
              <c:numCache>
                <c:formatCode>General</c:formatCode>
                <c:ptCount val="19"/>
                <c:pt idx="0">
                  <c:v>0.71547758809844564</c:v>
                </c:pt>
                <c:pt idx="1">
                  <c:v>0.67232900987380906</c:v>
                </c:pt>
                <c:pt idx="2">
                  <c:v>0.54808763053898335</c:v>
                </c:pt>
                <c:pt idx="3">
                  <c:v>0.35773879404922287</c:v>
                </c:pt>
                <c:pt idx="4">
                  <c:v>0.12424137933482575</c:v>
                </c:pt>
                <c:pt idx="5">
                  <c:v>-0.12424137933482567</c:v>
                </c:pt>
                <c:pt idx="6">
                  <c:v>-0.35773879404922265</c:v>
                </c:pt>
                <c:pt idx="7">
                  <c:v>-0.54808763053898324</c:v>
                </c:pt>
                <c:pt idx="8">
                  <c:v>-0.67232900987380895</c:v>
                </c:pt>
                <c:pt idx="9">
                  <c:v>-0.71547758809844564</c:v>
                </c:pt>
                <c:pt idx="10">
                  <c:v>-0.67232900987380906</c:v>
                </c:pt>
                <c:pt idx="11">
                  <c:v>-0.54808763053898335</c:v>
                </c:pt>
                <c:pt idx="12">
                  <c:v>-0.35773879404922315</c:v>
                </c:pt>
                <c:pt idx="13">
                  <c:v>-0.12424137933482568</c:v>
                </c:pt>
                <c:pt idx="14">
                  <c:v>0.12424137933482543</c:v>
                </c:pt>
                <c:pt idx="15">
                  <c:v>0.35773879404922287</c:v>
                </c:pt>
                <c:pt idx="16">
                  <c:v>0.54808763053898313</c:v>
                </c:pt>
                <c:pt idx="17">
                  <c:v>0.67232900987380906</c:v>
                </c:pt>
                <c:pt idx="18">
                  <c:v>0.71547758809844564</c:v>
                </c:pt>
              </c:numCache>
            </c:numRef>
          </c:xVal>
          <c:yVal>
            <c:numRef>
              <c:f>'Dessin aménagé'!$AA$14:$AA$32</c:f>
              <c:numCache>
                <c:formatCode>General</c:formatCode>
                <c:ptCount val="19"/>
                <c:pt idx="0">
                  <c:v>0</c:v>
                </c:pt>
                <c:pt idx="1">
                  <c:v>0.24470774722773414</c:v>
                </c:pt>
                <c:pt idx="2">
                  <c:v>0.45990012863809016</c:v>
                </c:pt>
                <c:pt idx="3">
                  <c:v>0.61962176713167261</c:v>
                </c:pt>
                <c:pt idx="4">
                  <c:v>0.70460787586582441</c:v>
                </c:pt>
                <c:pt idx="5">
                  <c:v>0.70460787586582441</c:v>
                </c:pt>
                <c:pt idx="6">
                  <c:v>0.61962176713167272</c:v>
                </c:pt>
                <c:pt idx="7">
                  <c:v>0.45990012863809032</c:v>
                </c:pt>
                <c:pt idx="8">
                  <c:v>0.24470774722773425</c:v>
                </c:pt>
                <c:pt idx="9">
                  <c:v>8.7656626158055668E-17</c:v>
                </c:pt>
                <c:pt idx="10">
                  <c:v>-0.24470774722773411</c:v>
                </c:pt>
                <c:pt idx="11">
                  <c:v>-0.45990012863809016</c:v>
                </c:pt>
                <c:pt idx="12">
                  <c:v>-0.6196217671316725</c:v>
                </c:pt>
                <c:pt idx="13">
                  <c:v>-0.70460787586582441</c:v>
                </c:pt>
                <c:pt idx="14">
                  <c:v>-0.70460787586582441</c:v>
                </c:pt>
                <c:pt idx="15">
                  <c:v>-0.61962176713167261</c:v>
                </c:pt>
                <c:pt idx="16">
                  <c:v>-0.45990012863809043</c:v>
                </c:pt>
                <c:pt idx="17">
                  <c:v>-0.24470774722773406</c:v>
                </c:pt>
                <c:pt idx="18">
                  <c:v>-1.7531325231611134E-16</c:v>
                </c:pt>
              </c:numCache>
            </c:numRef>
          </c:yVal>
        </c:ser>
        <c:ser>
          <c:idx val="1"/>
          <c:order val="1"/>
          <c:tx>
            <c:v>Moteur 1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'Dessin aménagé'!$Z$36:$Z$54</c:f>
              <c:numCache>
                <c:formatCode>General</c:formatCode>
                <c:ptCount val="19"/>
                <c:pt idx="0">
                  <c:v>0.83095517619689141</c:v>
                </c:pt>
                <c:pt idx="1">
                  <c:v>0.80589881173648226</c:v>
                </c:pt>
                <c:pt idx="2">
                  <c:v>0.73375188570173555</c:v>
                </c:pt>
                <c:pt idx="3">
                  <c:v>0.62321638214766861</c:v>
                </c:pt>
                <c:pt idx="4">
                  <c:v>0.4876245141331923</c:v>
                </c:pt>
                <c:pt idx="5">
                  <c:v>0.34333066206369911</c:v>
                </c:pt>
                <c:pt idx="6">
                  <c:v>0.20773879404922296</c:v>
                </c:pt>
                <c:pt idx="7">
                  <c:v>9.7203290495155803E-2</c:v>
                </c:pt>
                <c:pt idx="8">
                  <c:v>2.5056364460409208E-2</c:v>
                </c:pt>
                <c:pt idx="9">
                  <c:v>0</c:v>
                </c:pt>
                <c:pt idx="10">
                  <c:v>2.5056364460409153E-2</c:v>
                </c:pt>
                <c:pt idx="11">
                  <c:v>9.7203290495155803E-2</c:v>
                </c:pt>
                <c:pt idx="12">
                  <c:v>0.20773879404922269</c:v>
                </c:pt>
                <c:pt idx="13">
                  <c:v>0.34333066206369911</c:v>
                </c:pt>
                <c:pt idx="14">
                  <c:v>0.48762451413319213</c:v>
                </c:pt>
                <c:pt idx="15">
                  <c:v>0.62321638214766861</c:v>
                </c:pt>
                <c:pt idx="16">
                  <c:v>0.73375188570173555</c:v>
                </c:pt>
                <c:pt idx="17">
                  <c:v>0.80589881173648226</c:v>
                </c:pt>
                <c:pt idx="18">
                  <c:v>0.83095517619689141</c:v>
                </c:pt>
              </c:numCache>
            </c:numRef>
          </c:xVal>
          <c:yVal>
            <c:numRef>
              <c:f>'Dessin aménagé'!$AA$36:$AA$54</c:f>
              <c:numCache>
                <c:formatCode>General</c:formatCode>
                <c:ptCount val="19"/>
                <c:pt idx="0">
                  <c:v>1.0518735591098578</c:v>
                </c:pt>
                <c:pt idx="1">
                  <c:v>1.1939752633398912</c:v>
                </c:pt>
                <c:pt idx="2">
                  <c:v>1.3189374048419862</c:v>
                </c:pt>
                <c:pt idx="3">
                  <c:v>1.4116877051061989</c:v>
                </c:pt>
                <c:pt idx="4">
                  <c:v>1.4610391090720198</c:v>
                </c:pt>
                <c:pt idx="5">
                  <c:v>1.4610391090720198</c:v>
                </c:pt>
                <c:pt idx="6">
                  <c:v>1.4116877051061989</c:v>
                </c:pt>
                <c:pt idx="7">
                  <c:v>1.3189374048419862</c:v>
                </c:pt>
                <c:pt idx="8">
                  <c:v>1.1939752633398915</c:v>
                </c:pt>
                <c:pt idx="9">
                  <c:v>1.0518735591098578</c:v>
                </c:pt>
                <c:pt idx="10">
                  <c:v>0.90977185487982426</c:v>
                </c:pt>
                <c:pt idx="11">
                  <c:v>0.78480971337772942</c:v>
                </c:pt>
                <c:pt idx="12">
                  <c:v>0.69205941311351682</c:v>
                </c:pt>
                <c:pt idx="13">
                  <c:v>0.64270800914769577</c:v>
                </c:pt>
                <c:pt idx="14">
                  <c:v>0.64270800914769577</c:v>
                </c:pt>
                <c:pt idx="15">
                  <c:v>0.69205941311351671</c:v>
                </c:pt>
                <c:pt idx="16">
                  <c:v>0.7848097133777292</c:v>
                </c:pt>
                <c:pt idx="17">
                  <c:v>0.90977185487982437</c:v>
                </c:pt>
                <c:pt idx="18">
                  <c:v>1.0518735591098578</c:v>
                </c:pt>
              </c:numCache>
            </c:numRef>
          </c:yVal>
        </c:ser>
        <c:ser>
          <c:idx val="2"/>
          <c:order val="2"/>
          <c:tx>
            <c:v>Moteur 2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xVal>
            <c:numRef>
              <c:f>'Dessin aménagé'!$Z$56:$Z$74</c:f>
              <c:numCache>
                <c:formatCode>General</c:formatCode>
                <c:ptCount val="19"/>
                <c:pt idx="0">
                  <c:v>-0.83095517619689141</c:v>
                </c:pt>
                <c:pt idx="1">
                  <c:v>-0.80589881173648226</c:v>
                </c:pt>
                <c:pt idx="2">
                  <c:v>-0.73375188570173555</c:v>
                </c:pt>
                <c:pt idx="3">
                  <c:v>-0.62321638214766861</c:v>
                </c:pt>
                <c:pt idx="4">
                  <c:v>-0.4876245141331923</c:v>
                </c:pt>
                <c:pt idx="5">
                  <c:v>-0.34333066206369911</c:v>
                </c:pt>
                <c:pt idx="6">
                  <c:v>-0.20773879404922296</c:v>
                </c:pt>
                <c:pt idx="7">
                  <c:v>-9.7203290495155803E-2</c:v>
                </c:pt>
                <c:pt idx="8">
                  <c:v>-2.5056364460409208E-2</c:v>
                </c:pt>
                <c:pt idx="9">
                  <c:v>0</c:v>
                </c:pt>
                <c:pt idx="10">
                  <c:v>-2.5056364460409153E-2</c:v>
                </c:pt>
                <c:pt idx="11">
                  <c:v>-9.7203290495155803E-2</c:v>
                </c:pt>
                <c:pt idx="12">
                  <c:v>-0.20773879404922269</c:v>
                </c:pt>
                <c:pt idx="13">
                  <c:v>-0.34333066206369911</c:v>
                </c:pt>
                <c:pt idx="14">
                  <c:v>-0.48762451413319213</c:v>
                </c:pt>
                <c:pt idx="15">
                  <c:v>-0.62321638214766861</c:v>
                </c:pt>
                <c:pt idx="16">
                  <c:v>-0.73375188570173555</c:v>
                </c:pt>
                <c:pt idx="17">
                  <c:v>-0.80589881173648226</c:v>
                </c:pt>
                <c:pt idx="18">
                  <c:v>-0.83095517619689141</c:v>
                </c:pt>
              </c:numCache>
            </c:numRef>
          </c:xVal>
          <c:yVal>
            <c:numRef>
              <c:f>'Dessin aménagé'!$AA$56:$AA$74</c:f>
              <c:numCache>
                <c:formatCode>General</c:formatCode>
                <c:ptCount val="19"/>
                <c:pt idx="0">
                  <c:v>1.0518735591098578</c:v>
                </c:pt>
                <c:pt idx="1">
                  <c:v>1.1939752633398912</c:v>
                </c:pt>
                <c:pt idx="2">
                  <c:v>1.3189374048419862</c:v>
                </c:pt>
                <c:pt idx="3">
                  <c:v>1.4116877051061989</c:v>
                </c:pt>
                <c:pt idx="4">
                  <c:v>1.4610391090720198</c:v>
                </c:pt>
                <c:pt idx="5">
                  <c:v>1.4610391090720198</c:v>
                </c:pt>
                <c:pt idx="6">
                  <c:v>1.4116877051061989</c:v>
                </c:pt>
                <c:pt idx="7">
                  <c:v>1.3189374048419862</c:v>
                </c:pt>
                <c:pt idx="8">
                  <c:v>1.1939752633398915</c:v>
                </c:pt>
                <c:pt idx="9">
                  <c:v>1.0518735591098578</c:v>
                </c:pt>
                <c:pt idx="10">
                  <c:v>0.90977185487982426</c:v>
                </c:pt>
                <c:pt idx="11">
                  <c:v>0.78480971337772942</c:v>
                </c:pt>
                <c:pt idx="12">
                  <c:v>0.69205941311351682</c:v>
                </c:pt>
                <c:pt idx="13">
                  <c:v>0.64270800914769577</c:v>
                </c:pt>
                <c:pt idx="14">
                  <c:v>0.64270800914769577</c:v>
                </c:pt>
                <c:pt idx="15">
                  <c:v>0.69205941311351671</c:v>
                </c:pt>
                <c:pt idx="16">
                  <c:v>0.7848097133777292</c:v>
                </c:pt>
                <c:pt idx="17">
                  <c:v>0.90977185487982437</c:v>
                </c:pt>
                <c:pt idx="18">
                  <c:v>1.0518735591098578</c:v>
                </c:pt>
              </c:numCache>
            </c:numRef>
          </c:yVal>
        </c:ser>
        <c:ser>
          <c:idx val="3"/>
          <c:order val="3"/>
          <c:tx>
            <c:v>Voilure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'Dessin aménagé'!$Z$90:$Z$95</c:f>
              <c:numCache>
                <c:formatCode>General</c:formatCode>
                <c:ptCount val="6"/>
                <c:pt idx="0">
                  <c:v>0</c:v>
                </c:pt>
                <c:pt idx="1">
                  <c:v>30.109910085027607</c:v>
                </c:pt>
                <c:pt idx="2">
                  <c:v>30.109910085027607</c:v>
                </c:pt>
                <c:pt idx="3">
                  <c:v>-30.109910085027607</c:v>
                </c:pt>
                <c:pt idx="4">
                  <c:v>-30.109910085027607</c:v>
                </c:pt>
                <c:pt idx="5">
                  <c:v>0</c:v>
                </c:pt>
              </c:numCache>
            </c:numRef>
          </c:xVal>
          <c:yVal>
            <c:numRef>
              <c:f>'Dessin aménagé'!$AA$90:$AA$95</c:f>
              <c:numCache>
                <c:formatCode>General</c:formatCode>
                <c:ptCount val="6"/>
                <c:pt idx="0">
                  <c:v>-0.3105035807970557</c:v>
                </c:pt>
                <c:pt idx="1">
                  <c:v>-0.56158746532391746</c:v>
                </c:pt>
                <c:pt idx="2">
                  <c:v>-0.71547758809844564</c:v>
                </c:pt>
                <c:pt idx="3">
                  <c:v>-0.71547758809844564</c:v>
                </c:pt>
                <c:pt idx="4">
                  <c:v>-0.56158746532391746</c:v>
                </c:pt>
                <c:pt idx="5">
                  <c:v>-0.3105035807970557</c:v>
                </c:pt>
              </c:numCache>
            </c:numRef>
          </c:yVal>
        </c:ser>
        <c:ser>
          <c:idx val="4"/>
          <c:order val="4"/>
          <c:tx>
            <c:v>Train principal 1</c:v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'Dessin aménagé'!$Z$128:$Z$134</c:f>
              <c:numCache>
                <c:formatCode>General</c:formatCode>
                <c:ptCount val="7"/>
                <c:pt idx="0">
                  <c:v>1.1154775880984458</c:v>
                </c:pt>
                <c:pt idx="1">
                  <c:v>1.1154775880984458</c:v>
                </c:pt>
                <c:pt idx="2">
                  <c:v>1.3654775880984458</c:v>
                </c:pt>
                <c:pt idx="3">
                  <c:v>1.3654775880984458</c:v>
                </c:pt>
                <c:pt idx="4">
                  <c:v>0.86547758809844577</c:v>
                </c:pt>
                <c:pt idx="5">
                  <c:v>0.86547758809844577</c:v>
                </c:pt>
                <c:pt idx="6">
                  <c:v>1.1154775880984458</c:v>
                </c:pt>
              </c:numCache>
            </c:numRef>
          </c:xVal>
          <c:yVal>
            <c:numRef>
              <c:f>'Dessin aménagé'!$AA$128:$AA$134</c:f>
              <c:numCache>
                <c:formatCode>General</c:formatCode>
                <c:ptCount val="7"/>
                <c:pt idx="0">
                  <c:v>-0.71547758809844564</c:v>
                </c:pt>
                <c:pt idx="1">
                  <c:v>-1.3154775880984455</c:v>
                </c:pt>
                <c:pt idx="2">
                  <c:v>-1.3154775880984455</c:v>
                </c:pt>
                <c:pt idx="3">
                  <c:v>-1.7154775880984454</c:v>
                </c:pt>
                <c:pt idx="4">
                  <c:v>-1.7154775880984454</c:v>
                </c:pt>
                <c:pt idx="5">
                  <c:v>-1.3154775880984455</c:v>
                </c:pt>
                <c:pt idx="6">
                  <c:v>-1.3154775880984455</c:v>
                </c:pt>
              </c:numCache>
            </c:numRef>
          </c:yVal>
        </c:ser>
        <c:ser>
          <c:idx val="5"/>
          <c:order val="5"/>
          <c:tx>
            <c:v>Train principal 2</c:v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'Dessin aménagé'!$Z$150:$Z$156</c:f>
              <c:numCache>
                <c:formatCode>General</c:formatCode>
                <c:ptCount val="7"/>
                <c:pt idx="0">
                  <c:v>-1.1154775880984458</c:v>
                </c:pt>
                <c:pt idx="1">
                  <c:v>-1.1154775880984458</c:v>
                </c:pt>
                <c:pt idx="2">
                  <c:v>-1.3654775880984458</c:v>
                </c:pt>
                <c:pt idx="3">
                  <c:v>-1.3654775880984458</c:v>
                </c:pt>
                <c:pt idx="4">
                  <c:v>-0.86547758809844577</c:v>
                </c:pt>
                <c:pt idx="5">
                  <c:v>-0.86547758809844577</c:v>
                </c:pt>
                <c:pt idx="6">
                  <c:v>-1.1154775880984458</c:v>
                </c:pt>
              </c:numCache>
            </c:numRef>
          </c:xVal>
          <c:yVal>
            <c:numRef>
              <c:f>'Dessin aménagé'!$AA$150:$AA$156</c:f>
              <c:numCache>
                <c:formatCode>General</c:formatCode>
                <c:ptCount val="7"/>
                <c:pt idx="0">
                  <c:v>-0.71547758809844564</c:v>
                </c:pt>
                <c:pt idx="1">
                  <c:v>-1.3154775880984455</c:v>
                </c:pt>
                <c:pt idx="2">
                  <c:v>-1.3154775880984455</c:v>
                </c:pt>
                <c:pt idx="3">
                  <c:v>-1.7154775880984454</c:v>
                </c:pt>
                <c:pt idx="4">
                  <c:v>-1.7154775880984454</c:v>
                </c:pt>
                <c:pt idx="5">
                  <c:v>-1.3154775880984455</c:v>
                </c:pt>
                <c:pt idx="6">
                  <c:v>-1.3154775880984455</c:v>
                </c:pt>
              </c:numCache>
            </c:numRef>
          </c:yVal>
        </c:ser>
        <c:ser>
          <c:idx val="6"/>
          <c:order val="6"/>
          <c:tx>
            <c:v>Empennage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'Dessin aménagé'!$Z$78:$Z$84</c:f>
              <c:numCache>
                <c:formatCode>General</c:formatCode>
                <c:ptCount val="7"/>
                <c:pt idx="0">
                  <c:v>0</c:v>
                </c:pt>
                <c:pt idx="1">
                  <c:v>7.8365960163059407</c:v>
                </c:pt>
                <c:pt idx="2">
                  <c:v>7.8365960163059407</c:v>
                </c:pt>
                <c:pt idx="3">
                  <c:v>0</c:v>
                </c:pt>
                <c:pt idx="4">
                  <c:v>-7.8365960163059407</c:v>
                </c:pt>
                <c:pt idx="5">
                  <c:v>-7.8365960163059407</c:v>
                </c:pt>
                <c:pt idx="6">
                  <c:v>0</c:v>
                </c:pt>
              </c:numCache>
            </c:numRef>
          </c:xVal>
          <c:yVal>
            <c:numRef>
              <c:f>'Dessin aménagé'!$AA$78:$AA$84</c:f>
              <c:numCache>
                <c:formatCode>General</c:formatCode>
                <c:ptCount val="7"/>
                <c:pt idx="0">
                  <c:v>0</c:v>
                </c:pt>
                <c:pt idx="1">
                  <c:v>9.3392914561420781</c:v>
                </c:pt>
                <c:pt idx="2">
                  <c:v>9.433173135112277</c:v>
                </c:pt>
                <c:pt idx="3">
                  <c:v>0.16429293819784638</c:v>
                </c:pt>
                <c:pt idx="4">
                  <c:v>9.433173135112277</c:v>
                </c:pt>
                <c:pt idx="5">
                  <c:v>9.3392914561420781</c:v>
                </c:pt>
                <c:pt idx="6">
                  <c:v>0</c:v>
                </c:pt>
              </c:numCache>
            </c:numRef>
          </c:yVal>
        </c:ser>
        <c:ser>
          <c:idx val="7"/>
          <c:order val="7"/>
          <c:tx>
            <c:v>Train avant</c:v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'Dessin aménagé'!$Z$173:$Z$179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-0.25</c:v>
                </c:pt>
                <c:pt idx="5">
                  <c:v>-0.25</c:v>
                </c:pt>
                <c:pt idx="6">
                  <c:v>0</c:v>
                </c:pt>
              </c:numCache>
            </c:numRef>
          </c:xVal>
          <c:yVal>
            <c:numRef>
              <c:f>'Dessin aménagé'!$AA$173:$AA$179</c:f>
              <c:numCache>
                <c:formatCode>General</c:formatCode>
                <c:ptCount val="7"/>
                <c:pt idx="0">
                  <c:v>-0.71547758809844564</c:v>
                </c:pt>
                <c:pt idx="1">
                  <c:v>-1.3154775880984455</c:v>
                </c:pt>
                <c:pt idx="2">
                  <c:v>-1.3154775880984455</c:v>
                </c:pt>
                <c:pt idx="3">
                  <c:v>-1.7154775880984454</c:v>
                </c:pt>
                <c:pt idx="4">
                  <c:v>-1.7154775880984454</c:v>
                </c:pt>
                <c:pt idx="5">
                  <c:v>-1.3154775880984455</c:v>
                </c:pt>
                <c:pt idx="6">
                  <c:v>-1.3154775880984455</c:v>
                </c:pt>
              </c:numCache>
            </c:numRef>
          </c:yVal>
        </c:ser>
        <c:axId val="76464896"/>
        <c:axId val="76466432"/>
      </c:scatterChart>
      <c:valAx>
        <c:axId val="76464896"/>
        <c:scaling>
          <c:orientation val="minMax"/>
        </c:scaling>
        <c:delete val="1"/>
        <c:axPos val="b"/>
        <c:numFmt formatCode="General" sourceLinked="1"/>
        <c:tickLblPos val="none"/>
        <c:crossAx val="76466432"/>
        <c:crosses val="autoZero"/>
        <c:crossBetween val="midCat"/>
      </c:valAx>
      <c:valAx>
        <c:axId val="76466432"/>
        <c:scaling>
          <c:orientation val="minMax"/>
        </c:scaling>
        <c:delete val="1"/>
        <c:axPos val="l"/>
        <c:numFmt formatCode="General" sourceLinked="1"/>
        <c:tickLblPos val="none"/>
        <c:crossAx val="76464896"/>
        <c:crosses val="autoZero"/>
        <c:crossBetween val="midCat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56" l="0.78740157499999996" r="0.78740157499999996" t="0.98425196899999956" header="0.49212598450000072" footer="0.4921259845000007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5.xml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61</xdr:row>
      <xdr:rowOff>19050</xdr:rowOff>
    </xdr:from>
    <xdr:to>
      <xdr:col>8</xdr:col>
      <xdr:colOff>838200</xdr:colOff>
      <xdr:row>99</xdr:row>
      <xdr:rowOff>123825</xdr:rowOff>
    </xdr:to>
    <xdr:graphicFrame macro="">
      <xdr:nvGraphicFramePr>
        <xdr:cNvPr id="3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46</xdr:row>
      <xdr:rowOff>85725</xdr:rowOff>
    </xdr:from>
    <xdr:to>
      <xdr:col>3</xdr:col>
      <xdr:colOff>723900</xdr:colOff>
      <xdr:row>68</xdr:row>
      <xdr:rowOff>142875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219075</xdr:colOff>
      <xdr:row>87</xdr:row>
      <xdr:rowOff>28574</xdr:rowOff>
    </xdr:from>
    <xdr:to>
      <xdr:col>2</xdr:col>
      <xdr:colOff>266700</xdr:colOff>
      <xdr:row>111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9525</xdr:colOff>
      <xdr:row>85</xdr:row>
      <xdr:rowOff>9525</xdr:rowOff>
    </xdr:from>
    <xdr:to>
      <xdr:col>12</xdr:col>
      <xdr:colOff>9525</xdr:colOff>
      <xdr:row>102</xdr:row>
      <xdr:rowOff>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30</xdr:col>
      <xdr:colOff>476250</xdr:colOff>
      <xdr:row>8</xdr:row>
      <xdr:rowOff>123825</xdr:rowOff>
    </xdr:from>
    <xdr:to>
      <xdr:col>31</xdr:col>
      <xdr:colOff>1790700</xdr:colOff>
      <xdr:row>11</xdr:row>
      <xdr:rowOff>85725</xdr:rowOff>
    </xdr:to>
    <xdr:pic>
      <xdr:nvPicPr>
        <xdr:cNvPr id="129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25279350" y="2066925"/>
          <a:ext cx="2381250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847725</xdr:colOff>
      <xdr:row>70</xdr:row>
      <xdr:rowOff>9525</xdr:rowOff>
    </xdr:from>
    <xdr:to>
      <xdr:col>3</xdr:col>
      <xdr:colOff>457200</xdr:colOff>
      <xdr:row>87</xdr:row>
      <xdr:rowOff>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19</xdr:row>
      <xdr:rowOff>28575</xdr:rowOff>
    </xdr:from>
    <xdr:to>
      <xdr:col>11</xdr:col>
      <xdr:colOff>142875</xdr:colOff>
      <xdr:row>41</xdr:row>
      <xdr:rowOff>152400</xdr:rowOff>
    </xdr:to>
    <xdr:graphicFrame macro="">
      <xdr:nvGraphicFramePr>
        <xdr:cNvPr id="157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43</xdr:row>
      <xdr:rowOff>9525</xdr:rowOff>
    </xdr:from>
    <xdr:to>
      <xdr:col>11</xdr:col>
      <xdr:colOff>161925</xdr:colOff>
      <xdr:row>73</xdr:row>
      <xdr:rowOff>95250</xdr:rowOff>
    </xdr:to>
    <xdr:graphicFrame macro="">
      <xdr:nvGraphicFramePr>
        <xdr:cNvPr id="157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74</xdr:row>
      <xdr:rowOff>28575</xdr:rowOff>
    </xdr:from>
    <xdr:to>
      <xdr:col>11</xdr:col>
      <xdr:colOff>190500</xdr:colOff>
      <xdr:row>89</xdr:row>
      <xdr:rowOff>114300</xdr:rowOff>
    </xdr:to>
    <xdr:graphicFrame macro="">
      <xdr:nvGraphicFramePr>
        <xdr:cNvPr id="1580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%20Drone%20HALE%20Lecrubier-Stadlberg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ditions de vol"/>
      <sheetName val="Géométrie"/>
      <sheetName val="Aerodynamique"/>
      <sheetName val="Masses"/>
      <sheetName val="Centrage"/>
      <sheetName val="Marge statique"/>
      <sheetName val="Calage voilure"/>
      <sheetName val="Performances"/>
      <sheetName val="Montée"/>
      <sheetName val="Croisière"/>
      <sheetName val="Descente"/>
      <sheetName val="Dessin aménag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>
        <row r="8">
          <cell r="R8">
            <v>0.05</v>
          </cell>
          <cell r="S8">
            <v>0.1</v>
          </cell>
          <cell r="T8">
            <v>0.15000000000000002</v>
          </cell>
          <cell r="U8">
            <v>0.2</v>
          </cell>
          <cell r="V8">
            <v>0.25</v>
          </cell>
          <cell r="W8">
            <v>0.3</v>
          </cell>
          <cell r="X8">
            <v>0.35</v>
          </cell>
          <cell r="Y8">
            <v>0.39999999999999997</v>
          </cell>
          <cell r="Z8">
            <v>0.44999999999999996</v>
          </cell>
          <cell r="AA8">
            <v>0.49999999999999994</v>
          </cell>
          <cell r="AB8">
            <v>0.54999999999999993</v>
          </cell>
          <cell r="AC8">
            <v>0.6</v>
          </cell>
          <cell r="AD8">
            <v>0.65</v>
          </cell>
          <cell r="AE8">
            <v>0.70000000000000007</v>
          </cell>
          <cell r="AF8">
            <v>0.75000000000000011</v>
          </cell>
          <cell r="AG8">
            <v>0.80000000000000016</v>
          </cell>
        </row>
        <row r="9">
          <cell r="P9">
            <v>0</v>
          </cell>
          <cell r="R9">
            <v>2.4578628823666189</v>
          </cell>
          <cell r="S9">
            <v>7.1974915487302029</v>
          </cell>
          <cell r="T9">
            <v>10.600289727174065</v>
          </cell>
          <cell r="U9">
            <v>13.02396619906845</v>
          </cell>
          <cell r="V9">
            <v>14.444504460668062</v>
          </cell>
          <cell r="W9">
            <v>14.774267127375012</v>
          </cell>
          <cell r="X9">
            <v>13.907439420062103</v>
          </cell>
          <cell r="Y9">
            <v>11.731390036653634</v>
          </cell>
          <cell r="Z9">
            <v>8.130458109319024</v>
          </cell>
          <cell r="AA9">
            <v>2.9874679873502736</v>
          </cell>
          <cell r="AB9">
            <v>-3.8155822251665357</v>
          </cell>
          <cell r="AC9">
            <v>-12.397176400515399</v>
          </cell>
          <cell r="AD9">
            <v>-22.876095011823452</v>
          </cell>
          <cell r="AE9">
            <v>-35.3713092041884</v>
          </cell>
          <cell r="AF9">
            <v>-50.001917237355002</v>
          </cell>
          <cell r="AG9">
            <v>-66.887104762387921</v>
          </cell>
        </row>
        <row r="10">
          <cell r="P10">
            <v>250</v>
          </cell>
          <cell r="R10">
            <v>2.2823537180784186</v>
          </cell>
          <cell r="S10">
            <v>6.9413161388499036</v>
          </cell>
          <cell r="T10">
            <v>10.267121792993061</v>
          </cell>
          <cell r="U10">
            <v>12.634391036103723</v>
          </cell>
          <cell r="V10">
            <v>14.025643184585665</v>
          </cell>
          <cell r="W10">
            <v>14.35804738164398</v>
          </cell>
          <cell r="X10">
            <v>13.530101292427013</v>
          </cell>
          <cell r="Y10">
            <v>11.433300777811805</v>
          </cell>
          <cell r="Z10">
            <v>7.9560297856659385</v>
          </cell>
          <cell r="AA10">
            <v>2.9851163073522908</v>
          </cell>
          <cell r="AB10">
            <v>-3.5934603693143203</v>
          </cell>
          <cell r="AC10">
            <v>-11.894216033588792</v>
          </cell>
          <cell r="AD10">
            <v>-22.031971137538079</v>
          </cell>
          <cell r="AE10">
            <v>-34.121741987894119</v>
          </cell>
          <cell r="AF10">
            <v>-48.278675461165385</v>
          </cell>
          <cell r="AG10">
            <v>-64.618008200581869</v>
          </cell>
        </row>
        <row r="11">
          <cell r="P11">
            <v>500</v>
          </cell>
          <cell r="R11">
            <v>2.1079511078457331</v>
          </cell>
          <cell r="S11">
            <v>6.6895238022579182</v>
          </cell>
          <cell r="T11">
            <v>9.9405252082028674</v>
          </cell>
          <cell r="U11">
            <v>12.252808681962096</v>
          </cell>
          <cell r="V11">
            <v>13.615407141610859</v>
          </cell>
          <cell r="W11">
            <v>13.950216765523376</v>
          </cell>
          <cell r="X11">
            <v>13.159951806444978</v>
          </cell>
          <cell r="Y11">
            <v>11.140133295010195</v>
          </cell>
          <cell r="Z11">
            <v>7.7830852742487169</v>
          </cell>
          <cell r="AA11">
            <v>2.9795332933878687</v>
          </cell>
          <cell r="AB11">
            <v>-3.3806690040554899</v>
          </cell>
          <cell r="AC11">
            <v>-11.408176586228839</v>
          </cell>
          <cell r="AD11">
            <v>-21.213957413073164</v>
          </cell>
          <cell r="AE11">
            <v>-32.909180653539579</v>
          </cell>
          <cell r="AF11">
            <v>-46.605149615919181</v>
          </cell>
          <cell r="AG11">
            <v>-62.413259829299427</v>
          </cell>
        </row>
        <row r="12">
          <cell r="P12">
            <v>750</v>
          </cell>
          <cell r="R12">
            <v>1.9345389264331683</v>
          </cell>
          <cell r="S12">
            <v>6.4419906631143409</v>
          </cell>
          <cell r="T12">
            <v>9.6203558416165755</v>
          </cell>
          <cell r="U12">
            <v>11.879061406422107</v>
          </cell>
          <cell r="V12">
            <v>13.213637375973873</v>
          </cell>
          <cell r="W12">
            <v>13.550630947708287</v>
          </cell>
          <cell r="X12">
            <v>12.796879941631305</v>
          </cell>
          <cell r="Y12">
            <v>10.85183116121247</v>
          </cell>
          <cell r="Z12">
            <v>7.6116465136828992</v>
          </cell>
          <cell r="AA12">
            <v>2.97084545815457</v>
          </cell>
          <cell r="AB12">
            <v>-3.1769484270529142</v>
          </cell>
          <cell r="AC12">
            <v>-10.938634160748757</v>
          </cell>
          <cell r="AD12">
            <v>-20.421432359975263</v>
          </cell>
          <cell r="AE12">
            <v>-31.73277038349606</v>
          </cell>
          <cell r="AF12">
            <v>-44.980213417888983</v>
          </cell>
          <cell r="AG12">
            <v>-60.27142140635415</v>
          </cell>
        </row>
        <row r="13">
          <cell r="P13">
            <v>1000</v>
          </cell>
          <cell r="R13">
            <v>1.7619985830734919</v>
          </cell>
          <cell r="S13">
            <v>6.1985923721687302</v>
          </cell>
          <cell r="T13">
            <v>9.306469931606884</v>
          </cell>
          <cell r="U13">
            <v>11.512992264173834</v>
          </cell>
          <cell r="V13">
            <v>12.820175818562854</v>
          </cell>
          <cell r="W13">
            <v>13.159146284451783</v>
          </cell>
          <cell r="X13">
            <v>12.440774848942619</v>
          </cell>
          <cell r="Y13">
            <v>10.568337260671418</v>
          </cell>
          <cell r="Z13">
            <v>7.4417335178449324</v>
          </cell>
          <cell r="AA13">
            <v>2.9591757434552646</v>
          </cell>
          <cell r="AB13">
            <v>-2.982044598713498</v>
          </cell>
          <cell r="AC13">
            <v>-10.485173096081876</v>
          </cell>
          <cell r="AD13">
            <v>-19.653785829119499</v>
          </cell>
          <cell r="AE13">
            <v>-30.591671338113127</v>
          </cell>
          <cell r="AF13">
            <v>-43.40275980322776</v>
          </cell>
          <cell r="AG13">
            <v>-58.191078782044585</v>
          </cell>
        </row>
        <row r="14">
          <cell r="P14">
            <v>1250</v>
          </cell>
          <cell r="R14">
            <v>1.5902088621410919</v>
          </cell>
          <cell r="S14">
            <v>5.9592040227252214</v>
          </cell>
          <cell r="T14">
            <v>8.9987240265365749</v>
          </cell>
          <cell r="U14">
            <v>11.154445048254152</v>
          </cell>
          <cell r="V14">
            <v>12.434865250087041</v>
          </cell>
          <cell r="W14">
            <v>12.775619792166028</v>
          </cell>
          <cell r="X14">
            <v>12.091525834028081</v>
          </cell>
          <cell r="Y14">
            <v>10.289593784987487</v>
          </cell>
          <cell r="Z14">
            <v>7.2733643875929168</v>
          </cell>
          <cell r="AA14">
            <v>2.9446435510102122</v>
          </cell>
          <cell r="AB14">
            <v>-2.7957090883490454</v>
          </cell>
          <cell r="AC14">
            <v>-10.047385886513275</v>
          </cell>
          <cell r="AD14">
            <v>-18.910418887166248</v>
          </cell>
          <cell r="AE14">
            <v>-29.485058504627364</v>
          </cell>
          <cell r="AF14">
            <v>-41.871700733639734</v>
          </cell>
          <cell r="AG14">
            <v>-56.170841655487777</v>
          </cell>
        </row>
        <row r="15">
          <cell r="P15">
            <v>1500</v>
          </cell>
          <cell r="R15">
            <v>1.4190457548554862</v>
          </cell>
          <cell r="S15">
            <v>5.7237000621211003</v>
          </cell>
          <cell r="T15">
            <v>8.6969749221925507</v>
          </cell>
          <cell r="U15">
            <v>10.803264241222948</v>
          </cell>
          <cell r="V15">
            <v>12.057549262412669</v>
          </cell>
          <cell r="W15">
            <v>12.399909118469997</v>
          </cell>
          <cell r="X15">
            <v>11.749022339105444</v>
          </cell>
          <cell r="Y15">
            <v>10.015542227905389</v>
          </cell>
          <cell r="Z15">
            <v>7.1065553212899006</v>
          </cell>
          <cell r="AA15">
            <v>2.9273647720959173</v>
          </cell>
          <cell r="AB15">
            <v>-2.6176990215213425</v>
          </cell>
          <cell r="AC15">
            <v>-9.6248731016376823</v>
          </cell>
          <cell r="AD15">
            <v>-18.1907437043172</v>
          </cell>
          <cell r="AE15">
            <v>-28.412121547473586</v>
          </cell>
          <cell r="AF15">
            <v>-40.385967003586991</v>
          </cell>
          <cell r="AG15">
            <v>-54.209343332652018</v>
          </cell>
        </row>
        <row r="16">
          <cell r="P16">
            <v>1750</v>
          </cell>
          <cell r="R16">
            <v>1.2483822814423156</v>
          </cell>
          <cell r="S16">
            <v>5.4919541984324471</v>
          </cell>
          <cell r="T16">
            <v>8.401079596032238</v>
          </cell>
          <cell r="U16">
            <v>10.459294963936854</v>
          </cell>
          <cell r="V16">
            <v>11.688072217956663</v>
          </cell>
          <cell r="W16">
            <v>12.031872511587901</v>
          </cell>
          <cell r="X16">
            <v>11.413153923379909</v>
          </cell>
          <cell r="Y16">
            <v>9.7461233787769341</v>
          </cell>
          <cell r="Z16">
            <v>6.9413206240654182</v>
          </cell>
          <cell r="AA16">
            <v>2.9074518159528981</v>
          </cell>
          <cell r="AB16">
            <v>-2.4477770286234195</v>
          </cell>
          <cell r="AC16">
            <v>-9.2172433075923301</v>
          </cell>
          <cell r="AD16">
            <v>-17.494183443415576</v>
          </cell>
          <cell r="AE16">
            <v>-27.37206466004033</v>
          </cell>
          <cell r="AF16">
            <v>-38.944508049070777</v>
          </cell>
          <cell r="AG16">
            <v>-52.305240486125243</v>
          </cell>
        </row>
        <row r="17">
          <cell r="P17">
            <v>2000</v>
          </cell>
          <cell r="R17">
            <v>1.0780883031394008</v>
          </cell>
          <cell r="S17">
            <v>5.2638393021007666</v>
          </cell>
          <cell r="T17">
            <v>8.1108951380385008</v>
          </cell>
          <cell r="U17">
            <v>10.122382921767688</v>
          </cell>
          <cell r="V17">
            <v>11.326279207015991</v>
          </cell>
          <cell r="W17">
            <v>11.671368787996505</v>
          </cell>
          <cell r="X17">
            <v>11.083810241918151</v>
          </cell>
          <cell r="Y17">
            <v>9.4812773146133047</v>
          </cell>
          <cell r="Z17">
            <v>6.7776727157469612</v>
          </cell>
          <cell r="AA17">
            <v>2.8850136369004526</v>
          </cell>
          <cell r="AB17">
            <v>-2.2857111947541782</v>
          </cell>
          <cell r="AC17">
            <v>-8.8241129896169763</v>
          </cell>
          <cell r="AD17">
            <v>-16.820172150440012</v>
          </cell>
          <cell r="AE17">
            <v>-26.364106417915991</v>
          </cell>
          <cell r="AF17">
            <v>-37.546291758031302</v>
          </cell>
          <cell r="AG17">
            <v>-50.457212916661852</v>
          </cell>
        </row>
        <row r="18">
          <cell r="P18">
            <v>2250</v>
          </cell>
          <cell r="R18">
            <v>0.90803032339191914</v>
          </cell>
          <cell r="S18">
            <v>5.0392273021525469</v>
          </cell>
          <cell r="T18">
            <v>7.8262786779643019</v>
          </cell>
          <cell r="U18">
            <v>9.7923743481013972</v>
          </cell>
          <cell r="V18">
            <v>10.972016002901226</v>
          </cell>
          <cell r="W18">
            <v>11.318257298211712</v>
          </cell>
          <cell r="X18">
            <v>10.760881022883806</v>
          </cell>
          <cell r="Y18">
            <v>9.2209433906445657</v>
          </cell>
          <cell r="Z18">
            <v>6.6156221373882156</v>
          </cell>
          <cell r="AA18">
            <v>2.8601557600926002</v>
          </cell>
          <cell r="AB18">
            <v>-2.1312750109461707</v>
          </cell>
          <cell r="AC18">
            <v>-8.4451064759962744</v>
          </cell>
          <cell r="AD18">
            <v>-16.168154646442385</v>
          </cell>
          <cell r="AE18">
            <v>-25.387479633672637</v>
          </cell>
          <cell r="AF18">
            <v>-36.190304282410821</v>
          </cell>
          <cell r="AG18">
            <v>-48.663963316548987</v>
          </cell>
        </row>
        <row r="19">
          <cell r="P19">
            <v>2500</v>
          </cell>
          <cell r="R19">
            <v>0.73807127753434942</v>
          </cell>
          <cell r="S19">
            <v>4.817989076660643</v>
          </cell>
          <cell r="T19">
            <v>7.5470873087330084</v>
          </cell>
          <cell r="U19">
            <v>9.4691159449419864</v>
          </cell>
          <cell r="V19">
            <v>10.625129014733814</v>
          </cell>
          <cell r="W19">
            <v>10.972397890597346</v>
          </cell>
          <cell r="X19">
            <v>10.444256043033626</v>
          </cell>
          <cell r="Y19">
            <v>8.9650602292982402</v>
          </cell>
          <cell r="Z19">
            <v>6.4551775563155047</v>
          </cell>
          <cell r="AA19">
            <v>2.8329803058440484</v>
          </cell>
          <cell r="AB19">
            <v>-1.9842473268114678</v>
          </cell>
          <cell r="AC19">
            <v>-8.0798558634445659</v>
          </cell>
          <cell r="AD19">
            <v>-15.537586420986072</v>
          </cell>
          <cell r="AE19">
            <v>-24.441431213240843</v>
          </cell>
          <cell r="AF19">
            <v>-34.875549851929691</v>
          </cell>
          <cell r="AG19">
            <v>-46.924217034840723</v>
          </cell>
        </row>
        <row r="20">
          <cell r="P20">
            <v>2750</v>
          </cell>
          <cell r="R20">
            <v>0.56807031020666043</v>
          </cell>
          <cell r="S20">
            <v>4.5999943370712177</v>
          </cell>
          <cell r="T20">
            <v>7.2731780057435493</v>
          </cell>
          <cell r="U20">
            <v>9.1524548204323573</v>
          </cell>
          <cell r="V20">
            <v>10.285465237756693</v>
          </cell>
          <cell r="W20">
            <v>10.633650873070675</v>
          </cell>
          <cell r="X20">
            <v>10.133825101367004</v>
          </cell>
          <cell r="Y20">
            <v>8.7135657075028536</v>
          </cell>
          <cell r="Z20">
            <v>6.2963457696084957</v>
          </cell>
          <cell r="AA20">
            <v>2.8035860124507379</v>
          </cell>
          <cell r="AB20">
            <v>-1.8444123046745537</v>
          </cell>
          <cell r="AC20">
            <v>-7.7280009439962898</v>
          </cell>
          <cell r="AD20">
            <v>-14.927933527143177</v>
          </cell>
          <cell r="AE20">
            <v>-23.525222013929575</v>
          </cell>
          <cell r="AF20">
            <v>-33.601050589626844</v>
          </cell>
          <cell r="AG20">
            <v>-45.236721844508203</v>
          </cell>
        </row>
        <row r="21">
          <cell r="P21">
            <v>3000</v>
          </cell>
          <cell r="R21">
            <v>0.39788253969792509</v>
          </cell>
          <cell r="S21">
            <v>4.3851115059928354</v>
          </cell>
          <cell r="T21">
            <v>7.0044075418114629</v>
          </cell>
          <cell r="U21">
            <v>8.8422384230902367</v>
          </cell>
          <cell r="V21">
            <v>9.9528722009966604</v>
          </cell>
          <cell r="W21">
            <v>10.301876972570078</v>
          </cell>
          <cell r="X21">
            <v>9.8294779908132153</v>
          </cell>
          <cell r="Y21">
            <v>8.4663969422150771</v>
          </cell>
          <cell r="Z21">
            <v>6.1391317059252213</v>
          </cell>
          <cell r="AA21">
            <v>2.7720682574235012</v>
          </cell>
          <cell r="AB21">
            <v>-1.7115593752664557</v>
          </cell>
          <cell r="AC21">
            <v>-7.3891891334704836</v>
          </cell>
          <cell r="AD21">
            <v>-14.338672478114047</v>
          </cell>
          <cell r="AE21">
            <v>-22.638126704151009</v>
          </cell>
          <cell r="AF21">
            <v>-32.365846329220766</v>
          </cell>
          <cell r="AG21">
            <v>-43.600247711559057</v>
          </cell>
        </row>
        <row r="22">
          <cell r="P22">
            <v>3250</v>
          </cell>
          <cell r="R22">
            <v>0.22735880835251576</v>
          </cell>
          <cell r="S22">
            <v>4.1732075880153374</v>
          </cell>
          <cell r="T22">
            <v>6.7406323974576559</v>
          </cell>
          <cell r="U22">
            <v>8.5383144725431634</v>
          </cell>
          <cell r="V22">
            <v>9.6271979121056734</v>
          </cell>
          <cell r="W22">
            <v>9.9769372921407005</v>
          </cell>
          <cell r="X22">
            <v>9.531104467832801</v>
          </cell>
          <cell r="Y22">
            <v>8.2234902740624332</v>
          </cell>
          <cell r="Z22">
            <v>5.983538425574892</v>
          </cell>
          <cell r="AA22">
            <v>2.7385190770479064</v>
          </cell>
          <cell r="AB22">
            <v>-1.5854831950594961</v>
          </cell>
          <cell r="AC22">
            <v>-7.0630754015825055</v>
          </cell>
          <cell r="AD22">
            <v>-13.769290145537365</v>
          </cell>
          <cell r="AE22">
            <v>-21.779433624913889</v>
          </cell>
          <cell r="AF22">
            <v>-31.168994434350875</v>
          </cell>
          <cell r="AG22">
            <v>-42.013586566183399</v>
          </cell>
        </row>
        <row r="23">
          <cell r="P23">
            <v>3500</v>
          </cell>
          <cell r="R23">
            <v>5.6345418110676171E-2</v>
          </cell>
          <cell r="S23">
            <v>3.96414803309432</v>
          </cell>
          <cell r="T23">
            <v>6.481708666235293</v>
          </cell>
          <cell r="U23">
            <v>8.2405308865301787</v>
          </cell>
          <cell r="V23">
            <v>9.3082907991951895</v>
          </cell>
          <cell r="W23">
            <v>9.658693265483139</v>
          </cell>
          <cell r="X23">
            <v>9.2385942198001647</v>
          </cell>
          <cell r="Y23">
            <v>7.9847812489848771</v>
          </cell>
          <cell r="Z23">
            <v>5.8295671187348006</v>
          </cell>
          <cell r="AA23">
            <v>2.7030271841768774</v>
          </cell>
          <cell r="AB23">
            <v>-1.4659836053276905</v>
          </cell>
          <cell r="AC23">
            <v>-6.7493222037810705</v>
          </cell>
          <cell r="AD23">
            <v>-13.219283659562885</v>
          </cell>
          <cell r="AE23">
            <v>-20.948444653152546</v>
          </cell>
          <cell r="AF23">
            <v>-30.009569619762637</v>
          </cell>
          <cell r="AG23">
            <v>-40.47555207598483</v>
          </cell>
        </row>
        <row r="24">
          <cell r="P24">
            <v>3750</v>
          </cell>
          <cell r="R24">
            <v>-0.11531614981227545</v>
          </cell>
          <cell r="S24">
            <v>3.7577965920034684</v>
          </cell>
          <cell r="T24">
            <v>6.2274919547631393</v>
          </cell>
          <cell r="U24">
            <v>7.9487357039216633</v>
          </cell>
          <cell r="V24">
            <v>8.9959996494646255</v>
          </cell>
          <cell r="W24">
            <v>9.3470066087993899</v>
          </cell>
          <cell r="X24">
            <v>8.9518368300252487</v>
          </cell>
          <cell r="Y24">
            <v>7.7502045977509697</v>
          </cell>
          <cell r="Z24">
            <v>5.6772171017006476</v>
          </cell>
          <cell r="AA24">
            <v>2.6656779841560412</v>
          </cell>
          <cell r="AB24">
            <v>-1.3528655930241951</v>
          </cell>
          <cell r="AC24">
            <v>-6.4475994148948592</v>
          </cell>
          <cell r="AD24">
            <v>-12.688160310765229</v>
          </cell>
          <cell r="AE24">
            <v>-20.144475066965253</v>
          </cell>
          <cell r="AF24">
            <v>-28.886663774505379</v>
          </cell>
          <cell r="AG24">
            <v>-38.98497942136391</v>
          </cell>
        </row>
        <row r="25">
          <cell r="P25">
            <v>4000</v>
          </cell>
          <cell r="R25">
            <v>-0.28778953217755543</v>
          </cell>
          <cell r="S25">
            <v>3.5540151633199759</v>
          </cell>
          <cell r="T25">
            <v>5.9778372771087538</v>
          </cell>
          <cell r="U25">
            <v>7.6627770034896674</v>
          </cell>
          <cell r="V25">
            <v>8.6901735444098591</v>
          </cell>
          <cell r="W25">
            <v>9.0417392697575263</v>
          </cell>
          <cell r="X25">
            <v>8.6707217402611683</v>
          </cell>
          <cell r="Y25">
            <v>7.5196942132143851</v>
          </cell>
          <cell r="Z25">
            <v>5.5264858110508337</v>
          </cell>
          <cell r="AA25">
            <v>2.6265535887741955</v>
          </cell>
          <cell r="AB25">
            <v>-1.2459392535736651</v>
          </cell>
          <cell r="AC25">
            <v>-6.1575842646785777</v>
          </cell>
          <cell r="AD25">
            <v>-12.175437453981921</v>
          </cell>
          <cell r="AE25">
            <v>-19.366853412839319</v>
          </cell>
          <cell r="AF25">
            <v>-27.79938578721589</v>
          </cell>
          <cell r="AG25">
            <v>-37.540725073120825</v>
          </cell>
        </row>
        <row r="26">
          <cell r="P26">
            <v>4250</v>
          </cell>
          <cell r="R26">
            <v>-0.46124379905396262</v>
          </cell>
          <cell r="S26">
            <v>3.3526636313687241</v>
          </cell>
          <cell r="T26">
            <v>5.7325989431386857</v>
          </cell>
          <cell r="U26">
            <v>7.3825028181416696</v>
          </cell>
          <cell r="V26">
            <v>8.3906617913819712</v>
          </cell>
          <cell r="W26">
            <v>8.7427533733836498</v>
          </cell>
          <cell r="X26">
            <v>8.3951382105335419</v>
          </cell>
          <cell r="Y26">
            <v>7.2931831251670358</v>
          </cell>
          <cell r="Z26">
            <v>5.3773687955966585</v>
          </cell>
          <cell r="AA26">
            <v>2.5857328281234873</v>
          </cell>
          <cell r="AB26">
            <v>-1.1450197556849031</v>
          </cell>
          <cell r="AC26">
            <v>-5.8789612753554863</v>
          </cell>
          <cell r="AD26">
            <v>-11.680642414165716</v>
          </cell>
          <cell r="AE26">
            <v>-18.614921374946952</v>
          </cell>
          <cell r="AF26">
            <v>-26.746861373566471</v>
          </cell>
          <cell r="AG26">
            <v>-36.141666572353735</v>
          </cell>
        </row>
        <row r="27">
          <cell r="P27">
            <v>4500</v>
          </cell>
          <cell r="R27">
            <v>-0.63585378846268537</v>
          </cell>
          <cell r="S27">
            <v>3.1535996945081486</v>
          </cell>
          <cell r="T27">
            <v>5.4916304404242764</v>
          </cell>
          <cell r="U27">
            <v>7.1077610443092611</v>
          </cell>
          <cell r="V27">
            <v>8.0973138512495328</v>
          </cell>
          <cell r="W27">
            <v>8.4499111646753384</v>
          </cell>
          <cell r="X27">
            <v>8.1249752761151566</v>
          </cell>
          <cell r="Y27">
            <v>7.0706034726342928</v>
          </cell>
          <cell r="Z27">
            <v>5.2298597059810934</v>
          </cell>
          <cell r="AA27">
            <v>2.5432912602454403</v>
          </cell>
          <cell r="AB27">
            <v>-1.0499273082965261</v>
          </cell>
          <cell r="AC27">
            <v>-5.6114222012599795</v>
          </cell>
          <cell r="AD27">
            <v>-11.203312394347076</v>
          </cell>
          <cell r="AE27">
            <v>-17.88803364660162</v>
          </cell>
          <cell r="AF27">
            <v>-25.728232905961786</v>
          </cell>
          <cell r="AG27">
            <v>-34.786702312730689</v>
          </cell>
        </row>
        <row r="28">
          <cell r="P28">
            <v>4750</v>
          </cell>
          <cell r="R28">
            <v>-0.81180046166293351</v>
          </cell>
          <cell r="S28">
            <v>2.9566786830942151</v>
          </cell>
          <cell r="T28">
            <v>5.2547843092607405</v>
          </cell>
          <cell r="U28">
            <v>6.8383993461598811</v>
          </cell>
          <cell r="V28">
            <v>7.8099792618988166</v>
          </cell>
          <cell r="W28">
            <v>8.1630749477153906</v>
          </cell>
          <cell r="X28">
            <v>7.8601217014561975</v>
          </cell>
          <cell r="Y28">
            <v>6.8518864734461182</v>
          </cell>
          <cell r="Z28">
            <v>5.0839502817781632</v>
          </cell>
          <cell r="AA28">
            <v>2.4993011784293997</v>
          </cell>
          <cell r="AB28">
            <v>-0.96048712977723594</v>
          </cell>
          <cell r="AC28">
            <v>-5.3546659706920909</v>
          </cell>
          <cell r="AD28">
            <v>-10.742994385810562</v>
          </cell>
          <cell r="AE28">
            <v>-17.185557803971321</v>
          </cell>
          <cell r="AF28">
            <v>-24.742659245575222</v>
          </cell>
          <cell r="AG28">
            <v>-33.474751325222101</v>
          </cell>
        </row>
        <row r="29">
          <cell r="P29">
            <v>5000</v>
          </cell>
          <cell r="R29">
            <v>-0.98927128050578572</v>
          </cell>
          <cell r="S29">
            <v>2.7617533664088474</v>
          </cell>
          <cell r="T29">
            <v>5.021912010323681</v>
          </cell>
          <cell r="U29">
            <v>6.5742650542747967</v>
          </cell>
          <cell r="V29">
            <v>7.5285075572864653</v>
          </cell>
          <cell r="W29">
            <v>7.8821070210476698</v>
          </cell>
          <cell r="X29">
            <v>7.600465930865866</v>
          </cell>
          <cell r="Y29">
            <v>6.6369623909054409</v>
          </cell>
          <cell r="Z29">
            <v>4.9396303359338756</v>
          </cell>
          <cell r="AA29">
            <v>2.4538316160201861</v>
          </cell>
          <cell r="AB29">
            <v>-0.87652941951124064</v>
          </cell>
          <cell r="AC29">
            <v>-5.1083986301036752</v>
          </cell>
          <cell r="AD29">
            <v>-10.299245080595957</v>
          </cell>
          <cell r="AE29">
            <v>-16.506874182152522</v>
          </cell>
          <cell r="AF29">
            <v>-23.789315576821618</v>
          </cell>
          <cell r="AG29">
            <v>-32.204753065384153</v>
          </cell>
        </row>
        <row r="30">
          <cell r="P30">
            <v>5250</v>
          </cell>
          <cell r="R30">
            <v>-1.16846060839221</v>
          </cell>
          <cell r="S30">
            <v>2.5686737477848118</v>
          </cell>
          <cell r="T30">
            <v>4.7928637844511002</v>
          </cell>
          <cell r="U30">
            <v>6.3152050584093278</v>
          </cell>
          <cell r="V30">
            <v>7.2527481817374273</v>
          </cell>
          <cell r="W30">
            <v>7.6068696090592152</v>
          </cell>
          <cell r="X30">
            <v>7.3458960357258993</v>
          </cell>
          <cell r="Y30">
            <v>6.4257604973614599</v>
          </cell>
          <cell r="Z30">
            <v>4.7968877363777782</v>
          </cell>
          <cell r="AA30">
            <v>2.4069483485806829</v>
          </cell>
          <cell r="AB30">
            <v>-0.7978893320091246</v>
          </cell>
          <cell r="AC30">
            <v>-4.8723332907455674</v>
          </cell>
          <cell r="AD30">
            <v>-9.8716307864439337</v>
          </cell>
          <cell r="AE30">
            <v>-15.851375753716072</v>
          </cell>
          <cell r="AF30">
            <v>-22.867393244371463</v>
          </cell>
          <cell r="AG30">
            <v>-30.975667203293124</v>
          </cell>
        </row>
        <row r="31">
          <cell r="P31">
            <v>5500</v>
          </cell>
          <cell r="R31">
            <v>-1.3495701364887207</v>
          </cell>
          <cell r="S31">
            <v>2.3772868471004296</v>
          </cell>
          <cell r="T31">
            <v>4.5674885039998507</v>
          </cell>
          <cell r="U31">
            <v>6.0610656939220675</v>
          </cell>
          <cell r="V31">
            <v>6.9825503991575131</v>
          </cell>
          <cell r="W31">
            <v>7.3372247890929359</v>
          </cell>
          <cell r="X31">
            <v>7.0962996579997553</v>
          </cell>
          <cell r="Y31">
            <v>6.2182090344811289</v>
          </cell>
          <cell r="Z31">
            <v>4.6557083846209899</v>
          </cell>
          <cell r="AA31">
            <v>2.3587138932436784</v>
          </cell>
          <cell r="AB31">
            <v>-0.72440695369537078</v>
          </cell>
          <cell r="AC31">
            <v>-4.6461900779142162</v>
          </cell>
          <cell r="AD31">
            <v>-9.4597273443146275</v>
          </cell>
          <cell r="AE31">
            <v>-15.218468009845033</v>
          </cell>
          <cell r="AF31">
            <v>-21.976099592818304</v>
          </cell>
          <cell r="AG31">
            <v>-29.786473416235374</v>
          </cell>
        </row>
        <row r="32">
          <cell r="P32">
            <v>5750</v>
          </cell>
          <cell r="R32">
            <v>-1.5328093369818796</v>
          </cell>
          <cell r="S32">
            <v>2.1874364697533899</v>
          </cell>
          <cell r="T32">
            <v>4.345633515182608</v>
          </cell>
          <cell r="U32">
            <v>5.8116926214275457</v>
          </cell>
          <cell r="V32">
            <v>6.7177631968040608</v>
          </cell>
          <cell r="W32">
            <v>7.0730344139936925</v>
          </cell>
          <cell r="X32">
            <v>6.8515639497824576</v>
          </cell>
          <cell r="Y32">
            <v>6.0142351699955503</v>
          </cell>
          <cell r="Z32">
            <v>4.5160761911422513</v>
          </cell>
          <cell r="AA32">
            <v>2.3091875050738802</v>
          </cell>
          <cell r="AB32">
            <v>-0.65592728253531551</v>
          </cell>
          <cell r="AC32">
            <v>-4.429696082947717</v>
          </cell>
          <cell r="AD32">
            <v>-9.0631200486174777</v>
          </cell>
          <cell r="AE32">
            <v>-14.607568844193427</v>
          </cell>
          <cell r="AF32">
            <v>-21.114657809120903</v>
          </cell>
          <cell r="AG32">
            <v>-28.636171184267791</v>
          </cell>
        </row>
        <row r="33">
          <cell r="P33">
            <v>6000</v>
          </cell>
          <cell r="R33">
            <v>-1.7183959452906667</v>
          </cell>
          <cell r="S33">
            <v>1.9989629611542896</v>
          </cell>
          <cell r="T33">
            <v>4.1271444707459111</v>
          </cell>
          <cell r="U33">
            <v>5.5669306991928398</v>
          </cell>
          <cell r="V33">
            <v>6.4582351832311513</v>
          </cell>
          <cell r="W33">
            <v>6.8141600297681562</v>
          </cell>
          <cell r="X33">
            <v>6.611575508617241</v>
          </cell>
          <cell r="Y33">
            <v>5.813764950681553</v>
          </cell>
          <cell r="Z33">
            <v>4.3779730473485952</v>
          </cell>
          <cell r="AA33">
            <v>2.2584251702480476</v>
          </cell>
          <cell r="AB33">
            <v>-0.59230021067651806</v>
          </cell>
          <cell r="AC33">
            <v>-4.2225853181317232</v>
          </cell>
          <cell r="AD33">
            <v>-8.6814035703012795</v>
          </cell>
          <cell r="AE33">
            <v>-14.018108439604093</v>
          </cell>
          <cell r="AF33">
            <v>-20.282306767949294</v>
          </cell>
          <cell r="AG33">
            <v>-27.523779588770491</v>
          </cell>
        </row>
        <row r="34">
          <cell r="P34">
            <v>6250</v>
          </cell>
          <cell r="R34">
            <v>-1.9065564733058524</v>
          </cell>
          <cell r="S34">
            <v>1.811702945705278</v>
          </cell>
          <cell r="T34">
            <v>3.9118651522994661</v>
          </cell>
          <cell r="U34">
            <v>5.3266238477607288</v>
          </cell>
          <cell r="V34">
            <v>6.2038144799953603</v>
          </cell>
          <cell r="W34">
            <v>6.5604627880133712</v>
          </cell>
          <cell r="X34">
            <v>6.3762203082829796</v>
          </cell>
          <cell r="Y34">
            <v>5.6167232513192111</v>
          </cell>
          <cell r="Z34">
            <v>4.2413787938801466</v>
          </cell>
          <cell r="AA34">
            <v>2.2064795958453787</v>
          </cell>
          <cell r="AB34">
            <v>-0.53338051029377365</v>
          </cell>
          <cell r="AC34">
            <v>-4.0245986746891438</v>
          </cell>
          <cell r="AD34">
            <v>-8.3141818829652561</v>
          </cell>
          <cell r="AE34">
            <v>-13.449529157836256</v>
          </cell>
          <cell r="AF34">
            <v>-19.478300880076016</v>
          </cell>
          <cell r="AG34">
            <v>-26.448337114124456</v>
          </cell>
        </row>
        <row r="35">
          <cell r="P35">
            <v>6500</v>
          </cell>
          <cell r="R35">
            <v>-2.0975267558881656</v>
          </cell>
          <cell r="S35">
            <v>1.6254890491479563</v>
          </cell>
          <cell r="T35">
            <v>3.6996372815528074</v>
          </cell>
          <cell r="U35">
            <v>5.0906149062414299</v>
          </cell>
          <cell r="V35">
            <v>5.9543486066756914</v>
          </cell>
          <cell r="W35">
            <v>6.3118033527419284</v>
          </cell>
          <cell r="X35">
            <v>6.1453836247334737</v>
          </cell>
          <cell r="Y35">
            <v>5.4230337193462672</v>
          </cell>
          <cell r="Z35">
            <v>4.1062711850107663</v>
          </cell>
          <cell r="AA35">
            <v>2.1534001960246631</v>
          </cell>
          <cell r="AB35">
            <v>-0.4790278228412907</v>
          </cell>
          <cell r="AC35">
            <v>-3.8354838840404217</v>
          </cell>
          <cell r="AD35">
            <v>-7.9610681921639284</v>
          </cell>
          <cell r="AE35">
            <v>-12.901285432463052</v>
          </cell>
          <cell r="AF35">
            <v>-18.701909943962448</v>
          </cell>
          <cell r="AG35">
            <v>-25.408901452655943</v>
          </cell>
        </row>
        <row r="36">
          <cell r="P36">
            <v>6750</v>
          </cell>
          <cell r="R36">
            <v>-2.2915525330336113</v>
          </cell>
          <cell r="S36">
            <v>1.4401496030763523</v>
          </cell>
          <cell r="T36">
            <v>3.4903003196565754</v>
          </cell>
          <cell r="U36">
            <v>4.8587454796708993</v>
          </cell>
          <cell r="V36">
            <v>5.7096843587259984</v>
          </cell>
          <cell r="W36">
            <v>6.0680418012023534</v>
          </cell>
          <cell r="X36">
            <v>5.9189499568443891</v>
          </cell>
          <cell r="Y36">
            <v>5.2326187149080097</v>
          </cell>
          <cell r="Z36">
            <v>3.9726258488764383</v>
          </cell>
          <cell r="AA36">
            <v>2.0992330743465701</v>
          </cell>
          <cell r="AB36">
            <v>-0.42910665193180086</v>
          </cell>
          <cell r="AC36">
            <v>-3.6549954825363549</v>
          </cell>
          <cell r="AD36">
            <v>-7.6216848680924336</v>
          </cell>
          <cell r="AE36">
            <v>-12.372843665113185</v>
          </cell>
          <cell r="AF36">
            <v>-17.95241900070361</v>
          </cell>
          <cell r="AG36">
            <v>-24.404549313000597</v>
          </cell>
        </row>
        <row r="37">
          <cell r="P37">
            <v>7000</v>
          </cell>
          <cell r="R37">
            <v>-2.4888900703062529</v>
          </cell>
          <cell r="S37">
            <v>1.2555083303148429</v>
          </cell>
          <cell r="T37">
            <v>3.2836912537816483</v>
          </cell>
          <cell r="U37">
            <v>4.6308557767855767</v>
          </cell>
          <cell r="V37">
            <v>5.4696676776398316</v>
          </cell>
          <cell r="W37">
            <v>5.8290375182612477</v>
          </cell>
          <cell r="X37">
            <v>5.6968029415962622</v>
          </cell>
          <cell r="Y37">
            <v>5.0453992459774275</v>
          </cell>
          <cell r="Z37">
            <v>3.840416243242216</v>
          </cell>
          <cell r="AA37">
            <v>2.0440210019805809</v>
          </cell>
          <cell r="AB37">
            <v>-0.38348636007982639</v>
          </cell>
          <cell r="AC37">
            <v>-3.4828947798810188</v>
          </cell>
          <cell r="AD37">
            <v>-7.2956633818540322</v>
          </cell>
          <cell r="AE37">
            <v>-11.863682125244281</v>
          </cell>
          <cell r="AF37">
            <v>-17.229128192506778</v>
          </cell>
          <cell r="AG37">
            <v>-23.434376232053086</v>
          </cell>
        </row>
        <row r="38">
          <cell r="P38">
            <v>7250</v>
          </cell>
          <cell r="R38">
            <v>-2.6898068203474903</v>
          </cell>
          <cell r="S38">
            <v>1.0713840097565042</v>
          </cell>
          <cell r="T38">
            <v>3.0796443699997647</v>
          </cell>
          <cell r="U38">
            <v>4.4067844375113108</v>
          </cell>
          <cell r="V38">
            <v>5.2341435128657983</v>
          </cell>
          <cell r="W38">
            <v>5.5946490838788314</v>
          </cell>
          <cell r="X38">
            <v>5.478825263291994</v>
          </cell>
          <cell r="Y38">
            <v>4.861294898194112</v>
          </cell>
          <cell r="Z38">
            <v>3.7096136064950014</v>
          </cell>
          <cell r="AA38">
            <v>1.9878033915149984</v>
          </cell>
          <cell r="AB38">
            <v>-0.34204116956530967</v>
          </cell>
          <cell r="AC38">
            <v>-3.3189498314801789</v>
          </cell>
          <cell r="AD38">
            <v>-6.9826442455268252</v>
          </cell>
          <cell r="AE38">
            <v>-11.373290853650115</v>
          </cell>
          <cell r="AF38">
            <v>-16.531352624893309</v>
          </cell>
          <cell r="AG38">
            <v>-22.497496390679853</v>
          </cell>
        </row>
        <row r="39">
          <cell r="P39">
            <v>7500</v>
          </cell>
          <cell r="R39">
            <v>-2.8945821284975963</v>
          </cell>
          <cell r="S39">
            <v>0.88759011914405406</v>
          </cell>
          <cell r="T39">
            <v>2.8779910114538021</v>
          </cell>
          <cell r="U39">
            <v>4.1863683494075667</v>
          </cell>
          <cell r="V39">
            <v>5.0029556748663424</v>
          </cell>
          <cell r="W39">
            <v>5.3647341531719768</v>
          </cell>
          <cell r="X39">
            <v>5.2648985563751243</v>
          </cell>
          <cell r="Y39">
            <v>4.680223759042252</v>
          </cell>
          <cell r="Z39">
            <v>3.5801869035246194</v>
          </cell>
          <cell r="AA39">
            <v>1.9306162660658992</v>
          </cell>
          <cell r="AB39">
            <v>-0.30465016769438896</v>
          </cell>
          <cell r="AC39">
            <v>-3.1629354149691471</v>
          </cell>
          <cell r="AD39">
            <v>-6.6822769562650643</v>
          </cell>
          <cell r="AE39">
            <v>-10.901171569920553</v>
          </cell>
          <cell r="AF39">
            <v>-15.858422232828527</v>
          </cell>
          <cell r="AG39">
            <v>-21.593042433388081</v>
          </cell>
        </row>
        <row r="40">
          <cell r="P40">
            <v>7750</v>
          </cell>
          <cell r="R40">
            <v>-3.1035079858123895</v>
          </cell>
          <cell r="S40">
            <v>0.70393445415194078</v>
          </cell>
          <cell r="T40">
            <v>2.67855932072339</v>
          </cell>
          <cell r="U40">
            <v>3.9694424522462075</v>
          </cell>
          <cell r="V40">
            <v>4.7759466786633151</v>
          </cell>
          <cell r="W40">
            <v>5.1391493285174095</v>
          </cell>
          <cell r="X40">
            <v>5.0549033013797011</v>
          </cell>
          <cell r="Y40">
            <v>4.5021023359570869</v>
          </cell>
          <cell r="Z40">
            <v>3.4521027661278803</v>
          </cell>
          <cell r="AA40">
            <v>1.8724922233561057</v>
          </cell>
          <cell r="AB40">
            <v>-0.27119731675654618</v>
          </cell>
          <cell r="AC40">
            <v>-3.0146330111947703</v>
          </cell>
          <cell r="AD40">
            <v>-6.3942199446886923</v>
          </cell>
          <cell r="AE40">
            <v>-10.446837584090538</v>
          </cell>
          <cell r="AF40">
            <v>-15.209681651000562</v>
          </cell>
          <cell r="AG40">
            <v>-20.720165292158331</v>
          </cell>
        </row>
        <row r="41">
          <cell r="P41">
            <v>8000</v>
          </cell>
          <cell r="R41">
            <v>-3.3168898330267869</v>
          </cell>
          <cell r="S41">
            <v>0.52021872199372243</v>
          </cell>
          <cell r="T41">
            <v>2.4811739652019376</v>
          </cell>
          <cell r="U41">
            <v>3.7558395298368241</v>
          </cell>
          <cell r="V41">
            <v>4.5529575771598898</v>
          </cell>
          <cell r="W41">
            <v>4.9177500231030633</v>
          </cell>
          <cell r="X41">
            <v>4.848718713504109</v>
          </cell>
          <cell r="Y41">
            <v>4.3268454679154811</v>
          </cell>
          <cell r="Z41">
            <v>3.3253254275405992</v>
          </cell>
          <cell r="AA41">
            <v>1.8134603944083831</v>
          </cell>
          <cell r="AB41">
            <v>-0.24157146900200016</v>
          </cell>
          <cell r="AC41">
            <v>-2.8738307899487179</v>
          </cell>
          <cell r="AD41">
            <v>-6.1181405278359904</v>
          </cell>
          <cell r="AE41">
            <v>-10.009813712733379</v>
          </cell>
          <cell r="AF41">
            <v>-14.584490088487307</v>
          </cell>
          <cell r="AG41">
            <v>-19.878034014665825</v>
          </cell>
        </row>
        <row r="42">
          <cell r="P42">
            <v>8250</v>
          </cell>
          <cell r="R42">
            <v>-3.5350474193098358</v>
          </cell>
          <cell r="S42">
            <v>0.33623810763246498</v>
          </cell>
          <cell r="T42">
            <v>2.2856558442036308</v>
          </cell>
          <cell r="U42">
            <v>3.5453899881375888</v>
          </cell>
          <cell r="V42">
            <v>4.3338277834699852</v>
          </cell>
          <cell r="W42">
            <v>4.7003903152867395</v>
          </cell>
          <cell r="X42">
            <v>4.6462226232595736</v>
          </cell>
          <cell r="Y42">
            <v>4.1543662300298791</v>
          </cell>
          <cell r="Z42">
            <v>3.1998166506700172</v>
          </cell>
          <cell r="AA42">
            <v>1.7535463964678344</v>
          </cell>
          <cell r="AB42">
            <v>-0.21566638698947921</v>
          </cell>
          <cell r="AC42">
            <v>-2.7403236007734391</v>
          </cell>
          <cell r="AD42">
            <v>-5.8537148669762953</v>
          </cell>
          <cell r="AE42">
            <v>-9.5896361997750841</v>
          </cell>
          <cell r="AF42">
            <v>-13.982221208069983</v>
          </cell>
          <cell r="AG42">
            <v>-19.065835597133397</v>
          </cell>
        </row>
        <row r="43">
          <cell r="P43">
            <v>8500</v>
          </cell>
          <cell r="R43">
            <v>-3.7583157199753181</v>
          </cell>
          <cell r="S43">
            <v>0.15178081051213876</v>
          </cell>
          <cell r="T43">
            <v>2.091821776412349</v>
          </cell>
          <cell r="U43">
            <v>3.3379216186105753</v>
          </cell>
          <cell r="V43">
            <v>4.1183948814222955</v>
          </cell>
          <cell r="W43">
            <v>4.4869227930680218</v>
          </cell>
          <cell r="X43">
            <v>4.4472913485982764</v>
          </cell>
          <cell r="Y43">
            <v>3.9845758306248378</v>
          </cell>
          <cell r="Z43">
            <v>3.0755356495644763</v>
          </cell>
          <cell r="AA43">
            <v>1.6927722797364821</v>
          </cell>
          <cell r="AB43">
            <v>-0.19338076968396806</v>
          </cell>
          <cell r="AC43">
            <v>-2.6139129691890695</v>
          </cell>
          <cell r="AD43">
            <v>-5.6006279306047881</v>
          </cell>
          <cell r="AE43">
            <v>-9.1858526423288307</v>
          </cell>
          <cell r="AF43">
            <v>-13.402263010473332</v>
          </cell>
          <cell r="AG43">
            <v>-18.28277482207918</v>
          </cell>
        </row>
        <row r="44">
          <cell r="P44">
            <v>8750</v>
          </cell>
          <cell r="R44">
            <v>-3.9870459176603914</v>
          </cell>
          <cell r="S44">
            <v>-3.3372450446243818E-2</v>
          </cell>
          <cell r="T44">
            <v>1.8994841661683284</v>
          </cell>
          <cell r="U44">
            <v>3.1332593456933475</v>
          </cell>
          <cell r="V44">
            <v>3.9064944233363592</v>
          </cell>
          <cell r="W44">
            <v>4.2771983879211639</v>
          </cell>
          <cell r="X44">
            <v>4.2517995578762058</v>
          </cell>
          <cell r="Y44">
            <v>3.8173835002316658</v>
          </cell>
          <cell r="Z44">
            <v>2.9524390036185038</v>
          </cell>
          <cell r="AA44">
            <v>1.6311564674680681</v>
          </cell>
          <cell r="AB44">
            <v>-0.17461828471535873</v>
          </cell>
          <cell r="AC44">
            <v>-2.4944070987182791</v>
          </cell>
          <cell r="AD44">
            <v>-5.358573462967688</v>
          </cell>
          <cell r="AE44">
            <v>-8.7980219218737243</v>
          </cell>
          <cell r="AF44">
            <v>-12.844017723835325</v>
          </cell>
          <cell r="AG44">
            <v>-17.52807410124371</v>
          </cell>
        </row>
        <row r="45">
          <cell r="P45">
            <v>9000</v>
          </cell>
          <cell r="R45">
            <v>-4.2216064518647469</v>
          </cell>
          <cell r="S45">
            <v>-0.21944896602991681</v>
          </cell>
          <cell r="T45">
            <v>1.7084506469618452</v>
          </cell>
          <cell r="U45">
            <v>2.9312249571638644</v>
          </cell>
          <cell r="V45">
            <v>3.6979597140922582</v>
          </cell>
          <cell r="W45">
            <v>4.0710661971736037</v>
          </cell>
          <cell r="X45">
            <v>4.0596201229517552</v>
          </cell>
          <cell r="Y45">
            <v>3.6526963718895451</v>
          </cell>
          <cell r="Z45">
            <v>2.8304805639693531</v>
          </cell>
          <cell r="AA45">
            <v>1.5687136889333333</v>
          </cell>
          <cell r="AB45">
            <v>-0.15928760724376456</v>
          </cell>
          <cell r="AC45">
            <v>-2.3816208791181657</v>
          </cell>
          <cell r="AD45">
            <v>-5.1272539584959311</v>
          </cell>
          <cell r="AE45">
            <v>-8.4257141411294452</v>
          </cell>
          <cell r="AF45">
            <v>-12.306901698735302</v>
          </cell>
          <cell r="AG45">
            <v>-16.800973324005504</v>
          </cell>
        </row>
        <row r="46">
          <cell r="P46">
            <v>9250</v>
          </cell>
          <cell r="R46">
            <v>-4.4623841421583172</v>
          </cell>
          <cell r="S46">
            <v>-0.40668460275511009</v>
          </cell>
          <cell r="T46">
            <v>1.5185237003645264</v>
          </cell>
          <cell r="U46">
            <v>2.7316368160715561</v>
          </cell>
          <cell r="V46">
            <v>3.4926215804322007</v>
          </cell>
          <cell r="W46">
            <v>3.8683732940452273</v>
          </cell>
          <cell r="X46">
            <v>3.8706239616615563</v>
          </cell>
          <cell r="Y46">
            <v>3.490419352089166</v>
          </cell>
          <cell r="Z46">
            <v>2.7096113514947282</v>
          </cell>
          <cell r="AA46">
            <v>1.5054549047242616</v>
          </cell>
          <cell r="AB46">
            <v>-0.14730246591475327</v>
          </cell>
          <cell r="AC46">
            <v>-2.2753759012623296</v>
          </cell>
          <cell r="AD46">
            <v>-4.9063806425569076</v>
          </cell>
          <cell r="AE46">
            <v>-8.0685105670073689</v>
          </cell>
          <cell r="AF46">
            <v>-11.790345309136224</v>
          </cell>
          <cell r="AG46">
            <v>-16.100729711619088</v>
          </cell>
        </row>
        <row r="47">
          <cell r="P47">
            <v>9500</v>
          </cell>
          <cell r="R47">
            <v>-4.7097853908189879</v>
          </cell>
          <cell r="S47">
            <v>-0.5953244086039633</v>
          </cell>
          <cell r="T47">
            <v>1.3295002484778629</v>
          </cell>
          <cell r="U47">
            <v>2.534309552794288</v>
          </cell>
          <cell r="V47">
            <v>3.2903081243417556</v>
          </cell>
          <cell r="W47">
            <v>3.6689645243881426</v>
          </cell>
          <cell r="X47">
            <v>3.6846798688503117</v>
          </cell>
          <cell r="Y47">
            <v>3.3304549816384932</v>
          </cell>
          <cell r="Z47">
            <v>2.5897794457710788</v>
          </cell>
          <cell r="AA47">
            <v>1.4413872238205498</v>
          </cell>
          <cell r="AB47">
            <v>-0.13858169642930862</v>
          </cell>
          <cell r="AC47">
            <v>-2.175500479154759</v>
          </cell>
          <cell r="AD47">
            <v>-4.6956734589690425</v>
          </cell>
          <cell r="AE47">
            <v>-7.726003580052021</v>
          </cell>
          <cell r="AF47">
            <v>-11.293792859627935</v>
          </cell>
          <cell r="AG47">
            <v>-15.426617677639106</v>
          </cell>
        </row>
        <row r="48">
          <cell r="P48">
            <v>9750</v>
          </cell>
          <cell r="R48">
            <v>-4.9642374711581514</v>
          </cell>
          <cell r="S48">
            <v>-0.78562326160650464</v>
          </cell>
          <cell r="T48">
            <v>1.1411712178129578</v>
          </cell>
          <cell r="U48">
            <v>2.3390537356567318</v>
          </cell>
          <cell r="V48">
            <v>3.090844459259062</v>
          </cell>
          <cell r="W48">
            <v>3.4726822890838189</v>
          </cell>
          <cell r="X48">
            <v>3.5016543350604774</v>
          </cell>
          <cell r="Y48">
            <v>3.1727032856681165</v>
          </cell>
          <cell r="Z48">
            <v>2.4709298642967474</v>
          </cell>
          <cell r="AA48">
            <v>1.3765138117918516</v>
          </cell>
          <cell r="AB48">
            <v>-0.13304930329811304</v>
          </cell>
          <cell r="AC48">
            <v>-2.0818296795979405</v>
          </cell>
          <cell r="AD48">
            <v>-4.4948610647621345</v>
          </cell>
          <cell r="AE48">
            <v>-7.3977966308214151</v>
          </cell>
          <cell r="AF48">
            <v>-10.816702499390688</v>
          </cell>
          <cell r="AG48">
            <v>-14.777928694923931</v>
          </cell>
        </row>
        <row r="49">
          <cell r="P49">
            <v>10000</v>
          </cell>
          <cell r="R49">
            <v>-5.2261899083346375</v>
          </cell>
          <cell r="S49">
            <v>-0.97784656466791864</v>
          </cell>
          <cell r="T49">
            <v>0.95332107233475805</v>
          </cell>
          <cell r="U49">
            <v>2.1456755184100391</v>
          </cell>
          <cell r="V49">
            <v>2.894052427751979</v>
          </cell>
          <cell r="W49">
            <v>3.2793663109641935</v>
          </cell>
          <cell r="X49">
            <v>3.3214113519101831</v>
          </cell>
          <cell r="Y49">
            <v>3.0170616119258913</v>
          </cell>
          <cell r="Z49">
            <v>2.3530044312239169</v>
          </cell>
          <cell r="AA49">
            <v>1.3108337894551778</v>
          </cell>
          <cell r="AB49">
            <v>-0.13063453039941419</v>
          </cell>
          <cell r="AC49">
            <v>-1.9942053600831193</v>
          </cell>
          <cell r="AD49">
            <v>-4.3036808327079186</v>
          </cell>
          <cell r="AE49">
            <v>-7.0835042036942433</v>
          </cell>
          <cell r="AF49">
            <v>-10.358546143334836</v>
          </cell>
          <cell r="AG49">
            <v>-14.153971169647178</v>
          </cell>
        </row>
        <row r="50">
          <cell r="P50">
            <v>10250</v>
          </cell>
          <cell r="R50">
            <v>-5.4961159600519194</v>
          </cell>
          <cell r="S50">
            <v>-1.1722709903385811</v>
          </cell>
          <cell r="T50">
            <v>0.76572731320574494</v>
          </cell>
          <cell r="U50">
            <v>1.9539762627240953</v>
          </cell>
          <cell r="V50">
            <v>2.6997502991840845</v>
          </cell>
          <cell r="W50">
            <v>3.0888533850240929</v>
          </cell>
          <cell r="X50">
            <v>3.1438122031027191</v>
          </cell>
          <cell r="Y50">
            <v>2.8634244564361375</v>
          </cell>
          <cell r="Z50">
            <v>2.2359416347772334</v>
          </cell>
          <cell r="AA50">
            <v>1.2443421212472405</v>
          </cell>
          <cell r="AB50">
            <v>-0.13127194101351136</v>
          </cell>
          <cell r="AC50">
            <v>-1.9124762155202113</v>
          </cell>
          <cell r="AD50">
            <v>-4.1218788621914486</v>
          </cell>
          <cell r="AE50">
            <v>-6.7827517886337159</v>
          </cell>
          <cell r="AF50">
            <v>-9.9188094009121048</v>
          </cell>
          <cell r="AG50">
            <v>-13.554070322781984</v>
          </cell>
        </row>
        <row r="51">
          <cell r="P51">
            <v>10500</v>
          </cell>
          <cell r="R51">
            <v>-5.7745142051847074</v>
          </cell>
          <cell r="S51">
            <v>-1.3691852795498582</v>
          </cell>
          <cell r="T51">
            <v>0.5781599425471069</v>
          </cell>
          <cell r="U51">
            <v>1.7637521336807866</v>
          </cell>
          <cell r="V51">
            <v>2.507752445760306</v>
          </cell>
          <cell r="W51">
            <v>2.9009771105838738</v>
          </cell>
          <cell r="X51">
            <v>2.9687152399180174</v>
          </cell>
          <cell r="Y51">
            <v>2.7116832755173705</v>
          </cell>
          <cell r="Z51">
            <v>2.1196764724646258</v>
          </cell>
          <cell r="AA51">
            <v>1.1770294925064988</v>
          </cell>
          <cell r="AB51">
            <v>-0.1349015080662811</v>
          </cell>
          <cell r="AC51">
            <v>-1.836497834478978</v>
          </cell>
          <cell r="AD51">
            <v>-3.9492099990436076</v>
          </cell>
          <cell r="AE51">
            <v>-6.4951758614851292</v>
          </cell>
          <cell r="AF51">
            <v>-9.4969915131371003</v>
          </cell>
          <cell r="AG51">
            <v>-12.977568079563985</v>
          </cell>
        </row>
        <row r="52">
          <cell r="P52">
            <v>10750</v>
          </cell>
          <cell r="R52">
            <v>-6.0619102490946011</v>
          </cell>
          <cell r="S52">
            <v>-1.5688910986955029</v>
          </cell>
          <cell r="T52">
            <v>0.39038088829753326</v>
          </cell>
          <cell r="U52">
            <v>1.5747936660784594</v>
          </cell>
          <cell r="V52">
            <v>2.3178689952002349</v>
          </cell>
          <cell r="W52">
            <v>2.7155676039423149</v>
          </cell>
          <cell r="X52">
            <v>2.7959756399345883</v>
          </cell>
          <cell r="Y52">
            <v>2.5617262830633503</v>
          </cell>
          <cell r="Z52">
            <v>2.0041402831066382</v>
          </cell>
          <cell r="AA52">
            <v>1.1088821747883566</v>
          </cell>
          <cell r="AB52">
            <v>-0.14146871537893713</v>
          </cell>
          <cell r="AC52">
            <v>-1.7661327656726358</v>
          </cell>
          <cell r="AD52">
            <v>-3.7854378650100915</v>
          </cell>
          <cell r="AE52">
            <v>-6.220423873434374</v>
          </cell>
          <cell r="AF52">
            <v>-9.0926052984056476</v>
          </cell>
          <cell r="AG52">
            <v>-12.423822967483398</v>
          </cell>
        </row>
        <row r="53">
          <cell r="P53">
            <v>11000</v>
          </cell>
          <cell r="R53">
            <v>-6.3588601858434348</v>
          </cell>
          <cell r="S53">
            <v>-1.7717050676888519</v>
          </cell>
          <cell r="T53">
            <v>0.20214235987401663</v>
          </cell>
          <cell r="U53">
            <v>1.3868842692849312</v>
          </cell>
          <cell r="V53">
            <v>2.1299044169488224</v>
          </cell>
          <cell r="W53">
            <v>2.5324501565981485</v>
          </cell>
          <cell r="X53">
            <v>2.6254441554875214</v>
          </cell>
          <cell r="Y53">
            <v>2.4134373234423538</v>
          </cell>
          <cell r="Z53">
            <v>1.8892597892084213</v>
          </cell>
          <cell r="AA53">
            <v>1.0398812909916786</v>
          </cell>
          <cell r="AB53">
            <v>-0.15092500966000555</v>
          </cell>
          <cell r="AC53">
            <v>-1.7012506209159817</v>
          </cell>
          <cell r="AD53">
            <v>-3.6303345400023423</v>
          </cell>
          <cell r="AE53">
            <v>-5.9581534356816652</v>
          </cell>
          <cell r="AF53">
            <v>-8.705175757740836</v>
          </cell>
          <cell r="AG53">
            <v>-11.892208055420975</v>
          </cell>
        </row>
        <row r="54">
          <cell r="P54">
            <v>11250</v>
          </cell>
          <cell r="R54">
            <v>-6.6978429077276811</v>
          </cell>
          <cell r="S54">
            <v>-1.9998815297253287</v>
          </cell>
          <cell r="T54">
            <v>-7.8572832091561295E-3</v>
          </cell>
          <cell r="U54">
            <v>1.1773268567434805</v>
          </cell>
          <cell r="V54">
            <v>1.9186874246098979</v>
          </cell>
          <cell r="W54">
            <v>2.3232275397931881</v>
          </cell>
          <cell r="X54">
            <v>2.4248036316752395</v>
          </cell>
          <cell r="Y54">
            <v>2.2298421208799839</v>
          </cell>
          <cell r="Z54">
            <v>1.7325783130278249</v>
          </cell>
          <cell r="AA54">
            <v>0.92115195623739332</v>
          </cell>
          <cell r="AB54">
            <v>-0.21962205091909381</v>
          </cell>
          <cell r="AC54">
            <v>-1.706868305438173</v>
          </cell>
          <cell r="AD54">
            <v>-3.5589049400509811</v>
          </cell>
          <cell r="AE54">
            <v>-5.7948173604609119</v>
          </cell>
          <cell r="AF54">
            <v>-8.4342024876861839</v>
          </cell>
          <cell r="AG54">
            <v>-11.497008909523975</v>
          </cell>
        </row>
        <row r="55">
          <cell r="P55">
            <v>11500</v>
          </cell>
          <cell r="R55">
            <v>-7.0469399922058793</v>
          </cell>
          <cell r="S55">
            <v>-2.2306690705308458</v>
          </cell>
          <cell r="T55">
            <v>-0.21717670033559644</v>
          </cell>
          <cell r="U55">
            <v>0.97047109616824545</v>
          </cell>
          <cell r="V55">
            <v>1.7114876462267419</v>
          </cell>
          <cell r="W55">
            <v>2.1187995019955741</v>
          </cell>
          <cell r="X55">
            <v>2.2292512798903097</v>
          </cell>
          <cell r="Y55">
            <v>2.0511568704239771</v>
          </cell>
          <cell r="Z55">
            <v>1.5801498414862492</v>
          </cell>
          <cell r="AA55">
            <v>0.8055235996551332</v>
          </cell>
          <cell r="AB55">
            <v>-0.28688671829774659</v>
          </cell>
          <cell r="AC55">
            <v>-1.7132632996544728</v>
          </cell>
          <cell r="AD55">
            <v>-3.4910297618840294</v>
          </cell>
          <cell r="AE55">
            <v>-5.6384077847184129</v>
          </cell>
          <cell r="AF55">
            <v>-8.1741510893982774</v>
          </cell>
          <cell r="AG55">
            <v>-11.117379175701515</v>
          </cell>
        </row>
        <row r="56">
          <cell r="P56">
            <v>11750</v>
          </cell>
          <cell r="R56">
            <v>-7.4067025025614956</v>
          </cell>
          <cell r="S56">
            <v>-2.464445166055476</v>
          </cell>
          <cell r="T56">
            <v>-0.42616875828896816</v>
          </cell>
          <cell r="U56">
            <v>0.76596017203735434</v>
          </cell>
          <cell r="V56">
            <v>1.5079407511886109</v>
          </cell>
          <cell r="W56">
            <v>1.9187997179242191</v>
          </cell>
          <cell r="X56">
            <v>2.0384288431448243</v>
          </cell>
          <cell r="Y56">
            <v>1.8770442848040314</v>
          </cell>
          <cell r="Z56">
            <v>1.4316730395456481</v>
          </cell>
          <cell r="AA56">
            <v>0.69274752335859058</v>
          </cell>
          <cell r="AB56">
            <v>-0.35289689176180972</v>
          </cell>
          <cell r="AC56">
            <v>-1.7205231094831488</v>
          </cell>
          <cell r="AD56">
            <v>-3.4266852800348104</v>
          </cell>
          <cell r="AE56">
            <v>-5.4887676407216279</v>
          </cell>
          <cell r="AF56">
            <v>-7.9247078202320518</v>
          </cell>
          <cell r="AG56">
            <v>-10.752823903830786</v>
          </cell>
        </row>
        <row r="57">
          <cell r="P57">
            <v>12000</v>
          </cell>
          <cell r="R57">
            <v>-7.7776975726500508</v>
          </cell>
          <cell r="S57">
            <v>-2.7015910794110036</v>
          </cell>
          <cell r="T57">
            <v>-0.63518461850920538</v>
          </cell>
          <cell r="U57">
            <v>0.56344242053870719</v>
          </cell>
          <cell r="V57">
            <v>1.3076898761799698</v>
          </cell>
          <cell r="W57">
            <v>1.7228707915224601</v>
          </cell>
          <cell r="X57">
            <v>1.8519876967199551</v>
          </cell>
          <cell r="Y57">
            <v>1.7071766795684427</v>
          </cell>
          <cell r="Z57">
            <v>1.2868554090382245</v>
          </cell>
          <cell r="AA57">
            <v>0.58258234468677006</v>
          </cell>
          <cell r="AB57">
            <v>-0.41782544088092122</v>
          </cell>
          <cell r="AC57">
            <v>-1.7287333507821154</v>
          </cell>
          <cell r="AD57">
            <v>-3.3658498501170113</v>
          </cell>
          <cell r="AE57">
            <v>-5.3457468009748323</v>
          </cell>
          <cell r="AF57">
            <v>-7.6855716634374893</v>
          </cell>
          <cell r="AG57">
            <v>-10.40286762120687</v>
          </cell>
        </row>
        <row r="58">
          <cell r="P58">
            <v>12250</v>
          </cell>
          <cell r="R58">
            <v>-8.1605093032777649</v>
          </cell>
          <cell r="S58">
            <v>-2.9424924860635651</v>
          </cell>
          <cell r="T58">
            <v>-0.84457433061589082</v>
          </cell>
          <cell r="U58">
            <v>0.36257072183106365</v>
          </cell>
          <cell r="V58">
            <v>1.1103849973047826</v>
          </cell>
          <cell r="W58">
            <v>1.5306636163763532</v>
          </cell>
          <cell r="X58">
            <v>1.6695882123436137</v>
          </cell>
          <cell r="Y58">
            <v>1.5412353607769276</v>
          </cell>
          <cell r="Z58">
            <v>1.1454127227011166</v>
          </cell>
          <cell r="AA58">
            <v>0.47479350186823965</v>
          </cell>
          <cell r="AB58">
            <v>-0.48184062011843931</v>
          </cell>
          <cell r="AC58">
            <v>-1.7379780162424485</v>
          </cell>
          <cell r="AD58">
            <v>-3.3085040161561032</v>
          </cell>
          <cell r="AE58">
            <v>-5.2092019930845135</v>
          </cell>
          <cell r="AF58">
            <v>-7.4564540159679877</v>
          </cell>
          <cell r="AG58">
            <v>-10.067053757051038</v>
          </cell>
        </row>
        <row r="59">
          <cell r="P59">
            <v>12500</v>
          </cell>
          <cell r="R59">
            <v>-8.555739684084271</v>
          </cell>
          <cell r="S59">
            <v>-3.1875401044040368</v>
          </cell>
          <cell r="T59">
            <v>-1.0546874221356974</v>
          </cell>
          <cell r="U59">
            <v>0.16300190197374231</v>
          </cell>
          <cell r="V59">
            <v>0.91568231593605964</v>
          </cell>
          <cell r="W59">
            <v>1.3418367525561616</v>
          </cell>
          <cell r="X59">
            <v>1.4908991402941323</v>
          </cell>
          <cell r="Y59">
            <v>1.3789100309807494</v>
          </cell>
          <cell r="Z59">
            <v>1.0070684757226542</v>
          </cell>
          <cell r="AA59">
            <v>0.36915277526442136</v>
          </cell>
          <cell r="AB59">
            <v>-0.54510645166504967</v>
          </cell>
          <cell r="AC59">
            <v>-1.7483397341793421</v>
          </cell>
          <cell r="AD59">
            <v>-3.2546306154489404</v>
          </cell>
          <cell r="AE59">
            <v>-5.0789967191094805</v>
          </cell>
          <cell r="AF59">
            <v>-7.2370783891067072</v>
          </cell>
          <cell r="AG59">
            <v>-9.7449440895995636</v>
          </cell>
        </row>
        <row r="60">
          <cell r="P60">
            <v>12750</v>
          </cell>
          <cell r="R60">
            <v>-8.9640095423883164</v>
          </cell>
          <cell r="S60">
            <v>-3.4371303327328486</v>
          </cell>
          <cell r="T60">
            <v>-1.2658734854331517</v>
          </cell>
          <cell r="U60">
            <v>-3.5603856510530996E-2</v>
          </cell>
          <cell r="V60">
            <v>0.72324365720940009</v>
          </cell>
          <cell r="W60">
            <v>1.1560558187669707</v>
          </cell>
          <cell r="X60">
            <v>1.3155970083070716</v>
          </cell>
          <cell r="Y60">
            <v>1.219898212388798</v>
          </cell>
          <cell r="Z60">
            <v>0.87155335375534193</v>
          </cell>
          <cell r="AA60">
            <v>0.26543782324193854</v>
          </cell>
          <cell r="AB60">
            <v>-0.60778309662960583</v>
          </cell>
          <cell r="AC60">
            <v>-1.7599000198536503</v>
          </cell>
          <cell r="AD60">
            <v>-3.2042148813575855</v>
          </cell>
          <cell r="AE60">
            <v>-4.9550011795257394</v>
          </cell>
          <cell r="AF60">
            <v>-7.027180121713732</v>
          </cell>
          <cell r="AG60">
            <v>-9.4361182151949681</v>
          </cell>
        </row>
        <row r="61">
          <cell r="P61">
            <v>13000</v>
          </cell>
          <cell r="R61">
            <v>-9.3859595204959714</v>
          </cell>
          <cell r="S61">
            <v>-3.6916658937033704</v>
          </cell>
          <cell r="T61">
            <v>-1.478482762836185</v>
          </cell>
          <cell r="U61">
            <v>-0.23358359645723636</v>
          </cell>
          <cell r="V61">
            <v>0.53273588010414308</v>
          </cell>
          <cell r="W61">
            <v>0.97299289872420047</v>
          </cell>
          <cell r="X61">
            <v>1.1433655361950672</v>
          </cell>
          <cell r="Y61">
            <v>1.0639046861523245</v>
          </cell>
          <cell r="Z61">
            <v>0.73860471638420355</v>
          </cell>
          <cell r="AA61">
            <v>0.16343173175526005</v>
          </cell>
          <cell r="AB61">
            <v>-0.6700272153737763</v>
          </cell>
          <cell r="AC61">
            <v>-1.7727395199360743</v>
          </cell>
          <cell r="AD61">
            <v>-3.1572445444302781</v>
          </cell>
          <cell r="AE61">
            <v>-4.8370922019328315</v>
          </cell>
          <cell r="AF61">
            <v>-6.8265061059053815</v>
          </cell>
          <cell r="AG61">
            <v>-9.1401730388244111</v>
          </cell>
        </row>
        <row r="62">
          <cell r="P62">
            <v>13250</v>
          </cell>
          <cell r="R62">
            <v>-9.8222510830135992</v>
          </cell>
          <cell r="S62">
            <v>-3.9515564872771307</v>
          </cell>
          <cell r="T62">
            <v>-1.6928667309416037</v>
          </cell>
          <cell r="U62">
            <v>-0.4312721612675503</v>
          </cell>
          <cell r="V62">
            <v>0.34383029807901533</v>
          </cell>
          <cell r="W62">
            <v>0.79232596069782901</v>
          </cell>
          <cell r="X62">
            <v>0.97389506512170088</v>
          </cell>
          <cell r="Y62">
            <v>0.91064094673334028</v>
          </cell>
          <cell r="Z62">
            <v>0.6079660950709691</v>
          </cell>
          <cell r="AA62">
            <v>6.2922576750567893E-2</v>
          </cell>
          <cell r="AB62">
            <v>-0.73199231775129181</v>
          </cell>
          <cell r="AC62">
            <v>-1.7869382507060254</v>
          </cell>
          <cell r="AD62">
            <v>-3.1137099322299617</v>
          </cell>
          <cell r="AE62">
            <v>-4.725153174625448</v>
          </cell>
          <cell r="AF62">
            <v>-6.6348145249854973</v>
          </cell>
          <cell r="AG62">
            <v>-8.8567222855717329</v>
          </cell>
        </row>
        <row r="63">
          <cell r="P63">
            <v>13500</v>
          </cell>
          <cell r="R63">
            <v>-10.273567555752962</v>
          </cell>
          <cell r="S63">
            <v>-4.2172194532549518</v>
          </cell>
          <cell r="T63">
            <v>-1.909378685081069</v>
          </cell>
          <cell r="U63">
            <v>-0.62900276448866377</v>
          </cell>
          <cell r="V63">
            <v>0.15620210925041356</v>
          </cell>
          <cell r="W63">
            <v>0.61373828919522433</v>
          </cell>
          <cell r="X63">
            <v>0.80688200049938241</v>
          </cell>
          <cell r="Y63">
            <v>0.75982467035195</v>
          </cell>
          <cell r="Z63">
            <v>0.47938670462442068</v>
          </cell>
          <cell r="AA63">
            <v>-3.6297001470501966E-2</v>
          </cell>
          <cell r="AB63">
            <v>-0.793829103988547</v>
          </cell>
          <cell r="AC63">
            <v>-1.8025758305586932</v>
          </cell>
          <cell r="AD63">
            <v>-3.0736040682396091</v>
          </cell>
          <cell r="AE63">
            <v>-4.6190739851519105</v>
          </cell>
          <cell r="AF63">
            <v>-6.4518746034575036</v>
          </cell>
          <cell r="AG63">
            <v>-8.5853960324717011</v>
          </cell>
        </row>
        <row r="64">
          <cell r="P64">
            <v>13750</v>
          </cell>
          <cell r="R64">
            <v>-10.740615197863834</v>
          </cell>
          <cell r="S64">
            <v>-4.4890804444607983</v>
          </cell>
          <cell r="T64">
            <v>-2.1283743249252955</v>
          </cell>
          <cell r="U64">
            <v>-0.82710755474123809</v>
          </cell>
          <cell r="V64">
            <v>-3.0470164878981798E-2</v>
          </cell>
          <cell r="W64">
            <v>0.43691792777670946</v>
          </cell>
          <cell r="X64">
            <v>0.64202826750838038</v>
          </cell>
          <cell r="Y64">
            <v>0.61117919653631914</v>
          </cell>
          <cell r="Z64">
            <v>0.35262096727536529</v>
          </cell>
          <cell r="AA64">
            <v>-0.13443021276235978</v>
          </cell>
          <cell r="AB64">
            <v>-0.85568579692077718</v>
          </cell>
          <cell r="AC64">
            <v>-1.8197317073764829</v>
          </cell>
          <cell r="AD64">
            <v>-3.0369227702031156</v>
          </cell>
          <cell r="AE64">
            <v>-4.5187509639795502</v>
          </cell>
          <cell r="AF64">
            <v>-6.2774663689548138</v>
          </cell>
          <cell r="AG64">
            <v>-8.3258402602761805</v>
          </cell>
        </row>
        <row r="65">
          <cell r="P65">
            <v>14000</v>
          </cell>
          <cell r="R65">
            <v>-11.224124308879563</v>
          </cell>
          <cell r="S65">
            <v>-4.7675741116693899</v>
          </cell>
          <cell r="T65">
            <v>-2.3502123422028705</v>
          </cell>
          <cell r="U65">
            <v>-1.0259181769571839</v>
          </cell>
          <cell r="V65">
            <v>-0.21650523311570113</v>
          </cell>
          <cell r="W65">
            <v>0.26155713202050346</v>
          </cell>
          <cell r="X65">
            <v>0.47904077825958558</v>
          </cell>
          <cell r="Y65">
            <v>0.46443302182566226</v>
          </cell>
          <cell r="Z65">
            <v>0.22742804846105447</v>
          </cell>
          <cell r="AA65">
            <v>-0.23167652133281358</v>
          </cell>
          <cell r="AB65">
            <v>-0.91770846627682579</v>
          </cell>
          <cell r="AC65">
            <v>-1.8384853813048792</v>
          </cell>
          <cell r="AD65">
            <v>-3.0036647482511913</v>
          </cell>
          <cell r="AE65">
            <v>-4.4240868333858892</v>
          </cell>
          <cell r="AF65">
            <v>-6.1113804259363729</v>
          </cell>
          <cell r="AG65">
            <v>-8.077716424663187</v>
          </cell>
        </row>
        <row r="66">
          <cell r="P66">
            <v>14250</v>
          </cell>
          <cell r="R66">
            <v>-11.724850372414164</v>
          </cell>
          <cell r="S66">
            <v>-5.0531448013848541</v>
          </cell>
          <cell r="T66">
            <v>-2.5752550115104764</v>
          </cell>
          <cell r="U66">
            <v>-1.2257663308815849</v>
          </cell>
          <cell r="V66">
            <v>-0.40221958165348504</v>
          </cell>
          <cell r="W66">
            <v>8.7351831674391534E-2</v>
          </cell>
          <cell r="X66">
            <v>0.31763090964714791</v>
          </cell>
          <cell r="Y66">
            <v>0.31931930470158787</v>
          </cell>
          <cell r="Z66">
            <v>0.10357140344860549</v>
          </cell>
          <cell r="AA66">
            <v>-0.32823204041385878</v>
          </cell>
          <cell r="AB66">
            <v>-0.98004134568584567</v>
          </cell>
          <cell r="AC66">
            <v>-1.8589166234578782</v>
          </cell>
          <cell r="AD66">
            <v>-2.9738317031530883</v>
          </cell>
          <cell r="AE66">
            <v>-4.3349906616941336</v>
          </cell>
          <cell r="AF66">
            <v>-5.9534177410033688</v>
          </cell>
          <cell r="AG66">
            <v>-7.8407010464404276</v>
          </cell>
        </row>
        <row r="67">
          <cell r="P67">
            <v>14500</v>
          </cell>
          <cell r="R67">
            <v>-12.243575238305203</v>
          </cell>
          <cell r="S67">
            <v>-5.3462472675956194</v>
          </cell>
          <cell r="T67">
            <v>-2.8038687851933171</v>
          </cell>
          <cell r="U67">
            <v>-1.4269843277848111</v>
          </cell>
          <cell r="V67">
            <v>-0.58792801547762608</v>
          </cell>
          <cell r="W67">
            <v>-8.599889894945667E-2</v>
          </cell>
          <cell r="X67">
            <v>0.15751399095909768</v>
          </cell>
          <cell r="Y67">
            <v>0.17557538084634494</v>
          </cell>
          <cell r="Z67">
            <v>-1.9181666049889134E-2</v>
          </cell>
          <cell r="AA67">
            <v>-0.424289918172017</v>
          </cell>
          <cell r="AB67">
            <v>-1.0428271430607727</v>
          </cell>
          <cell r="AC67">
            <v>-1.8811056910642356</v>
          </cell>
          <cell r="AD67">
            <v>-2.9474284250273168</v>
          </cell>
          <cell r="AE67">
            <v>-4.2513778229714614</v>
          </cell>
          <cell r="AF67">
            <v>-5.803389439702463</v>
          </cell>
          <cell r="AG67">
            <v>-7.6144853203153744</v>
          </cell>
        </row>
        <row r="68">
          <cell r="P68">
            <v>14750</v>
          </cell>
          <cell r="R68">
            <v>-12.781108345055271</v>
          </cell>
          <cell r="S68">
            <v>-5.647347398650524</v>
          </cell>
          <cell r="T68">
            <v>-3.0364248932781805</v>
          </cell>
          <cell r="U68">
            <v>-1.6299056463247259</v>
          </cell>
          <cell r="V68">
            <v>-0.77394419502680978</v>
          </cell>
          <cell r="W68">
            <v>-0.25879336326278057</v>
          </cell>
          <cell r="X68">
            <v>-1.5911996657538285E-3</v>
          </cell>
          <cell r="Y68">
            <v>3.2942287848111818E-2</v>
          </cell>
          <cell r="Z68">
            <v>-0.14106044609646617</v>
          </cell>
          <cell r="AA68">
            <v>-0.52004071560433562</v>
          </cell>
          <cell r="AB68">
            <v>-1.1062073449964744</v>
          </cell>
          <cell r="AC68">
            <v>-1.9051335395532634</v>
          </cell>
          <cell r="AD68">
            <v>-2.924462892837794</v>
          </cell>
          <cell r="AE68">
            <v>-4.1731699623091902</v>
          </cell>
          <cell r="AF68">
            <v>-5.6611166146905916</v>
          </cell>
          <cell r="AG68">
            <v>-7.3987747418241518</v>
          </cell>
        </row>
        <row r="69">
          <cell r="P69">
            <v>15000</v>
          </cell>
          <cell r="R69">
            <v>-13.338287984486238</v>
          </cell>
          <cell r="S69">
            <v>-5.9569229604226868</v>
          </cell>
          <cell r="T69">
            <v>-3.2732999494467885</v>
          </cell>
          <cell r="U69">
            <v>-1.8348654884942808</v>
          </cell>
          <cell r="V69">
            <v>-0.96058116903226143</v>
          </cell>
          <cell r="W69">
            <v>-0.43132775828305836</v>
          </cell>
          <cell r="X69">
            <v>-0.15996293082763469</v>
          </cell>
          <cell r="Y69">
            <v>-0.10883570150644251</v>
          </cell>
          <cell r="Z69">
            <v>-0.26229123638637475</v>
          </cell>
          <cell r="AA69">
            <v>-0.61567277714753921</v>
          </cell>
          <cell r="AB69">
            <v>-1.1703225158045334</v>
          </cell>
          <cell r="AC69">
            <v>-1.9310820320670683</v>
          </cell>
          <cell r="AD69">
            <v>-2.9049463749956947</v>
          </cell>
          <cell r="AE69">
            <v>-4.1002949668050723</v>
          </cell>
          <cell r="AF69">
            <v>-5.5264301451459348</v>
          </cell>
          <cell r="AG69">
            <v>-7.1932887520313225</v>
          </cell>
        </row>
        <row r="70">
          <cell r="P70">
            <v>15250</v>
          </cell>
          <cell r="R70">
            <v>-13.915982610585081</v>
          </cell>
          <cell r="S70">
            <v>-6.2754643569512982</v>
          </cell>
          <cell r="T70">
            <v>-3.51487656404408</v>
          </cell>
          <cell r="U70">
            <v>-2.0422013365868947</v>
          </cell>
          <cell r="V70">
            <v>-1.1481519044445057</v>
          </cell>
          <cell r="W70">
            <v>-0.60389668500523674</v>
          </cell>
          <cell r="X70">
            <v>-0.31787700637842264</v>
          </cell>
          <cell r="Y70">
            <v>-0.25001153819378241</v>
          </cell>
          <cell r="Z70">
            <v>-0.38309776853453381</v>
          </cell>
          <cell r="AA70">
            <v>-0.71137259471064684</v>
          </cell>
          <cell r="AB70">
            <v>-1.2353125917921384</v>
          </cell>
          <cell r="AC70">
            <v>-1.95903414687572</v>
          </cell>
          <cell r="AD70">
            <v>-2.8888935313822213</v>
          </cell>
          <cell r="AE70">
            <v>-4.0326869423694047</v>
          </cell>
          <cell r="AF70">
            <v>-5.3991705273196526</v>
          </cell>
          <cell r="AG70">
            <v>-6.9977603996322797</v>
          </cell>
        </row>
        <row r="71">
          <cell r="P71">
            <v>15500</v>
          </cell>
          <cell r="R71">
            <v>-14.515092194587425</v>
          </cell>
          <cell r="S71">
            <v>-6.6034754097767525</v>
          </cell>
          <cell r="T71">
            <v>-3.7615439651245186</v>
          </cell>
          <cell r="U71">
            <v>-2.2522535121105127</v>
          </cell>
          <cell r="V71">
            <v>-1.336969814349888</v>
          </cell>
          <cell r="W71">
            <v>-0.77679365414702772</v>
          </cell>
          <cell r="X71">
            <v>-0.4756072477175215</v>
          </cell>
          <cell r="Y71">
            <v>-0.39083584899366275</v>
          </cell>
          <cell r="Z71">
            <v>-0.50370161755961451</v>
          </cell>
          <cell r="AA71">
            <v>-0.80732516582547098</v>
          </cell>
          <cell r="AB71">
            <v>-1.3013171713791107</v>
          </cell>
          <cell r="AC71">
            <v>-1.989074183162119</v>
          </cell>
          <cell r="AD71">
            <v>-2.8763225171029774</v>
          </cell>
          <cell r="AE71">
            <v>-3.9702861964788836</v>
          </cell>
          <cell r="AF71">
            <v>-5.2791877161328458</v>
          </cell>
          <cell r="AG71">
            <v>-6.8119360201093757</v>
          </cell>
        </row>
        <row r="72">
          <cell r="P72">
            <v>15750</v>
          </cell>
          <cell r="R72">
            <v>-15.13654962841591</v>
          </cell>
          <cell r="S72">
            <v>-6.9414741572120793</v>
          </cell>
          <cell r="T72">
            <v>-4.0136986285497827</v>
          </cell>
          <cell r="U72">
            <v>-2.4653657375815117</v>
          </cell>
          <cell r="V72">
            <v>-1.5273492847725969</v>
          </cell>
          <cell r="W72">
            <v>-0.95031158814051264</v>
          </cell>
          <cell r="X72">
            <v>-0.63342597071762796</v>
          </cell>
          <cell r="Y72">
            <v>-0.53155738241690176</v>
          </cell>
          <cell r="Z72">
            <v>-0.62432260732044043</v>
          </cell>
          <cell r="AA72">
            <v>-0.903714346594924</v>
          </cell>
          <cell r="AB72">
            <v>-1.3684758016349849</v>
          </cell>
          <cell r="AC72">
            <v>-2.021287965634893</v>
          </cell>
          <cell r="AD72">
            <v>-2.8672550882810004</v>
          </cell>
          <cell r="AE72">
            <v>-3.9130392270045746</v>
          </cell>
          <cell r="AF72">
            <v>-5.1663409777334817</v>
          </cell>
          <cell r="AG72">
            <v>-6.6355749316120178</v>
          </cell>
        </row>
        <row r="73">
          <cell r="P73">
            <v>16000</v>
          </cell>
          <cell r="R73">
            <v>-15.781322178664364</v>
          </cell>
          <cell r="S73">
            <v>-7.28999367482281</v>
          </cell>
          <cell r="T73">
            <v>-4.2717449181630105</v>
          </cell>
          <cell r="U73">
            <v>-2.6818857021312068</v>
          </cell>
          <cell r="V73">
            <v>-1.7196062012528088</v>
          </cell>
          <cell r="W73">
            <v>-1.1247433202330974</v>
          </cell>
          <cell r="X73">
            <v>-0.79160445811445079</v>
          </cell>
          <cell r="Y73">
            <v>-0.67242344931566711</v>
          </cell>
          <cell r="Z73">
            <v>-0.74517921064505677</v>
          </cell>
          <cell r="AA73">
            <v>-1.0007232001056909</v>
          </cell>
          <cell r="AB73">
            <v>-1.4369282618068735</v>
          </cell>
          <cell r="AC73">
            <v>-2.0557630484198777</v>
          </cell>
          <cell r="AD73">
            <v>-2.8617167101925691</v>
          </cell>
          <cell r="AE73">
            <v>-3.8608987172434879</v>
          </cell>
          <cell r="AF73">
            <v>-5.0604987529382779</v>
          </cell>
          <cell r="AG73">
            <v>-6.4684491472499799</v>
          </cell>
        </row>
        <row r="74">
          <cell r="P74">
            <v>16250</v>
          </cell>
          <cell r="R74">
            <v>-16.450412993396373</v>
          </cell>
          <cell r="S74">
            <v>-7.6495829184189255</v>
          </cell>
          <cell r="T74">
            <v>-4.5360957370783161</v>
          </cell>
          <cell r="U74">
            <v>-2.9021656318611262</v>
          </cell>
          <cell r="V74">
            <v>-1.9140584760882455</v>
          </cell>
          <cell r="W74">
            <v>-1.3003820915529536</v>
          </cell>
          <cell r="X74">
            <v>-0.95041342818349395</v>
          </cell>
          <cell r="Y74">
            <v>-0.81368035895872359</v>
          </cell>
          <cell r="Z74">
            <v>-0.8664889448799955</v>
          </cell>
          <cell r="AA74">
            <v>-1.098534340959908</v>
          </cell>
          <cell r="AB74">
            <v>-1.5068148443990133</v>
          </cell>
          <cell r="AC74">
            <v>-2.0925889186741697</v>
          </cell>
          <cell r="AD74">
            <v>-2.859736668047657</v>
          </cell>
          <cell r="AE74">
            <v>-3.8138235372866625</v>
          </cell>
          <cell r="AF74">
            <v>-4.9615385314949823</v>
          </cell>
          <cell r="AG74">
            <v>-6.310343103507833</v>
          </cell>
        </row>
        <row r="75">
          <cell r="P75">
            <v>16500</v>
          </cell>
          <cell r="R75">
            <v>-17.144862664107933</v>
          </cell>
          <cell r="S75">
            <v>-8.0208075908960001</v>
          </cell>
          <cell r="T75">
            <v>-4.8071731911395474</v>
          </cell>
          <cell r="U75">
            <v>-3.1265628658879736</v>
          </cell>
          <cell r="V75">
            <v>-2.1110265771243606</v>
          </cell>
          <cell r="W75">
            <v>-1.4775220469874144</v>
          </cell>
          <cell r="X75">
            <v>-1.110123500517437</v>
          </cell>
          <cell r="Y75">
            <v>-0.95557385134283912</v>
          </cell>
          <cell r="Z75">
            <v>-0.98846876357562885</v>
          </cell>
          <cell r="AA75">
            <v>-1.1973302765696143</v>
          </cell>
          <cell r="AB75">
            <v>-1.578276634355952</v>
          </cell>
          <cell r="AC75">
            <v>-2.1318572003609138</v>
          </cell>
          <cell r="AD75">
            <v>-2.8613481807154617</v>
          </cell>
          <cell r="AE75">
            <v>-3.7717787518607135</v>
          </cell>
          <cell r="AF75">
            <v>-4.869346737111222</v>
          </cell>
          <cell r="AG75">
            <v>-6.1610534045070331</v>
          </cell>
        </row>
        <row r="76">
          <cell r="P76">
            <v>16750</v>
          </cell>
          <cell r="R76">
            <v>-17.865750845288392</v>
          </cell>
          <cell r="S76">
            <v>-8.4042510342981309</v>
          </cell>
          <cell r="T76">
            <v>-5.085409265619159</v>
          </cell>
          <cell r="U76">
            <v>-3.3554404390256165</v>
          </cell>
          <cell r="V76">
            <v>-2.3108340589779592</v>
          </cell>
          <cell r="W76">
            <v>-1.6564587307176999</v>
          </cell>
          <cell r="X76">
            <v>-1.2710056597095021</v>
          </cell>
          <cell r="Y76">
            <v>-1.0983495265017216</v>
          </cell>
          <cell r="Z76">
            <v>-1.1113354450132356</v>
          </cell>
          <cell r="AA76">
            <v>-1.2972937458481857</v>
          </cell>
          <cell r="AB76">
            <v>-1.6514557868935844</v>
          </cell>
          <cell r="AC76">
            <v>-2.1736618586181198</v>
          </cell>
          <cell r="AD76">
            <v>-2.8665885176945869</v>
          </cell>
          <cell r="AE76">
            <v>-3.7347356347841352</v>
          </cell>
          <cell r="AF76">
            <v>-4.7838186232068134</v>
          </cell>
          <cell r="AG76">
            <v>-6.020388581860673</v>
          </cell>
        </row>
        <row r="77">
          <cell r="P77">
            <v>17000</v>
          </cell>
          <cell r="R77">
            <v>-18.614197934102471</v>
          </cell>
          <cell r="S77">
            <v>-8.800515148513119</v>
          </cell>
          <cell r="T77">
            <v>-5.3712465162467335</v>
          </cell>
          <cell r="U77">
            <v>-3.5891676720593937</v>
          </cell>
          <cell r="V77">
            <v>-2.5138080975800161</v>
          </cell>
          <cell r="W77">
            <v>-1.8374895822496544</v>
          </cell>
          <cell r="X77">
            <v>-1.4333317177414027</v>
          </cell>
          <cell r="Y77">
            <v>-1.2422532715653745</v>
          </cell>
          <cell r="Z77">
            <v>-1.2353059782703504</v>
          </cell>
          <cell r="AA77">
            <v>-1.3986080559244507</v>
          </cell>
          <cell r="AB77">
            <v>-1.7264958045154344</v>
          </cell>
          <cell r="AC77">
            <v>-2.2180994051508485</v>
          </cell>
          <cell r="AD77">
            <v>-2.8754991196273414</v>
          </cell>
          <cell r="AE77">
            <v>-3.7026716901845544</v>
          </cell>
          <cell r="AF77">
            <v>-4.7048581793574558</v>
          </cell>
          <cell r="AG77">
            <v>-5.8881688698840549</v>
          </cell>
        </row>
        <row r="78">
          <cell r="P78">
            <v>17250</v>
          </cell>
          <cell r="R78">
            <v>-19.39136681280884</v>
          </cell>
          <cell r="S78">
            <v>-9.2102213380504381</v>
          </cell>
          <cell r="T78">
            <v>-5.6651387756772698</v>
          </cell>
          <cell r="U78">
            <v>-3.8281207705776543</v>
          </cell>
          <cell r="V78">
            <v>-2.7202800289260565</v>
          </cell>
          <cell r="W78">
            <v>-2.020914433777981</v>
          </cell>
          <cell r="X78">
            <v>-1.5973747758692165</v>
          </cell>
          <cell r="Y78">
            <v>-1.3875316863156697</v>
          </cell>
          <cell r="Z78">
            <v>-1.3605979475132906</v>
          </cell>
          <cell r="AA78">
            <v>-1.5014574174980548</v>
          </cell>
          <cell r="AB78">
            <v>-1.8035418137459536</v>
          </cell>
          <cell r="AC78">
            <v>-2.2652691050729823</v>
          </cell>
          <cell r="AD78">
            <v>-2.8881257226582226</v>
          </cell>
          <cell r="AE78">
            <v>-3.6755706806284465</v>
          </cell>
          <cell r="AF78">
            <v>-4.6323780484088921</v>
          </cell>
          <cell r="AG78">
            <v>-5.7642259959424909</v>
          </cell>
        </row>
        <row r="79">
          <cell r="P79">
            <v>17500</v>
          </cell>
          <cell r="R79">
            <v>-20.19846465662663</v>
          </cell>
          <cell r="S79">
            <v>-9.6340114883945631</v>
          </cell>
          <cell r="T79">
            <v>-5.9675518765313234</v>
          </cell>
          <cell r="U79">
            <v>-4.0726834333363868</v>
          </cell>
          <cell r="V79">
            <v>-2.9305858929263122</v>
          </cell>
          <cell r="W79">
            <v>-2.2070360097205146</v>
          </cell>
          <cell r="X79">
            <v>-1.7634096867963631</v>
          </cell>
          <cell r="Y79">
            <v>-1.5344325079779628</v>
          </cell>
          <cell r="Z79">
            <v>-1.4874299151990773</v>
          </cell>
          <cell r="AA79">
            <v>-1.6060272794482988</v>
          </cell>
          <cell r="AB79">
            <v>-1.882740842107764</v>
          </cell>
          <cell r="AC79">
            <v>-2.3152731856225111</v>
          </cell>
          <cell r="AD79">
            <v>-2.9045184869378238</v>
          </cell>
          <cell r="AE79">
            <v>-3.6534226623205712</v>
          </cell>
          <cell r="AF79">
            <v>-4.5662994542520146</v>
          </cell>
          <cell r="AG79">
            <v>-5.6484029857358085</v>
          </cell>
        </row>
        <row r="80">
          <cell r="P80">
            <v>17750</v>
          </cell>
          <cell r="R80">
            <v>-21.036744809862842</v>
          </cell>
          <cell r="S80">
            <v>-10.072548973471331</v>
          </cell>
          <cell r="T80">
            <v>-6.2789643921634628</v>
          </cell>
          <cell r="U80">
            <v>-4.3232474711457947</v>
          </cell>
          <cell r="V80">
            <v>-3.1450669832534945</v>
          </cell>
          <cell r="W80">
            <v>-2.3961604292598375</v>
          </cell>
          <cell r="X80">
            <v>-1.931713517920411</v>
          </cell>
          <cell r="Y80">
            <v>-1.6832050359841757</v>
          </cell>
          <cell r="Z80">
            <v>-1.6160218048638058</v>
          </cell>
          <cell r="AA80">
            <v>-1.7125046633038392</v>
          </cell>
          <cell r="AB80">
            <v>-1.9642420958661895</v>
          </cell>
          <cell r="AC80">
            <v>-2.3682170471729096</v>
          </cell>
          <cell r="AD80">
            <v>-2.9247321295753652</v>
          </cell>
          <cell r="AE80">
            <v>-3.6362240275366267</v>
          </cell>
          <cell r="AF80">
            <v>-4.5065521402608963</v>
          </cell>
          <cell r="AG80">
            <v>-5.540553983336908</v>
          </cell>
        </row>
        <row r="81">
          <cell r="P81">
            <v>18000</v>
          </cell>
          <cell r="R81">
            <v>-21.90750873321781</v>
          </cell>
          <cell r="S81">
            <v>-10.526519695811583</v>
          </cell>
          <cell r="T81">
            <v>-6.5998683963410905</v>
          </cell>
          <cell r="U81">
            <v>-4.5802134372816887</v>
          </cell>
          <cell r="V81">
            <v>-3.3640704040928324</v>
          </cell>
          <cell r="W81">
            <v>-2.5885977127313344</v>
          </cell>
          <cell r="X81">
            <v>-2.1025660164389581</v>
          </cell>
          <cell r="Y81">
            <v>-1.834100557439331</v>
          </cell>
          <cell r="Z81">
            <v>-1.7465952841702379</v>
          </cell>
          <cell r="AA81">
            <v>-1.8210784981765435</v>
          </cell>
          <cell r="AB81">
            <v>-2.0481972390615191</v>
          </cell>
          <cell r="AC81">
            <v>-2.4242094769625089</v>
          </cell>
          <cell r="AD81">
            <v>-2.9488260623455149</v>
          </cell>
          <cell r="AE81">
            <v>-3.6239775544592487</v>
          </cell>
          <cell r="AF81">
            <v>-4.4530743184075581</v>
          </cell>
          <cell r="AG81">
            <v>-5.4405440858197025</v>
          </cell>
        </row>
        <row r="82">
          <cell r="P82">
            <v>18250</v>
          </cell>
          <cell r="R82">
            <v>-22.812108025296354</v>
          </cell>
          <cell r="S82">
            <v>-10.996633161046441</v>
          </cell>
          <cell r="T82">
            <v>-6.9307702430437912</v>
          </cell>
          <cell r="U82">
            <v>-4.843991270440859</v>
          </cell>
          <cell r="V82">
            <v>-3.5879496347076456</v>
          </cell>
          <cell r="W82">
            <v>-2.7846622927004052</v>
          </cell>
          <cell r="X82">
            <v>-2.2762500771000376</v>
          </cell>
          <cell r="Y82">
            <v>-1.9873727740216878</v>
          </cell>
          <cell r="Z82">
            <v>-1.8793741488846047</v>
          </cell>
          <cell r="AA82">
            <v>-1.9319399567600928</v>
          </cell>
          <cell r="AB82">
            <v>-2.1347606743478478</v>
          </cell>
          <cell r="AC82">
            <v>-2.4833628659641311</v>
          </cell>
          <cell r="AD82">
            <v>-2.9768645344584703</v>
          </cell>
          <cell r="AE82">
            <v>-3.6166924645946397</v>
          </cell>
          <cell r="AF82">
            <v>-4.4058126290792394</v>
          </cell>
          <cell r="AG82">
            <v>-5.3482491923295692</v>
          </cell>
        </row>
        <row r="83">
          <cell r="P83">
            <v>18500</v>
          </cell>
          <cell r="R83">
            <v>-23.751946521466067</v>
          </cell>
          <cell r="S83">
            <v>-11.483623588420315</v>
          </cell>
          <cell r="T83">
            <v>-7.27219136762284</v>
          </cell>
          <cell r="U83">
            <v>-5.1150009512769863</v>
          </cell>
          <cell r="V83">
            <v>-3.8170651027435345</v>
          </cell>
          <cell r="W83">
            <v>-2.9846735305761829</v>
          </cell>
          <cell r="X83">
            <v>-2.4530522133837431</v>
          </cell>
          <cell r="Y83">
            <v>-2.143278231045695</v>
          </cell>
          <cell r="Z83">
            <v>-2.0145847084507067</v>
          </cell>
          <cell r="AA83">
            <v>-2.0452827929920367</v>
          </cell>
          <cell r="AB83">
            <v>-2.22408982615636</v>
          </cell>
          <cell r="AC83">
            <v>-2.5457934293181763</v>
          </cell>
          <cell r="AD83">
            <v>-3.0089167807060315</v>
          </cell>
          <cell r="AE83">
            <v>-3.6143844879546427</v>
          </cell>
          <cell r="AF83">
            <v>-4.3647221116361763</v>
          </cell>
          <cell r="AG83">
            <v>-5.2635558674672938</v>
          </cell>
        </row>
      </sheetData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E29"/>
  <sheetViews>
    <sheetView workbookViewId="0">
      <selection activeCell="B14" sqref="B14"/>
    </sheetView>
  </sheetViews>
  <sheetFormatPr baseColWidth="10" defaultRowHeight="12.75"/>
  <cols>
    <col min="1" max="1" width="30.140625" customWidth="1"/>
    <col min="3" max="3" width="12.42578125" bestFit="1" customWidth="1"/>
    <col min="4" max="4" width="21.7109375" customWidth="1"/>
    <col min="6" max="6" width="10.7109375" customWidth="1"/>
  </cols>
  <sheetData>
    <row r="2" spans="1:5">
      <c r="A2" s="229" t="s">
        <v>124</v>
      </c>
      <c r="B2" s="229"/>
      <c r="C2" s="229"/>
      <c r="D2" s="229"/>
      <c r="E2" s="229"/>
    </row>
    <row r="3" spans="1:5">
      <c r="A3" s="229"/>
      <c r="B3" s="229"/>
      <c r="C3" s="229"/>
      <c r="D3" s="229"/>
      <c r="E3" s="229"/>
    </row>
    <row r="5" spans="1:5">
      <c r="A5" s="4" t="s">
        <v>107</v>
      </c>
      <c r="B5" s="5">
        <v>4</v>
      </c>
      <c r="C5" s="1"/>
      <c r="D5" s="227" t="s">
        <v>129</v>
      </c>
      <c r="E5" s="228"/>
    </row>
    <row r="6" spans="1:5">
      <c r="A6" s="4" t="s">
        <v>125</v>
      </c>
      <c r="B6" s="5">
        <v>0.5</v>
      </c>
      <c r="C6" s="1"/>
      <c r="D6" s="4" t="s">
        <v>122</v>
      </c>
      <c r="E6" s="10">
        <v>287</v>
      </c>
    </row>
    <row r="7" spans="1:5">
      <c r="A7" s="4" t="s">
        <v>109</v>
      </c>
      <c r="B7" s="6">
        <v>50000</v>
      </c>
      <c r="C7" s="1"/>
      <c r="D7" s="4" t="s">
        <v>119</v>
      </c>
      <c r="E7" s="10">
        <v>1.4</v>
      </c>
    </row>
    <row r="8" spans="1:5">
      <c r="A8" s="4" t="s">
        <v>126</v>
      </c>
      <c r="B8" s="6">
        <v>2</v>
      </c>
      <c r="C8" s="1"/>
      <c r="D8" s="4" t="s">
        <v>120</v>
      </c>
      <c r="E8" s="10">
        <v>1005</v>
      </c>
    </row>
    <row r="9" spans="1:5">
      <c r="A9" s="4" t="s">
        <v>127</v>
      </c>
      <c r="B9" s="12">
        <v>0.8</v>
      </c>
      <c r="C9" s="1"/>
      <c r="D9" s="4" t="s">
        <v>121</v>
      </c>
      <c r="E9" s="10">
        <v>0.79500000000000004</v>
      </c>
    </row>
    <row r="10" spans="1:5">
      <c r="A10" s="1"/>
      <c r="B10" s="1"/>
      <c r="C10" s="1"/>
    </row>
    <row r="11" spans="1:5">
      <c r="A11" s="4" t="s">
        <v>110</v>
      </c>
      <c r="B11" s="3">
        <f>Alt*0.3048</f>
        <v>15240</v>
      </c>
      <c r="C11" s="1"/>
      <c r="D11" s="225" t="s">
        <v>128</v>
      </c>
      <c r="E11" s="226"/>
    </row>
    <row r="12" spans="1:5">
      <c r="A12" s="4" t="s">
        <v>118</v>
      </c>
      <c r="B12" s="7">
        <f>IF(Altm&lt;11000,288.15-(6.5*Altm/1000),216.65)</f>
        <v>216.65</v>
      </c>
      <c r="C12" s="1"/>
      <c r="D12" s="4" t="s">
        <v>130</v>
      </c>
      <c r="E12" s="10">
        <v>25</v>
      </c>
    </row>
    <row r="13" spans="1:5">
      <c r="A13" s="4" t="s">
        <v>111</v>
      </c>
      <c r="B13" s="3">
        <f>IF(Altm&lt;11000,101325*(1-(0.0065*Altm/288.15))^5.256,22631.26*EXP(-1.5769*0.0001*(Altm-11000)))</f>
        <v>11596.769134139564</v>
      </c>
      <c r="C13" s="1"/>
      <c r="D13" s="4" t="s">
        <v>131</v>
      </c>
      <c r="E13" s="11">
        <v>0.12</v>
      </c>
    </row>
    <row r="14" spans="1:5">
      <c r="A14" s="4" t="s">
        <v>112</v>
      </c>
      <c r="B14" s="8">
        <f>P/(_r*T)</f>
        <v>0.18650755178658177</v>
      </c>
      <c r="C14" s="1"/>
      <c r="D14" s="4" t="s">
        <v>132</v>
      </c>
      <c r="E14" s="10">
        <v>0.38</v>
      </c>
    </row>
    <row r="15" spans="1:5">
      <c r="A15" s="4" t="s">
        <v>123</v>
      </c>
      <c r="B15" s="9">
        <f>1.458*(10^-6)*((T^1.5)/(110.4+T))/rho</f>
        <v>7.6222815967691705E-5</v>
      </c>
      <c r="C15" s="1"/>
      <c r="D15" s="4" t="s">
        <v>133</v>
      </c>
      <c r="E15" s="10">
        <v>5</v>
      </c>
    </row>
    <row r="16" spans="1:5">
      <c r="A16" s="4" t="s">
        <v>113</v>
      </c>
      <c r="B16" s="7">
        <f>9.80665*(6356766/(6356766+Altm))^2</f>
        <v>9.7597967417459532</v>
      </c>
      <c r="C16" s="1"/>
      <c r="D16" s="1"/>
      <c r="E16" s="1"/>
    </row>
    <row r="17" spans="1:5">
      <c r="A17" s="4" t="s">
        <v>108</v>
      </c>
      <c r="B17" s="2">
        <f>rho/1.225</f>
        <v>0.15225106268292388</v>
      </c>
      <c r="C17" s="1"/>
      <c r="D17" s="225" t="s">
        <v>134</v>
      </c>
      <c r="E17" s="226"/>
    </row>
    <row r="18" spans="1:5">
      <c r="A18" s="4" t="s">
        <v>114</v>
      </c>
      <c r="B18" s="2">
        <f>SQRT(gamma*_r*T)</f>
        <v>295.04231899847855</v>
      </c>
      <c r="C18" s="1"/>
      <c r="D18" s="4" t="s">
        <v>131</v>
      </c>
      <c r="E18" s="11">
        <v>0.09</v>
      </c>
    </row>
    <row r="19" spans="1:5">
      <c r="A19" s="4" t="s">
        <v>115</v>
      </c>
      <c r="B19" s="2">
        <f>T*(1+(gamma-1)/2*(Mach^2))</f>
        <v>227.48250000000002</v>
      </c>
      <c r="C19" s="1"/>
      <c r="D19" s="4" t="s">
        <v>137</v>
      </c>
      <c r="E19" s="10">
        <v>50</v>
      </c>
    </row>
    <row r="20" spans="1:5">
      <c r="A20" s="4" t="s">
        <v>116</v>
      </c>
      <c r="B20" s="2">
        <f>P*((1+(gamma-1)/2*Mach^2)^(gamma/(gamma-1)))</f>
        <v>13756.234107399545</v>
      </c>
      <c r="C20" s="1"/>
      <c r="D20" s="4" t="s">
        <v>135</v>
      </c>
      <c r="E20" s="10">
        <v>0.55000000000000004</v>
      </c>
    </row>
    <row r="21" spans="1:5">
      <c r="A21" s="1"/>
      <c r="B21" s="1"/>
      <c r="C21" s="1"/>
      <c r="D21" s="1"/>
      <c r="E21" s="1"/>
    </row>
    <row r="22" spans="1:5">
      <c r="A22" s="4" t="s">
        <v>117</v>
      </c>
      <c r="B22" s="2">
        <f>Mach*a</f>
        <v>147.52115949923927</v>
      </c>
      <c r="C22" s="1"/>
      <c r="D22" s="225" t="s">
        <v>136</v>
      </c>
      <c r="E22" s="226"/>
    </row>
    <row r="23" spans="1:5">
      <c r="A23" s="4" t="s">
        <v>300</v>
      </c>
      <c r="B23" s="2">
        <f>1.9438*V</f>
        <v>286.75162983462133</v>
      </c>
      <c r="C23" s="1"/>
      <c r="D23" s="4" t="s">
        <v>130</v>
      </c>
      <c r="E23" s="10">
        <v>10</v>
      </c>
    </row>
    <row r="25" spans="1:5">
      <c r="D25" s="225" t="s">
        <v>196</v>
      </c>
      <c r="E25" s="226"/>
    </row>
    <row r="26" spans="1:5">
      <c r="D26" s="52" t="s">
        <v>200</v>
      </c>
      <c r="E26" s="10">
        <v>2.2999999999999998</v>
      </c>
    </row>
    <row r="27" spans="1:5">
      <c r="D27" s="52" t="s">
        <v>199</v>
      </c>
      <c r="E27" s="10">
        <v>0.95</v>
      </c>
    </row>
    <row r="28" spans="1:5">
      <c r="D28" s="52" t="s">
        <v>198</v>
      </c>
      <c r="E28" s="10">
        <v>610</v>
      </c>
    </row>
    <row r="29" spans="1:5">
      <c r="D29" s="52" t="s">
        <v>197</v>
      </c>
      <c r="E29" s="10">
        <v>80</v>
      </c>
    </row>
  </sheetData>
  <mergeCells count="6">
    <mergeCell ref="D25:E25"/>
    <mergeCell ref="D5:E5"/>
    <mergeCell ref="A2:E3"/>
    <mergeCell ref="D11:E11"/>
    <mergeCell ref="D22:E22"/>
    <mergeCell ref="D17:E17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E87"/>
  <sheetViews>
    <sheetView topLeftCell="A49" workbookViewId="0">
      <selection activeCell="B4" sqref="B4"/>
    </sheetView>
  </sheetViews>
  <sheetFormatPr baseColWidth="10" defaultRowHeight="12.75"/>
  <cols>
    <col min="1" max="1" width="36.28515625" style="1" customWidth="1"/>
    <col min="2" max="2" width="29" style="1" customWidth="1"/>
    <col min="3" max="3" width="21" style="1" customWidth="1"/>
    <col min="4" max="4" width="35.140625" style="1" customWidth="1"/>
    <col min="5" max="5" width="21" style="1" customWidth="1"/>
    <col min="6" max="16384" width="11.42578125" style="1"/>
  </cols>
  <sheetData>
    <row r="1" spans="1:5">
      <c r="A1" s="234" t="s">
        <v>257</v>
      </c>
      <c r="B1" s="234"/>
      <c r="D1" s="230" t="s">
        <v>205</v>
      </c>
      <c r="E1" s="230"/>
    </row>
    <row r="2" spans="1:5">
      <c r="A2" s="52" t="s">
        <v>26</v>
      </c>
      <c r="B2" s="2">
        <f>LMoteurPrime*e^0.5</f>
        <v>2.0571825392998062</v>
      </c>
      <c r="D2" s="4" t="s">
        <v>305</v>
      </c>
      <c r="E2" s="5">
        <v>30000</v>
      </c>
    </row>
    <row r="3" spans="1:5">
      <c r="A3" s="52" t="s">
        <v>190</v>
      </c>
      <c r="B3" s="2">
        <f>DMoteurPrime*e^0.6</f>
        <v>0.8309551761968913</v>
      </c>
      <c r="D3" s="4" t="s">
        <v>303</v>
      </c>
      <c r="E3" s="5">
        <v>0.45</v>
      </c>
    </row>
    <row r="4" spans="1:5">
      <c r="A4" s="52" t="s">
        <v>191</v>
      </c>
      <c r="B4" s="2">
        <f>MMoteurPrime*e^0.9</f>
        <v>499.01180909102362</v>
      </c>
      <c r="D4" s="4" t="s">
        <v>304</v>
      </c>
      <c r="E4" s="5">
        <v>3200</v>
      </c>
    </row>
    <row r="5" spans="1:5">
      <c r="A5" s="52" t="s">
        <v>192</v>
      </c>
      <c r="B5" s="2">
        <f>D0Prime*e</f>
        <v>64</v>
      </c>
      <c r="D5" s="4" t="s">
        <v>302</v>
      </c>
      <c r="E5" s="5">
        <v>0.69599999999999995</v>
      </c>
    </row>
    <row r="6" spans="1:5">
      <c r="A6" s="52" t="s">
        <v>207</v>
      </c>
      <c r="B6" s="2">
        <f>CsPrime</f>
        <v>0.69599999999999995</v>
      </c>
    </row>
    <row r="7" spans="1:5">
      <c r="A7" s="52" t="s">
        <v>206</v>
      </c>
      <c r="B7" s="2">
        <f>FNetPrime*e</f>
        <v>2560</v>
      </c>
    </row>
    <row r="8" spans="1:5">
      <c r="A8" s="52" t="s">
        <v>193</v>
      </c>
      <c r="B8" s="2">
        <f>0.9*FNet</f>
        <v>2304</v>
      </c>
    </row>
    <row r="9" spans="1:5">
      <c r="A9" s="52" t="s">
        <v>194</v>
      </c>
      <c r="B9" s="2">
        <f>0.8*FDispo</f>
        <v>1843.2</v>
      </c>
    </row>
    <row r="10" spans="1:5">
      <c r="A10" s="52" t="s">
        <v>301</v>
      </c>
      <c r="B10" s="2">
        <f>FNetPrime0*e*0.9*0.8</f>
        <v>17280</v>
      </c>
      <c r="C10" s="216">
        <f>FNetPrime0*e*0.9</f>
        <v>21600</v>
      </c>
    </row>
    <row r="11" spans="1:5">
      <c r="A11" s="52" t="s">
        <v>250</v>
      </c>
      <c r="B11" s="5">
        <f>LFus-LMoteur-LTuyere-1</f>
        <v>10.752369222669106</v>
      </c>
    </row>
    <row r="12" spans="1:5">
      <c r="A12" s="57"/>
      <c r="B12" s="58"/>
    </row>
    <row r="13" spans="1:5">
      <c r="A13" s="231" t="s">
        <v>256</v>
      </c>
      <c r="B13" s="232"/>
    </row>
    <row r="14" spans="1:5">
      <c r="A14" s="52" t="s">
        <v>195</v>
      </c>
      <c r="B14" s="59">
        <f>D/((SQRT(Tt)/Pt)*(101325/SQRT(288.15)))</f>
        <v>9.7790853247918754</v>
      </c>
    </row>
    <row r="15" spans="1:5">
      <c r="A15" s="52" t="s">
        <v>201</v>
      </c>
      <c r="B15" s="2">
        <f>1/Mach*(2/(gamma+1)+((gamma-1)/(gamma+1))*Mach^2)^((gamma+1)/(2*gamma-2))</f>
        <v>1.33984375</v>
      </c>
    </row>
    <row r="16" spans="1:5">
      <c r="A16" s="52" t="s">
        <v>202</v>
      </c>
      <c r="B16" s="2">
        <f>gamma*((gamma-1)^(-0.5))*((gamma+1)/2)^(-(gamma+1)/(2*gamma-2))</f>
        <v>1.2810152558552466</v>
      </c>
    </row>
    <row r="17" spans="1:3">
      <c r="A17" s="52" t="s">
        <v>203</v>
      </c>
      <c r="B17" s="2">
        <f>sigma*Dm*SQRT(Cp*Tt)/(delta*Pt)</f>
        <v>0.35551305821692863</v>
      </c>
    </row>
    <row r="18" spans="1:3">
      <c r="A18" s="52" t="s">
        <v>204</v>
      </c>
      <c r="B18" s="2">
        <f>2*SQRT(S0/PI())</f>
        <v>0.67279512809734854</v>
      </c>
    </row>
    <row r="19" spans="1:3">
      <c r="A19" s="55" t="s">
        <v>211</v>
      </c>
      <c r="B19" s="2">
        <f>DMancheAir</f>
        <v>0.67279512809734854</v>
      </c>
      <c r="C19" s="53"/>
    </row>
    <row r="20" spans="1:3">
      <c r="A20" s="55" t="s">
        <v>212</v>
      </c>
      <c r="B20" s="2">
        <v>0.83</v>
      </c>
      <c r="C20" s="53"/>
    </row>
    <row r="21" spans="1:3">
      <c r="A21" s="52" t="s">
        <v>209</v>
      </c>
      <c r="B21" s="2">
        <v>1000</v>
      </c>
      <c r="C21" s="53"/>
    </row>
    <row r="22" spans="1:3">
      <c r="A22" s="52" t="s">
        <v>208</v>
      </c>
      <c r="B22" s="60" t="str">
        <f>IF(LMancheAir&lt;3*DMoteur,IF(LMancheAir&gt;0.15*DMoteur,"OK","TROP PETIT"),"TROP GRAND")</f>
        <v>OK</v>
      </c>
    </row>
    <row r="23" spans="1:3">
      <c r="A23" s="52" t="s">
        <v>210</v>
      </c>
      <c r="B23" s="60" t="str">
        <f>IF(RCourbureMancheAir&gt;5,"OK","TROP PETIT")</f>
        <v>OK</v>
      </c>
    </row>
    <row r="25" spans="1:3">
      <c r="A25" s="230" t="s">
        <v>255</v>
      </c>
      <c r="B25" s="230"/>
    </row>
    <row r="26" spans="1:3">
      <c r="A26" s="4" t="s">
        <v>243</v>
      </c>
      <c r="B26" s="63">
        <f>0.9*DMoteur</f>
        <v>0.74785965857720216</v>
      </c>
    </row>
    <row r="27" spans="1:3">
      <c r="A27" s="55" t="s">
        <v>248</v>
      </c>
      <c r="B27" s="2">
        <v>0.5</v>
      </c>
    </row>
    <row r="28" spans="1:3">
      <c r="A28" s="55" t="s">
        <v>244</v>
      </c>
      <c r="B28" s="60" t="str">
        <f>IF(LTuyere&lt;6*DMoteur,IF(LTuyere&gt;0.2*DMoteur,"OK","TROP PETIT"),"TROP GRAND")</f>
        <v>OK</v>
      </c>
    </row>
    <row r="29" spans="1:3">
      <c r="A29" s="55" t="s">
        <v>251</v>
      </c>
      <c r="B29" s="59">
        <f>x_debut_moteur+LMoteur</f>
        <v>12.809551761968912</v>
      </c>
    </row>
    <row r="30" spans="1:3">
      <c r="A30" s="62"/>
      <c r="B30" s="56"/>
    </row>
    <row r="31" spans="1:3">
      <c r="A31" s="233" t="s">
        <v>254</v>
      </c>
      <c r="B31" s="233"/>
    </row>
    <row r="32" spans="1:3">
      <c r="A32" s="55" t="s">
        <v>200</v>
      </c>
      <c r="B32" s="59">
        <f>LTuyere+LMancheAir+LMoteur</f>
        <v>3.3871825392998063</v>
      </c>
    </row>
    <row r="33" spans="1:5">
      <c r="A33" s="55" t="s">
        <v>233</v>
      </c>
      <c r="B33" s="59">
        <f>MAX(DMancheAir,DMoteur)</f>
        <v>0.8309551761968913</v>
      </c>
    </row>
    <row r="34" spans="1:5">
      <c r="A34" s="55" t="s">
        <v>229</v>
      </c>
      <c r="B34" s="59">
        <f>PI()*(DNac/2)^2</f>
        <v>0.54230683275866187</v>
      </c>
    </row>
    <row r="36" spans="1:5">
      <c r="A36" s="233" t="s">
        <v>33</v>
      </c>
      <c r="B36" s="230"/>
    </row>
    <row r="37" spans="1:5">
      <c r="A37" s="55" t="s">
        <v>213</v>
      </c>
      <c r="B37" s="59">
        <f>DMoteur+0.6</f>
        <v>1.4309551761968913</v>
      </c>
    </row>
    <row r="38" spans="1:5">
      <c r="A38" s="55" t="s">
        <v>226</v>
      </c>
      <c r="B38" s="59">
        <f>all_fus*DFus</f>
        <v>14.309551761968912</v>
      </c>
    </row>
    <row r="39" spans="1:5">
      <c r="A39" s="55" t="s">
        <v>97</v>
      </c>
      <c r="B39" s="59">
        <v>1.5</v>
      </c>
    </row>
    <row r="40" spans="1:5">
      <c r="A40" s="55" t="s">
        <v>229</v>
      </c>
      <c r="B40" s="59">
        <f>PI()*(DFus/2)^2</f>
        <v>1.6082069746825129</v>
      </c>
    </row>
    <row r="42" spans="1:5">
      <c r="A42" s="233" t="s">
        <v>221</v>
      </c>
      <c r="B42" s="233">
        <v>-5.7767365514937663E+270</v>
      </c>
      <c r="D42" s="235" t="s">
        <v>78</v>
      </c>
      <c r="E42" s="235"/>
    </row>
    <row r="43" spans="1:5">
      <c r="A43" s="55" t="s">
        <v>224</v>
      </c>
      <c r="B43" s="54">
        <v>145.05706965255155</v>
      </c>
      <c r="D43" s="4" t="s">
        <v>4</v>
      </c>
      <c r="E43" s="5">
        <f>17.7*2</f>
        <v>35.4</v>
      </c>
    </row>
    <row r="44" spans="1:5">
      <c r="A44" s="4" t="s">
        <v>218</v>
      </c>
      <c r="B44" s="110">
        <f>DEGREES(ATAN(TAN(RADIANS(B50))+((2*(eff_voil-1)*b_voil^2)/(all_voil*((b_voil-DFus)^2*(eff_voil+1)+2*DFus*(b_voil-DFus))))))</f>
        <v>2.9230230104610708</v>
      </c>
      <c r="D44" s="4" t="s">
        <v>79</v>
      </c>
      <c r="E44" s="5">
        <f>3.5*2</f>
        <v>7</v>
      </c>
    </row>
    <row r="45" spans="1:5">
      <c r="A45" s="4" t="s">
        <v>215</v>
      </c>
      <c r="B45" s="2">
        <f>SRef/(DFus+((1+eff_voil)/2)*SQRT(all_voil*SRef))</f>
        <v>3.3747833941782495</v>
      </c>
      <c r="D45" s="4" t="s">
        <v>215</v>
      </c>
      <c r="E45" s="5">
        <v>1.4</v>
      </c>
    </row>
    <row r="46" spans="1:5">
      <c r="A46" s="4" t="s">
        <v>216</v>
      </c>
      <c r="B46" s="2">
        <f>eff_voil*c_voil_emplanture</f>
        <v>1.2824176897877348</v>
      </c>
      <c r="D46" s="4" t="s">
        <v>216</v>
      </c>
      <c r="E46" s="5">
        <v>0.7</v>
      </c>
    </row>
    <row r="47" spans="1:5">
      <c r="A47" s="4" t="s">
        <v>219</v>
      </c>
      <c r="B47" s="2">
        <f>c_voil_emplanture*(2/3)*(1+eff_voil+eff_voil^2)/(1+eff_voil)</f>
        <v>2.4852752686402528</v>
      </c>
    </row>
    <row r="48" spans="1:5">
      <c r="A48" s="114" t="s">
        <v>299</v>
      </c>
      <c r="B48" s="2">
        <f>(c_voil_emplanture+2*c_voil_saumon)*(b_voil-DFus)/(6*(c_voil_emplanture+c_voil_saumon))</f>
        <v>12.496183863428822</v>
      </c>
    </row>
    <row r="49" spans="1:4">
      <c r="A49" s="4" t="s">
        <v>225</v>
      </c>
      <c r="B49" s="2">
        <f>SQRT(all_voil*SRef)</f>
        <v>60.219820170055215</v>
      </c>
    </row>
    <row r="50" spans="1:4">
      <c r="A50" s="4" t="s">
        <v>217</v>
      </c>
      <c r="B50" s="111">
        <v>5</v>
      </c>
      <c r="D50" s="1">
        <f>Cv_emp*SRef*CMA_voil/SRef_emp</f>
        <v>5.669504350798646</v>
      </c>
    </row>
    <row r="51" spans="1:4">
      <c r="A51" s="4" t="s">
        <v>249</v>
      </c>
      <c r="B51" s="119">
        <f>x_debut_empennage-(TAN(RADIANS(Fleche0))*Y_cma_voil+0.25*CMA_voil+(Cv_emp*SRef*CMA_voil/SRef_emp)-0.25*CMA_emp-TAN(RADIANS(Fleche0_emp))*Y_cma_emp)</f>
        <v>5.9238199668681943</v>
      </c>
      <c r="D51" s="1">
        <f>Cv_emp*SRef*CMA_voil/SRef_emp</f>
        <v>5.669504350798646</v>
      </c>
    </row>
    <row r="53" spans="1:4">
      <c r="A53" s="233" t="s">
        <v>34</v>
      </c>
      <c r="B53" s="233"/>
    </row>
    <row r="54" spans="1:4">
      <c r="A54" s="55" t="s">
        <v>224</v>
      </c>
      <c r="B54" s="61">
        <f>b_emp*(c_emp_emplanture+c_emp_saumon)/2</f>
        <v>34.972847535423654</v>
      </c>
      <c r="C54" s="80"/>
    </row>
    <row r="55" spans="1:4">
      <c r="A55" s="55" t="s">
        <v>80</v>
      </c>
      <c r="B55" s="61">
        <f>D55*1.095</f>
        <v>1.8627317255991656</v>
      </c>
      <c r="D55" s="61">
        <f>b_voil/b_voil_globalhawk</f>
        <v>1.7011248635608818</v>
      </c>
    </row>
    <row r="56" spans="1:4">
      <c r="A56" s="4" t="s">
        <v>218</v>
      </c>
      <c r="B56" s="110">
        <f>DEGREES(ATAN(TAN(RADIANS(Y_cma_emp))+((2*(eff_emp-1)*b_emp^2)/(all_emp*((b_emp-DFus)^2*(eff_emp+1)+2*DFus*(b_emp-DFus))))))</f>
        <v>3.3049855024617854</v>
      </c>
    </row>
    <row r="57" spans="1:4">
      <c r="A57" s="4" t="s">
        <v>88</v>
      </c>
      <c r="B57" s="5">
        <v>40</v>
      </c>
    </row>
    <row r="58" spans="1:4">
      <c r="A58" s="4" t="s">
        <v>132</v>
      </c>
      <c r="B58" s="59">
        <f>c_emp_saumon/c_emp_emplanture</f>
        <v>0.57142857142857151</v>
      </c>
    </row>
    <row r="59" spans="1:4">
      <c r="A59" s="4" t="s">
        <v>130</v>
      </c>
      <c r="B59" s="59">
        <f>b_emp^2/SRef_emp</f>
        <v>17.000000000000004</v>
      </c>
    </row>
    <row r="60" spans="1:4">
      <c r="A60" s="4" t="s">
        <v>215</v>
      </c>
      <c r="B60" s="59">
        <f>c_emp_emplanture_globalhawk*echelle_globalhawk*0.7</f>
        <v>1.825477091087182</v>
      </c>
      <c r="C60" s="81"/>
    </row>
    <row r="61" spans="1:4">
      <c r="A61" s="4" t="s">
        <v>216</v>
      </c>
      <c r="B61" s="59">
        <f>c_emp_saumon_globalhawk*echelle_globalhawk*0.8</f>
        <v>1.0431297663355328</v>
      </c>
    </row>
    <row r="62" spans="1:4">
      <c r="A62" s="4" t="s">
        <v>219</v>
      </c>
      <c r="B62" s="59">
        <f>c_emp_emplanture*(2/3)*(1+eff_emp+eff_emp^2)/(1+eff_emp)</f>
        <v>1.4698646707455232</v>
      </c>
    </row>
    <row r="63" spans="1:4">
      <c r="A63" s="114" t="s">
        <v>299</v>
      </c>
      <c r="B63" s="2">
        <f>(c_emp_emplanture+2*c_emp_saumon)*(b_emp-DFus)/(6*(c_emp_emplanture+c_emp_saumon))</f>
        <v>5.2164097981582245</v>
      </c>
    </row>
    <row r="64" spans="1:4">
      <c r="A64" s="4" t="s">
        <v>214</v>
      </c>
      <c r="B64" s="63">
        <f>b_emp_globalhawk*echelle_globalhawk*1.87</f>
        <v>24.383158288093078</v>
      </c>
    </row>
    <row r="65" spans="1:2">
      <c r="A65" s="4" t="s">
        <v>217</v>
      </c>
      <c r="B65" s="111">
        <v>5</v>
      </c>
    </row>
    <row r="66" spans="1:2">
      <c r="A66" s="4" t="s">
        <v>249</v>
      </c>
      <c r="B66" s="5">
        <f>LFus-c_emp_emplanture</f>
        <v>12.48407467088173</v>
      </c>
    </row>
    <row r="67" spans="1:2">
      <c r="A67" s="4" t="s">
        <v>135</v>
      </c>
      <c r="B67" s="5">
        <v>0.55000000000000004</v>
      </c>
    </row>
    <row r="69" spans="1:2">
      <c r="A69" s="230" t="s">
        <v>253</v>
      </c>
      <c r="B69" s="230"/>
    </row>
    <row r="70" spans="1:2">
      <c r="A70" s="4" t="s">
        <v>258</v>
      </c>
      <c r="B70" s="5">
        <f>0.2*LFus</f>
        <v>2.8619103523937826</v>
      </c>
    </row>
    <row r="71" spans="1:2">
      <c r="A71" s="4" t="s">
        <v>259</v>
      </c>
      <c r="B71" s="5">
        <f>0.55*LFus</f>
        <v>7.8702534690829022</v>
      </c>
    </row>
    <row r="73" spans="1:2">
      <c r="A73" s="235" t="s">
        <v>264</v>
      </c>
      <c r="B73" s="235"/>
    </row>
    <row r="74" spans="1:2">
      <c r="A74" s="4" t="s">
        <v>265</v>
      </c>
      <c r="B74" s="2">
        <f>x_debut_voilure+1.88</f>
        <v>7.8038199668681942</v>
      </c>
    </row>
    <row r="75" spans="1:2">
      <c r="A75" s="4" t="s">
        <v>266</v>
      </c>
      <c r="B75" s="5">
        <v>2.5</v>
      </c>
    </row>
    <row r="77" spans="1:2">
      <c r="A77" s="235" t="s">
        <v>267</v>
      </c>
      <c r="B77" s="235"/>
    </row>
    <row r="78" spans="1:2" ht="12" customHeight="1">
      <c r="A78" s="95" t="s">
        <v>155</v>
      </c>
      <c r="B78" s="2">
        <v>1.5</v>
      </c>
    </row>
    <row r="79" spans="1:2">
      <c r="A79" s="95" t="s">
        <v>268</v>
      </c>
      <c r="B79" s="59">
        <f>-0.5</f>
        <v>-0.5</v>
      </c>
    </row>
    <row r="80" spans="1:2">
      <c r="A80" s="95" t="s">
        <v>269</v>
      </c>
      <c r="B80" s="5">
        <v>2</v>
      </c>
    </row>
    <row r="81" spans="1:2">
      <c r="A81" s="95" t="s">
        <v>154</v>
      </c>
      <c r="B81" s="2">
        <v>1.5</v>
      </c>
    </row>
    <row r="82" spans="1:2">
      <c r="A82" s="95" t="s">
        <v>270</v>
      </c>
      <c r="B82" s="2">
        <v>0.2</v>
      </c>
    </row>
    <row r="83" spans="1:2">
      <c r="A83" s="95" t="s">
        <v>271</v>
      </c>
      <c r="B83" s="5">
        <f>2/(0.8*0.8)</f>
        <v>3.1249999999999996</v>
      </c>
    </row>
    <row r="84" spans="1:2">
      <c r="A84" s="95" t="s">
        <v>156</v>
      </c>
      <c r="B84" s="2">
        <v>4.7</v>
      </c>
    </row>
    <row r="85" spans="1:2">
      <c r="A85" s="95" t="s">
        <v>272</v>
      </c>
      <c r="B85" s="2">
        <v>0</v>
      </c>
    </row>
    <row r="86" spans="1:2">
      <c r="A86" s="4" t="s">
        <v>273</v>
      </c>
      <c r="B86" s="5">
        <v>1</v>
      </c>
    </row>
    <row r="87" spans="1:2">
      <c r="A87" s="4" t="s">
        <v>274</v>
      </c>
      <c r="B87" s="5">
        <v>1</v>
      </c>
    </row>
  </sheetData>
  <mergeCells count="12">
    <mergeCell ref="D42:E42"/>
    <mergeCell ref="A69:B69"/>
    <mergeCell ref="A73:B73"/>
    <mergeCell ref="A77:B77"/>
    <mergeCell ref="A53:B53"/>
    <mergeCell ref="A42:B42"/>
    <mergeCell ref="D1:E1"/>
    <mergeCell ref="A13:B13"/>
    <mergeCell ref="A25:B25"/>
    <mergeCell ref="A36:B36"/>
    <mergeCell ref="A31:B31"/>
    <mergeCell ref="A1:B1"/>
  </mergeCells>
  <phoneticPr fontId="2" type="noConversion"/>
  <pageMargins left="0.78740157499999996" right="0.78740157499999996" top="0.984251969" bottom="0.984251969" header="0.4921259845" footer="0.492125984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J1047"/>
  <sheetViews>
    <sheetView workbookViewId="0">
      <selection activeCell="C61" sqref="C61"/>
    </sheetView>
  </sheetViews>
  <sheetFormatPr baseColWidth="10" defaultRowHeight="12.75"/>
  <cols>
    <col min="1" max="1" width="11.42578125" style="1"/>
    <col min="2" max="2" width="19.42578125" style="1" customWidth="1"/>
    <col min="3" max="3" width="17.42578125" style="1" customWidth="1"/>
    <col min="4" max="4" width="11.42578125" style="1"/>
    <col min="5" max="5" width="31.28515625" style="1" customWidth="1"/>
    <col min="6" max="6" width="17.42578125" style="1" customWidth="1"/>
    <col min="7" max="7" width="11.42578125" style="1"/>
    <col min="8" max="8" width="31.7109375" style="1" customWidth="1"/>
    <col min="9" max="9" width="15.140625" style="1" customWidth="1"/>
    <col min="10" max="10" width="11.42578125" style="1"/>
    <col min="11" max="11" width="29.28515625" style="1" customWidth="1"/>
    <col min="12" max="12" width="11.42578125" style="1"/>
    <col min="13" max="13" width="13.140625" style="1" customWidth="1"/>
    <col min="14" max="14" width="11.42578125" style="1"/>
    <col min="15" max="15" width="19.28515625" style="1" customWidth="1"/>
    <col min="16" max="19" width="11.42578125" style="1"/>
    <col min="20" max="20" width="18.42578125" style="1" customWidth="1"/>
    <col min="21" max="22" width="11.42578125" style="1"/>
    <col min="23" max="24" width="23.140625" style="1" customWidth="1"/>
    <col min="25" max="25" width="15.28515625" style="1" customWidth="1"/>
    <col min="26" max="26" width="15.7109375" style="1" customWidth="1"/>
    <col min="27" max="27" width="11.42578125" style="1"/>
    <col min="28" max="28" width="16.85546875" style="1" customWidth="1"/>
    <col min="29" max="29" width="19.42578125" style="137" customWidth="1"/>
    <col min="30" max="33" width="11.42578125" style="1"/>
    <col min="34" max="34" width="16.85546875" style="1" customWidth="1"/>
    <col min="35" max="16384" width="11.42578125" style="1"/>
  </cols>
  <sheetData>
    <row r="1" spans="2:36" ht="12.75" customHeight="1">
      <c r="B1" s="64" t="s">
        <v>81</v>
      </c>
      <c r="C1" s="64"/>
    </row>
    <row r="2" spans="2:36" ht="12.75" customHeight="1">
      <c r="B2" s="4" t="s">
        <v>96</v>
      </c>
      <c r="C2" s="129">
        <v>0</v>
      </c>
      <c r="D2" s="236" t="s">
        <v>320</v>
      </c>
      <c r="E2" s="237"/>
      <c r="U2" s="136" t="s">
        <v>310</v>
      </c>
      <c r="V2" s="1">
        <v>0.05</v>
      </c>
      <c r="Z2" s="58"/>
      <c r="AC2" s="138" t="s">
        <v>323</v>
      </c>
      <c r="AD2" s="1">
        <v>0.02</v>
      </c>
      <c r="AH2" s="138" t="s">
        <v>310</v>
      </c>
      <c r="AI2" s="1">
        <v>0.02</v>
      </c>
    </row>
    <row r="3" spans="2:36">
      <c r="D3" s="130"/>
      <c r="O3" s="136" t="s">
        <v>324</v>
      </c>
      <c r="T3" s="136" t="s">
        <v>332</v>
      </c>
      <c r="AC3" s="138" t="s">
        <v>34</v>
      </c>
      <c r="AH3" s="138" t="s">
        <v>221</v>
      </c>
    </row>
    <row r="4" spans="2:36">
      <c r="B4" s="230" t="s">
        <v>86</v>
      </c>
      <c r="C4" s="230"/>
      <c r="E4" s="235" t="s">
        <v>87</v>
      </c>
      <c r="F4" s="235"/>
      <c r="H4" s="235" t="s">
        <v>171</v>
      </c>
      <c r="I4" s="235"/>
      <c r="K4" s="114" t="s">
        <v>308</v>
      </c>
      <c r="L4" s="7">
        <f>MAX(AA6:AA306)</f>
        <v>34.943890833295335</v>
      </c>
      <c r="O4" s="66" t="s">
        <v>184</v>
      </c>
      <c r="P4" s="67" t="s">
        <v>83</v>
      </c>
      <c r="Q4" s="67" t="s">
        <v>186</v>
      </c>
      <c r="R4" s="121" t="s">
        <v>307</v>
      </c>
      <c r="S4" s="153"/>
      <c r="T4" s="66" t="s">
        <v>184</v>
      </c>
      <c r="U4" s="156" t="s">
        <v>328</v>
      </c>
      <c r="V4" s="154" t="s">
        <v>330</v>
      </c>
      <c r="W4" s="154" t="s">
        <v>333</v>
      </c>
      <c r="X4" s="154" t="s">
        <v>403</v>
      </c>
      <c r="Y4" s="154" t="s">
        <v>331</v>
      </c>
      <c r="Z4" s="154" t="s">
        <v>329</v>
      </c>
      <c r="AA4" s="154" t="s">
        <v>307</v>
      </c>
      <c r="AC4" s="142" t="s">
        <v>327</v>
      </c>
      <c r="AD4" s="143" t="s">
        <v>83</v>
      </c>
      <c r="AE4" s="143" t="s">
        <v>325</v>
      </c>
      <c r="AH4" s="143" t="s">
        <v>326</v>
      </c>
      <c r="AI4" s="143" t="s">
        <v>83</v>
      </c>
      <c r="AJ4" s="143" t="s">
        <v>325</v>
      </c>
    </row>
    <row r="5" spans="2:36">
      <c r="B5" s="52" t="s">
        <v>223</v>
      </c>
      <c r="C5" s="2" t="s">
        <v>222</v>
      </c>
      <c r="E5" s="4" t="s">
        <v>245</v>
      </c>
      <c r="F5" s="2">
        <f>2*PI()</f>
        <v>6.2831853071795862</v>
      </c>
      <c r="H5" s="4" t="s">
        <v>174</v>
      </c>
      <c r="I5" s="2">
        <f>COS(RADIANS(Gamma_emp))*Czalpha_emp_complet</f>
        <v>4.8445305451877374</v>
      </c>
      <c r="K5" s="114" t="s">
        <v>309</v>
      </c>
      <c r="L5" s="8">
        <f>INDEX(Y6:Y306,MATCH(L4,AA6:AA306,0))</f>
        <v>0.7218120703319133</v>
      </c>
      <c r="N5" s="65" t="s">
        <v>185</v>
      </c>
      <c r="O5" s="69">
        <f>alpha</f>
        <v>0</v>
      </c>
      <c r="P5" s="70">
        <f>F60</f>
        <v>0.40076431661627127</v>
      </c>
      <c r="Q5" s="69">
        <f>L60</f>
        <v>1.2522407636235293E-2</v>
      </c>
      <c r="T5" s="69">
        <f>alpha</f>
        <v>0</v>
      </c>
      <c r="U5" s="141">
        <f>Cz_voil</f>
        <v>0.35398440748947796</v>
      </c>
      <c r="V5" s="141">
        <f>Cz_fus</f>
        <v>0</v>
      </c>
      <c r="W5" s="1">
        <f t="shared" ref="W5:W68" si="0">((V5*(x_cdg_avion-x_foyer_fus))-(U5*(-x_foyer_voil+x_cdg_avion))+(Cm_voil*CMA_voil)-((N*FUtile*(DFus+DMoteur)/2)/(0.5*rho*V^2*SRef)))/(x_foyer_emp-x_cdg_avion)</f>
        <v>-6.2748984649634007E-2</v>
      </c>
      <c r="Y5" s="1">
        <f>U5+V5+W5</f>
        <v>0.29123542283984394</v>
      </c>
      <c r="Z5" s="1">
        <f t="shared" ref="Z5:Z68" si="1">Cx0_avion+((U5)^2/(PI()*all_voil))*Sext_voil/SRef+2*LFus*Czalpha_fus^2*(RADIANS(T5)^2)/(PI()*DFus)+(W5)^2/(PI()*all_emp)*Sext_emp/SRef</f>
        <v>1.2355183572803342E-2</v>
      </c>
      <c r="AA5" s="1">
        <f>Y5/Z5</f>
        <v>23.571921948688924</v>
      </c>
      <c r="AB5" s="139" t="s">
        <v>185</v>
      </c>
      <c r="AC5" s="141">
        <f>deltam</f>
        <v>2.4799999999999986</v>
      </c>
      <c r="AD5" s="141">
        <f>Cz_emp</f>
        <v>4.6779909126793306E-2</v>
      </c>
      <c r="AG5" s="136" t="s">
        <v>185</v>
      </c>
      <c r="AH5" s="141">
        <f>alpha_calage_voil</f>
        <v>2.1400000000000015</v>
      </c>
      <c r="AI5" s="141">
        <f>Cz_voil</f>
        <v>0.35398440748947796</v>
      </c>
    </row>
    <row r="6" spans="2:36">
      <c r="B6" s="52" t="s">
        <v>220</v>
      </c>
      <c r="C6" s="2">
        <f>V*CMA_emp/nu</f>
        <v>2844766.8559930497</v>
      </c>
      <c r="E6" s="4" t="s">
        <v>89</v>
      </c>
      <c r="F6" s="2">
        <f>Czalpha_inc_emp/(2/all_emp+SQRT(1+TAN(RADIANS(Fleche50_emp))^2-Mach^2+(2/all_emp)^2))</f>
        <v>6.3240854870809509</v>
      </c>
      <c r="H6" s="4" t="s">
        <v>175</v>
      </c>
      <c r="I6" s="2">
        <f>Czalpha_emp_brut*(RADIANS(alpha)*(1-k_emp)*COS(RADIANS(Gamma_emp))-RADIANS(alpha0_emp)+RADIANS(deltam))</f>
        <v>0.20969146164286553</v>
      </c>
      <c r="O6" s="71">
        <v>-5</v>
      </c>
      <c r="P6" s="72">
        <f t="dataTable" ref="P6:Q206" dt2D="0" dtr="0" r1="C2" ca="1"/>
        <v>-0.22335088006282722</v>
      </c>
      <c r="Q6" s="73">
        <v>1.2797957487464477E-2</v>
      </c>
      <c r="R6" s="1">
        <f>P6/Q6</f>
        <v>-17.452072354639252</v>
      </c>
      <c r="T6" s="140">
        <v>-10</v>
      </c>
      <c r="U6" s="140">
        <f t="dataTable" ref="U6:V546" dt2D="0" dtr="0" r1="C2"/>
        <v>-0.76050588748400538</v>
      </c>
      <c r="V6" s="140">
        <v>-3.0615828643428798E-2</v>
      </c>
      <c r="W6" s="1">
        <f t="shared" si="0"/>
        <v>9.252576542229117E-2</v>
      </c>
      <c r="X6" s="1" t="e">
        <f t="shared" ref="X6:X69" si="2">INDEX($AC$6:$AC$1006,MATCH(W6,$AD$6:$AD$1006,-1))-T6</f>
        <v>#N/A</v>
      </c>
      <c r="Y6" s="1">
        <f t="shared" ref="Y6:Y69" si="3">U6+V6+W6</f>
        <v>-0.69859595070514302</v>
      </c>
      <c r="Z6" s="1">
        <f t="shared" si="1"/>
        <v>2.3918266620114623E-2</v>
      </c>
      <c r="AA6" s="1">
        <f t="shared" ref="AA6:AA69" si="4">Y6/Z6</f>
        <v>-29.207632885806301</v>
      </c>
      <c r="AC6" s="144">
        <v>4</v>
      </c>
      <c r="AD6" s="145">
        <f t="dataTable" ref="AD6:AD1006" dt2D="0" dtr="0" r1="F10" ca="1"/>
        <v>7.5451466333537637E-2</v>
      </c>
      <c r="AE6" s="1">
        <f t="shared" ref="AE6:AE69" si="5">AD6*0.5*rho*V^2*SRef</f>
        <v>22211.692084014492</v>
      </c>
      <c r="AH6" s="150">
        <f>0</f>
        <v>0</v>
      </c>
      <c r="AI6" s="147">
        <f t="dataTable" ref="AI6:AI506" dt2D="0" dtr="0" r1="F43" ca="1"/>
        <v>0.11548348436515235</v>
      </c>
      <c r="AJ6" s="1">
        <f t="shared" ref="AJ6:AJ69" si="6">AI6*0.5*rho*V^2*SRef</f>
        <v>33996.471111227496</v>
      </c>
    </row>
    <row r="7" spans="2:36">
      <c r="B7" s="52" t="s">
        <v>239</v>
      </c>
      <c r="C7" s="2">
        <f>SRef_emp-c_emp_emplanture*DFus</f>
        <v>32.360671642903604</v>
      </c>
      <c r="E7" s="4" t="s">
        <v>90</v>
      </c>
      <c r="F7" s="2">
        <f>COS(RADIANS(Gamma_emp))*(Sext_emp/SRef)*Czalpha_emp_complet</f>
        <v>1.0807626447462815</v>
      </c>
      <c r="H7" s="4" t="s">
        <v>173</v>
      </c>
      <c r="I7" s="2">
        <f>(Cz_emp_brut)^2/(PI()*all_emp)</f>
        <v>8.2330869074017374E-4</v>
      </c>
      <c r="O7" s="74">
        <f>O6+0.1</f>
        <v>-4.9000000000000004</v>
      </c>
      <c r="P7" s="75">
        <v>-0.21086857612924531</v>
      </c>
      <c r="Q7" s="76">
        <v>1.2684086963385816E-2</v>
      </c>
      <c r="R7" s="1">
        <f t="shared" ref="R7:R70" si="7">P7/Q7</f>
        <v>-16.624655502437307</v>
      </c>
      <c r="T7" s="140">
        <f>T6+$V$2</f>
        <v>-9.9499999999999993</v>
      </c>
      <c r="U7" s="140">
        <v>-0.75493343600913798</v>
      </c>
      <c r="V7" s="140">
        <v>-3.0462749500211654E-2</v>
      </c>
      <c r="W7" s="1">
        <f t="shared" si="0"/>
        <v>9.1749391671931579E-2</v>
      </c>
      <c r="X7" s="1" t="e">
        <f t="shared" si="2"/>
        <v>#N/A</v>
      </c>
      <c r="Y7" s="1">
        <f t="shared" si="3"/>
        <v>-0.69364679383741801</v>
      </c>
      <c r="Z7" s="1">
        <f t="shared" si="1"/>
        <v>2.3754204108668336E-2</v>
      </c>
      <c r="AA7" s="1">
        <f t="shared" si="4"/>
        <v>-29.201011773082048</v>
      </c>
      <c r="AC7" s="146">
        <f>AC6-$AD$2</f>
        <v>3.98</v>
      </c>
      <c r="AD7" s="147">
        <v>7.5074209001869938E-2</v>
      </c>
      <c r="AE7" s="1">
        <f t="shared" si="5"/>
        <v>22100.633623594418</v>
      </c>
      <c r="AH7" s="150">
        <f>AH6+$AI$2</f>
        <v>0.02</v>
      </c>
      <c r="AI7" s="147">
        <v>0.11771246495509932</v>
      </c>
      <c r="AJ7" s="1">
        <f t="shared" si="6"/>
        <v>34652.646967456552</v>
      </c>
    </row>
    <row r="8" spans="2:36">
      <c r="B8" s="52" t="s">
        <v>228</v>
      </c>
      <c r="C8" s="2">
        <f>2*(Sext_emp)</f>
        <v>64.721343285807208</v>
      </c>
      <c r="E8" s="4" t="s">
        <v>91</v>
      </c>
      <c r="F8" s="2">
        <f>0.3</f>
        <v>0.3</v>
      </c>
      <c r="H8" s="4" t="s">
        <v>172</v>
      </c>
      <c r="I8" s="2">
        <f>Cxi_emp_ref*Sext_emp/SRef</f>
        <v>1.8367131133703406E-4</v>
      </c>
      <c r="O8" s="74">
        <f t="shared" ref="O8:O71" si="8">O7+0.1</f>
        <v>-4.8000000000000007</v>
      </c>
      <c r="P8" s="75">
        <v>-0.1983862721956634</v>
      </c>
      <c r="Q8" s="76">
        <v>1.2574639277146096E-2</v>
      </c>
      <c r="R8" s="1">
        <f t="shared" si="7"/>
        <v>-15.776696875609188</v>
      </c>
      <c r="T8" s="140">
        <f t="shared" ref="T8:T71" si="9">T7+$V$2</f>
        <v>-9.8999999999999986</v>
      </c>
      <c r="U8" s="140">
        <v>-0.74936098453427047</v>
      </c>
      <c r="V8" s="140">
        <v>-3.0309670356994504E-2</v>
      </c>
      <c r="W8" s="1">
        <f t="shared" si="0"/>
        <v>9.0973017921571919E-2</v>
      </c>
      <c r="X8" s="1" t="e">
        <f t="shared" si="2"/>
        <v>#N/A</v>
      </c>
      <c r="Y8" s="1">
        <f t="shared" si="3"/>
        <v>-0.68869763696969311</v>
      </c>
      <c r="Z8" s="1">
        <f t="shared" si="1"/>
        <v>2.35912094072342E-2</v>
      </c>
      <c r="AA8" s="1">
        <f t="shared" si="4"/>
        <v>-29.192977141668084</v>
      </c>
      <c r="AC8" s="146">
        <f t="shared" ref="AC8:AC71" si="10">AC7-$AD$2</f>
        <v>3.96</v>
      </c>
      <c r="AD8" s="147">
        <v>7.4696951670202252E-2</v>
      </c>
      <c r="AE8" s="1">
        <f t="shared" si="5"/>
        <v>21989.575163174351</v>
      </c>
      <c r="AH8" s="150">
        <f t="shared" ref="AH8:AH71" si="11">AH7+$AI$2</f>
        <v>0.04</v>
      </c>
      <c r="AI8" s="147">
        <v>0.11994144554504629</v>
      </c>
      <c r="AJ8" s="1">
        <f t="shared" si="6"/>
        <v>35308.822823685616</v>
      </c>
    </row>
    <row r="9" spans="2:36">
      <c r="B9" s="52" t="s">
        <v>240</v>
      </c>
      <c r="C9" s="5">
        <v>4.8399999999999997E-3</v>
      </c>
      <c r="E9" s="4" t="s">
        <v>93</v>
      </c>
      <c r="F9" s="5">
        <v>0</v>
      </c>
      <c r="O9" s="74">
        <f t="shared" si="8"/>
        <v>-4.7000000000000011</v>
      </c>
      <c r="P9" s="75">
        <v>-0.1859039682620815</v>
      </c>
      <c r="Q9" s="76">
        <v>1.2469614428745317E-2</v>
      </c>
      <c r="R9" s="1">
        <f t="shared" si="7"/>
        <v>-14.908557864750836</v>
      </c>
      <c r="T9" s="140">
        <f t="shared" si="9"/>
        <v>-9.8499999999999979</v>
      </c>
      <c r="U9" s="140">
        <v>-0.74378853305940296</v>
      </c>
      <c r="V9" s="140">
        <v>-3.015659121377736E-2</v>
      </c>
      <c r="W9" s="1">
        <f t="shared" si="0"/>
        <v>9.0196644171212259E-2</v>
      </c>
      <c r="X9" s="1" t="e">
        <f t="shared" si="2"/>
        <v>#N/A</v>
      </c>
      <c r="Y9" s="1">
        <f t="shared" si="3"/>
        <v>-0.68374848010196798</v>
      </c>
      <c r="Z9" s="1">
        <f t="shared" si="1"/>
        <v>2.3429282515812229E-2</v>
      </c>
      <c r="AA9" s="1">
        <f t="shared" si="4"/>
        <v>-29.18350058908171</v>
      </c>
      <c r="AC9" s="146">
        <f t="shared" si="10"/>
        <v>3.94</v>
      </c>
      <c r="AD9" s="147">
        <v>7.4319694338534567E-2</v>
      </c>
      <c r="AE9" s="1">
        <f t="shared" si="5"/>
        <v>21878.516702754274</v>
      </c>
      <c r="AH9" s="150">
        <f t="shared" si="11"/>
        <v>0.06</v>
      </c>
      <c r="AI9" s="147">
        <v>0.12217042613499327</v>
      </c>
      <c r="AJ9" s="1">
        <f t="shared" si="6"/>
        <v>35964.998679914679</v>
      </c>
    </row>
    <row r="10" spans="2:36">
      <c r="B10" s="52" t="s">
        <v>232</v>
      </c>
      <c r="C10" s="2">
        <f>Cx_profil_emp*SRef_emp/SRef</f>
        <v>1.1669102545425166E-3</v>
      </c>
      <c r="E10" s="4" t="s">
        <v>92</v>
      </c>
      <c r="F10" s="131">
        <f>'Calage voilure'!B8</f>
        <v>2.4799999999999986</v>
      </c>
      <c r="G10" s="236"/>
      <c r="H10" s="237"/>
      <c r="O10" s="74">
        <f t="shared" si="8"/>
        <v>-4.6000000000000014</v>
      </c>
      <c r="P10" s="75">
        <v>-0.17342166432849954</v>
      </c>
      <c r="Q10" s="76">
        <v>1.2369012418183483E-2</v>
      </c>
      <c r="R10" s="1">
        <f t="shared" si="7"/>
        <v>-14.020655689014847</v>
      </c>
      <c r="T10" s="140">
        <f t="shared" si="9"/>
        <v>-9.7999999999999972</v>
      </c>
      <c r="U10" s="140">
        <v>-0.73821608158453544</v>
      </c>
      <c r="V10" s="140">
        <v>-3.0003512070560217E-2</v>
      </c>
      <c r="W10" s="1">
        <f t="shared" si="0"/>
        <v>8.9420270420852654E-2</v>
      </c>
      <c r="X10" s="1" t="e">
        <f t="shared" si="2"/>
        <v>#N/A</v>
      </c>
      <c r="Y10" s="1">
        <f t="shared" si="3"/>
        <v>-0.67879932323424297</v>
      </c>
      <c r="Z10" s="1">
        <f t="shared" si="1"/>
        <v>2.326842343440241E-2</v>
      </c>
      <c r="AA10" s="1">
        <f t="shared" si="4"/>
        <v>-29.17255331663927</v>
      </c>
      <c r="AC10" s="146">
        <f t="shared" si="10"/>
        <v>3.92</v>
      </c>
      <c r="AD10" s="147">
        <v>7.3942437006866882E-2</v>
      </c>
      <c r="AE10" s="1">
        <f t="shared" si="5"/>
        <v>21767.458242334207</v>
      </c>
      <c r="AH10" s="150">
        <f t="shared" si="11"/>
        <v>0.08</v>
      </c>
      <c r="AI10" s="147">
        <v>0.12439940672494022</v>
      </c>
      <c r="AJ10" s="1">
        <f t="shared" si="6"/>
        <v>36621.174536143728</v>
      </c>
    </row>
    <row r="11" spans="2:36">
      <c r="E11" s="4" t="s">
        <v>83</v>
      </c>
      <c r="F11" s="2">
        <f>Czalpha_emp*(RADIANS(alpha)*(1-k_emp)*COS(RADIANS(Gamma_emp))-RADIANS(alpha0_emp)+RADIANS(deltam))</f>
        <v>4.6779909126793306E-2</v>
      </c>
      <c r="O11" s="74">
        <f t="shared" si="8"/>
        <v>-4.5000000000000018</v>
      </c>
      <c r="P11" s="75">
        <v>-0.1609393603949176</v>
      </c>
      <c r="Q11" s="76">
        <v>1.227283324546059E-2</v>
      </c>
      <c r="R11" s="1">
        <f t="shared" si="7"/>
        <v>-13.113464281317844</v>
      </c>
      <c r="T11" s="140">
        <f t="shared" si="9"/>
        <v>-9.7499999999999964</v>
      </c>
      <c r="U11" s="140">
        <v>-0.73264363010966793</v>
      </c>
      <c r="V11" s="140">
        <v>-2.9850432927343067E-2</v>
      </c>
      <c r="W11" s="1">
        <f t="shared" si="0"/>
        <v>8.8643896670492994E-2</v>
      </c>
      <c r="X11" s="1" t="e">
        <f t="shared" si="2"/>
        <v>#N/A</v>
      </c>
      <c r="Y11" s="1">
        <f t="shared" si="3"/>
        <v>-0.67385016636651796</v>
      </c>
      <c r="Z11" s="1">
        <f t="shared" si="1"/>
        <v>2.3108632163004746E-2</v>
      </c>
      <c r="AA11" s="1">
        <f t="shared" si="4"/>
        <v>-29.160106128882155</v>
      </c>
      <c r="AC11" s="146">
        <f t="shared" si="10"/>
        <v>3.9</v>
      </c>
      <c r="AD11" s="147">
        <v>7.3565179675199183E-2</v>
      </c>
      <c r="AE11" s="1">
        <f t="shared" si="5"/>
        <v>21656.39978191413</v>
      </c>
      <c r="AH11" s="150">
        <f t="shared" si="11"/>
        <v>0.1</v>
      </c>
      <c r="AI11" s="147">
        <v>0.12662838731488721</v>
      </c>
      <c r="AJ11" s="1">
        <f t="shared" si="6"/>
        <v>37277.350392372791</v>
      </c>
    </row>
    <row r="12" spans="2:36">
      <c r="O12" s="74">
        <f t="shared" si="8"/>
        <v>-4.4000000000000021</v>
      </c>
      <c r="P12" s="75">
        <v>-0.1484570564613357</v>
      </c>
      <c r="Q12" s="76">
        <v>1.2181076910576637E-2</v>
      </c>
      <c r="R12" s="1">
        <f t="shared" si="7"/>
        <v>-12.187514909493164</v>
      </c>
      <c r="T12" s="140">
        <f t="shared" si="9"/>
        <v>-9.6999999999999957</v>
      </c>
      <c r="U12" s="140">
        <v>-0.72707117863480053</v>
      </c>
      <c r="V12" s="140">
        <v>-2.9697353784125923E-2</v>
      </c>
      <c r="W12" s="1">
        <f t="shared" si="0"/>
        <v>8.7867522920133376E-2</v>
      </c>
      <c r="X12" s="1" t="e">
        <f t="shared" si="2"/>
        <v>#N/A</v>
      </c>
      <c r="Y12" s="1">
        <f t="shared" si="3"/>
        <v>-0.66890100949879316</v>
      </c>
      <c r="Z12" s="1">
        <f t="shared" si="1"/>
        <v>2.2949908701619247E-2</v>
      </c>
      <c r="AA12" s="1">
        <f t="shared" si="4"/>
        <v>-29.146129433255584</v>
      </c>
      <c r="AC12" s="146">
        <f t="shared" si="10"/>
        <v>3.88</v>
      </c>
      <c r="AD12" s="147">
        <v>7.3187922343531497E-2</v>
      </c>
      <c r="AE12" s="1">
        <f t="shared" si="5"/>
        <v>21545.341321494056</v>
      </c>
      <c r="AH12" s="150">
        <f t="shared" si="11"/>
        <v>0.12000000000000001</v>
      </c>
      <c r="AI12" s="147">
        <v>0.12885736790483415</v>
      </c>
      <c r="AJ12" s="1">
        <f t="shared" si="6"/>
        <v>37933.526248601847</v>
      </c>
    </row>
    <row r="13" spans="2:36">
      <c r="B13" s="230" t="s">
        <v>94</v>
      </c>
      <c r="C13" s="230"/>
      <c r="E13" s="235" t="s">
        <v>95</v>
      </c>
      <c r="F13" s="235"/>
      <c r="H13" s="235" t="s">
        <v>176</v>
      </c>
      <c r="I13" s="235"/>
      <c r="O13" s="74">
        <f t="shared" si="8"/>
        <v>-4.3000000000000025</v>
      </c>
      <c r="P13" s="75">
        <v>-0.13597475252775379</v>
      </c>
      <c r="Q13" s="76">
        <v>1.2093743413531628E-2</v>
      </c>
      <c r="R13" s="1">
        <f t="shared" si="7"/>
        <v>-11.243396513242734</v>
      </c>
      <c r="T13" s="140">
        <f t="shared" si="9"/>
        <v>-9.649999999999995</v>
      </c>
      <c r="U13" s="140">
        <v>-0.72149872715993302</v>
      </c>
      <c r="V13" s="140">
        <v>-2.9544274640908773E-2</v>
      </c>
      <c r="W13" s="1">
        <f t="shared" si="0"/>
        <v>8.7091149169773743E-2</v>
      </c>
      <c r="X13" s="1" t="e">
        <f t="shared" si="2"/>
        <v>#N/A</v>
      </c>
      <c r="Y13" s="1">
        <f t="shared" si="3"/>
        <v>-0.66395185263106804</v>
      </c>
      <c r="Z13" s="1">
        <f t="shared" si="1"/>
        <v>2.2792253050245903E-2</v>
      </c>
      <c r="AA13" s="1">
        <f t="shared" si="4"/>
        <v>-29.130593240052885</v>
      </c>
      <c r="AC13" s="146">
        <f t="shared" si="10"/>
        <v>3.86</v>
      </c>
      <c r="AD13" s="147">
        <v>7.2810665011863812E-2</v>
      </c>
      <c r="AE13" s="1">
        <f t="shared" si="5"/>
        <v>21434.282861073989</v>
      </c>
      <c r="AH13" s="150">
        <f t="shared" si="11"/>
        <v>0.14000000000000001</v>
      </c>
      <c r="AI13" s="147">
        <v>0.13108634849478112</v>
      </c>
      <c r="AJ13" s="1">
        <f t="shared" si="6"/>
        <v>38589.702104830903</v>
      </c>
    </row>
    <row r="14" spans="2:36">
      <c r="B14" s="52" t="s">
        <v>220</v>
      </c>
      <c r="C14" s="2">
        <f>V*LFus/nu</f>
        <v>27694616.64516307</v>
      </c>
      <c r="E14" s="239" t="s">
        <v>98</v>
      </c>
      <c r="F14" s="239"/>
      <c r="H14" s="4" t="s">
        <v>172</v>
      </c>
      <c r="I14" s="2">
        <f>2*LFus*Czalpha_fus^2*(RADIANS(alpha)^2)/(PI()*DFus)</f>
        <v>0</v>
      </c>
      <c r="L14" s="136"/>
      <c r="O14" s="74">
        <f t="shared" si="8"/>
        <v>-4.2000000000000028</v>
      </c>
      <c r="P14" s="75">
        <v>-0.12349244859417184</v>
      </c>
      <c r="Q14" s="76">
        <v>1.2010832754325559E-2</v>
      </c>
      <c r="R14" s="1">
        <f t="shared" si="7"/>
        <v>-10.281755738351906</v>
      </c>
      <c r="T14" s="140">
        <f t="shared" si="9"/>
        <v>-9.5999999999999943</v>
      </c>
      <c r="U14" s="140">
        <v>-0.71592627568506551</v>
      </c>
      <c r="V14" s="140">
        <v>-2.9391195497691629E-2</v>
      </c>
      <c r="W14" s="1">
        <f t="shared" si="0"/>
        <v>8.6314775419414083E-2</v>
      </c>
      <c r="X14" s="1" t="e">
        <f t="shared" si="2"/>
        <v>#N/A</v>
      </c>
      <c r="Y14" s="1">
        <f t="shared" si="3"/>
        <v>-0.65900269576334303</v>
      </c>
      <c r="Z14" s="1">
        <f t="shared" si="1"/>
        <v>2.2635665208884718E-2</v>
      </c>
      <c r="AA14" s="1">
        <f t="shared" si="4"/>
        <v>-29.113467162638457</v>
      </c>
      <c r="AC14" s="146">
        <f t="shared" si="10"/>
        <v>3.84</v>
      </c>
      <c r="AD14" s="147">
        <v>7.2433407680196113E-2</v>
      </c>
      <c r="AE14" s="1">
        <f t="shared" si="5"/>
        <v>21323.224400653911</v>
      </c>
      <c r="AH14" s="150">
        <f t="shared" si="11"/>
        <v>0.16</v>
      </c>
      <c r="AI14" s="147">
        <v>0.1333153290847281</v>
      </c>
      <c r="AJ14" s="1">
        <f t="shared" si="6"/>
        <v>39245.877961059959</v>
      </c>
    </row>
    <row r="15" spans="2:36">
      <c r="B15" s="4" t="s">
        <v>227</v>
      </c>
      <c r="C15" s="2">
        <f>0.455/((1+0.126*Mach^2)*LOG10(Re_fus)^2.58)</f>
        <v>2.4861269575129673E-3</v>
      </c>
      <c r="E15" s="4" t="s">
        <v>99</v>
      </c>
      <c r="F15" s="2">
        <f>SMaitreCouple_fus</f>
        <v>1.6082069746825129</v>
      </c>
      <c r="L15" s="136"/>
      <c r="O15" s="74">
        <f t="shared" si="8"/>
        <v>-4.1000000000000032</v>
      </c>
      <c r="P15" s="75">
        <v>-0.11101014466058992</v>
      </c>
      <c r="Q15" s="76">
        <v>1.1932344932958434E-2</v>
      </c>
      <c r="R15" s="1">
        <f t="shared" si="7"/>
        <v>-9.3032966516051534</v>
      </c>
      <c r="T15" s="140">
        <f t="shared" si="9"/>
        <v>-9.5499999999999936</v>
      </c>
      <c r="U15" s="140">
        <v>-0.71035382421019799</v>
      </c>
      <c r="V15" s="140">
        <v>-2.9238116354474486E-2</v>
      </c>
      <c r="W15" s="1">
        <f t="shared" si="0"/>
        <v>8.5538401669054451E-2</v>
      </c>
      <c r="X15" s="1" t="e">
        <f t="shared" si="2"/>
        <v>#N/A</v>
      </c>
      <c r="Y15" s="1">
        <f t="shared" si="3"/>
        <v>-0.65405353889561801</v>
      </c>
      <c r="Z15" s="1">
        <f t="shared" si="1"/>
        <v>2.2480145177535694E-2</v>
      </c>
      <c r="AA15" s="1">
        <f t="shared" si="4"/>
        <v>-29.0947204179629</v>
      </c>
      <c r="AC15" s="146">
        <f t="shared" si="10"/>
        <v>3.82</v>
      </c>
      <c r="AD15" s="147">
        <v>7.2056150348528442E-2</v>
      </c>
      <c r="AE15" s="1">
        <f t="shared" si="5"/>
        <v>21212.165940233845</v>
      </c>
      <c r="AH15" s="150">
        <f t="shared" si="11"/>
        <v>0.18</v>
      </c>
      <c r="AI15" s="147">
        <v>0.13554430967467504</v>
      </c>
      <c r="AJ15" s="1">
        <f t="shared" si="6"/>
        <v>39902.053817289016</v>
      </c>
    </row>
    <row r="16" spans="2:36">
      <c r="B16" s="4" t="s">
        <v>228</v>
      </c>
      <c r="C16" s="2">
        <f>0.85*PI()*LFus*DFus</f>
        <v>54.679037139205434</v>
      </c>
      <c r="E16" s="4" t="s">
        <v>100</v>
      </c>
      <c r="F16" s="2">
        <f>2/SQRT(1-Mach^2)</f>
        <v>2.3094010767585034</v>
      </c>
      <c r="L16" s="136"/>
      <c r="O16" s="74">
        <f t="shared" si="8"/>
        <v>-4.0000000000000036</v>
      </c>
      <c r="P16" s="75">
        <v>-9.8527840727008001E-2</v>
      </c>
      <c r="Q16" s="76">
        <v>1.1858279949430249E-2</v>
      </c>
      <c r="R16" s="1">
        <f t="shared" si="7"/>
        <v>-8.3087801221746282</v>
      </c>
      <c r="T16" s="140">
        <f t="shared" si="9"/>
        <v>-9.4999999999999929</v>
      </c>
      <c r="U16" s="140">
        <v>-0.70478137273533048</v>
      </c>
      <c r="V16" s="140">
        <v>-2.9085037211257336E-2</v>
      </c>
      <c r="W16" s="1">
        <f t="shared" si="0"/>
        <v>8.4762027918694804E-2</v>
      </c>
      <c r="X16" s="1" t="e">
        <f t="shared" si="2"/>
        <v>#N/A</v>
      </c>
      <c r="Y16" s="1">
        <f t="shared" si="3"/>
        <v>-0.649104382027893</v>
      </c>
      <c r="Z16" s="1">
        <f t="shared" si="1"/>
        <v>2.2325692956198823E-2</v>
      </c>
      <c r="AA16" s="1">
        <f t="shared" si="4"/>
        <v>-29.074321827384374</v>
      </c>
      <c r="AC16" s="146">
        <f t="shared" si="10"/>
        <v>3.8</v>
      </c>
      <c r="AD16" s="147">
        <v>7.1678893016860742E-2</v>
      </c>
      <c r="AE16" s="1">
        <f t="shared" si="5"/>
        <v>21101.107479813767</v>
      </c>
      <c r="AH16" s="150">
        <f t="shared" si="11"/>
        <v>0.19999999999999998</v>
      </c>
      <c r="AI16" s="147">
        <v>0.13777329026462201</v>
      </c>
      <c r="AJ16" s="1">
        <f t="shared" si="6"/>
        <v>40558.229673518072</v>
      </c>
    </row>
    <row r="17" spans="2:36">
      <c r="B17" s="4" t="s">
        <v>230</v>
      </c>
      <c r="C17" s="2">
        <f>2.2*c_fus^-1.5+3.8*c_fus^-3</f>
        <v>7.3370108523704333E-2</v>
      </c>
      <c r="E17" s="4" t="s">
        <v>101</v>
      </c>
      <c r="F17" s="2">
        <v>1</v>
      </c>
      <c r="L17" s="136"/>
      <c r="O17" s="74">
        <f t="shared" si="8"/>
        <v>-3.9000000000000035</v>
      </c>
      <c r="P17" s="75">
        <v>-8.6045536793426011E-2</v>
      </c>
      <c r="Q17" s="76">
        <v>1.1788637803741007E-2</v>
      </c>
      <c r="R17" s="1">
        <f t="shared" si="7"/>
        <v>-7.2990228579353174</v>
      </c>
      <c r="T17" s="140">
        <f t="shared" si="9"/>
        <v>-9.4499999999999922</v>
      </c>
      <c r="U17" s="140">
        <v>-0.69920892126046308</v>
      </c>
      <c r="V17" s="140">
        <v>-2.8931958068040192E-2</v>
      </c>
      <c r="W17" s="1">
        <f t="shared" si="0"/>
        <v>8.39856541683352E-2</v>
      </c>
      <c r="X17" s="1" t="e">
        <f t="shared" si="2"/>
        <v>#N/A</v>
      </c>
      <c r="Y17" s="1">
        <f t="shared" si="3"/>
        <v>-0.6441552251601681</v>
      </c>
      <c r="Z17" s="1">
        <f t="shared" si="1"/>
        <v>2.2172308544874113E-2</v>
      </c>
      <c r="AA17" s="1">
        <f t="shared" si="4"/>
        <v>-29.052239817810339</v>
      </c>
      <c r="AC17" s="146">
        <f t="shared" si="10"/>
        <v>3.78</v>
      </c>
      <c r="AD17" s="147">
        <v>7.1301635685193071E-2</v>
      </c>
      <c r="AE17" s="1">
        <f t="shared" si="5"/>
        <v>20990.0490193937</v>
      </c>
      <c r="AH17" s="150">
        <f t="shared" si="11"/>
        <v>0.21999999999999997</v>
      </c>
      <c r="AI17" s="147">
        <v>0.14000227085456898</v>
      </c>
      <c r="AJ17" s="1">
        <f t="shared" si="6"/>
        <v>41214.405529747135</v>
      </c>
    </row>
    <row r="18" spans="2:36">
      <c r="B18" s="4" t="s">
        <v>231</v>
      </c>
      <c r="C18" s="2">
        <f>LFus/SQRT(4*SMaitreCouple_fus/PI())</f>
        <v>10</v>
      </c>
      <c r="E18" s="4" t="s">
        <v>102</v>
      </c>
      <c r="F18" s="2">
        <f>F15*F17*F16/SRef</f>
        <v>2.5603680867663257E-2</v>
      </c>
      <c r="O18" s="74">
        <f t="shared" si="8"/>
        <v>-3.8000000000000034</v>
      </c>
      <c r="P18" s="75">
        <v>-7.3563232859844049E-2</v>
      </c>
      <c r="Q18" s="76">
        <v>1.1723418495890706E-2</v>
      </c>
      <c r="R18" s="1">
        <f t="shared" si="7"/>
        <v>-6.2748960881699682</v>
      </c>
      <c r="T18" s="140">
        <f t="shared" si="9"/>
        <v>-9.3999999999999915</v>
      </c>
      <c r="U18" s="140">
        <v>-0.69363646978559557</v>
      </c>
      <c r="V18" s="140">
        <v>-2.8778878924823042E-2</v>
      </c>
      <c r="W18" s="1">
        <f t="shared" si="0"/>
        <v>8.3209280417975567E-2</v>
      </c>
      <c r="X18" s="1" t="e">
        <f t="shared" si="2"/>
        <v>#N/A</v>
      </c>
      <c r="Y18" s="1">
        <f t="shared" si="3"/>
        <v>-0.63920606829244297</v>
      </c>
      <c r="Z18" s="1">
        <f t="shared" si="1"/>
        <v>2.2019991943561561E-2</v>
      </c>
      <c r="AA18" s="1">
        <f t="shared" si="4"/>
        <v>-29.028442423174493</v>
      </c>
      <c r="AC18" s="146">
        <f t="shared" si="10"/>
        <v>3.76</v>
      </c>
      <c r="AD18" s="147">
        <v>7.0924378353525372E-2</v>
      </c>
      <c r="AE18" s="1">
        <f t="shared" si="5"/>
        <v>20878.990558973626</v>
      </c>
      <c r="AH18" s="150">
        <f t="shared" si="11"/>
        <v>0.23999999999999996</v>
      </c>
      <c r="AI18" s="147">
        <v>0.14223125144451595</v>
      </c>
      <c r="AJ18" s="1">
        <f t="shared" si="6"/>
        <v>41870.581385976184</v>
      </c>
    </row>
    <row r="19" spans="2:36">
      <c r="B19" s="4" t="s">
        <v>232</v>
      </c>
      <c r="C19" s="2">
        <f>Cf_fus*(1+a_fus)*Sm_fus/SRef</f>
        <v>1.0058998837278216E-3</v>
      </c>
      <c r="E19" s="239" t="s">
        <v>103</v>
      </c>
      <c r="F19" s="239"/>
      <c r="L19" s="136"/>
      <c r="O19" s="74">
        <f t="shared" si="8"/>
        <v>-3.7000000000000033</v>
      </c>
      <c r="P19" s="75">
        <v>-6.1080928926262046E-2</v>
      </c>
      <c r="Q19" s="76">
        <v>1.1662622025879348E-2</v>
      </c>
      <c r="R19" s="1">
        <f t="shared" si="7"/>
        <v>-5.2373238874348766</v>
      </c>
      <c r="T19" s="140">
        <f t="shared" si="9"/>
        <v>-9.3499999999999908</v>
      </c>
      <c r="U19" s="140">
        <v>-0.68806401831072805</v>
      </c>
      <c r="V19" s="140">
        <v>-2.8625799781605898E-2</v>
      </c>
      <c r="W19" s="1">
        <f t="shared" si="0"/>
        <v>8.2432906667615921E-2</v>
      </c>
      <c r="X19" s="1" t="e">
        <f t="shared" si="2"/>
        <v>#N/A</v>
      </c>
      <c r="Y19" s="1">
        <f t="shared" si="3"/>
        <v>-0.63425691142471807</v>
      </c>
      <c r="Z19" s="1">
        <f t="shared" si="1"/>
        <v>2.1868743152261168E-2</v>
      </c>
      <c r="AA19" s="1">
        <f t="shared" si="4"/>
        <v>-29.002897286263916</v>
      </c>
      <c r="AC19" s="146">
        <f t="shared" si="10"/>
        <v>3.7399999999999998</v>
      </c>
      <c r="AD19" s="147">
        <v>7.0547121021857673E-2</v>
      </c>
      <c r="AE19" s="1">
        <f t="shared" si="5"/>
        <v>20767.932098553549</v>
      </c>
      <c r="AH19" s="150">
        <f t="shared" si="11"/>
        <v>0.25999999999999995</v>
      </c>
      <c r="AI19" s="147">
        <v>0.14446023203446293</v>
      </c>
      <c r="AJ19" s="1">
        <f t="shared" si="6"/>
        <v>42526.757242205247</v>
      </c>
    </row>
    <row r="20" spans="2:36">
      <c r="B20" s="56"/>
      <c r="C20" s="58"/>
      <c r="E20" s="4" t="s">
        <v>99</v>
      </c>
      <c r="F20" s="2">
        <f>SRef-Sext_voil</f>
        <v>4.8291637664426901</v>
      </c>
      <c r="O20" s="74">
        <f t="shared" si="8"/>
        <v>-3.6000000000000032</v>
      </c>
      <c r="P20" s="75">
        <v>-4.859862499268007E-2</v>
      </c>
      <c r="Q20" s="76">
        <v>1.1606248393706931E-2</v>
      </c>
      <c r="R20" s="1">
        <f t="shared" si="7"/>
        <v>-4.1872811389277969</v>
      </c>
      <c r="T20" s="140">
        <f t="shared" si="9"/>
        <v>-9.2999999999999901</v>
      </c>
      <c r="U20" s="140">
        <v>-0.68249156683586054</v>
      </c>
      <c r="V20" s="140">
        <v>-2.8472720638388755E-2</v>
      </c>
      <c r="W20" s="1">
        <f t="shared" si="0"/>
        <v>8.1656532917256261E-2</v>
      </c>
      <c r="X20" s="1" t="e">
        <f t="shared" si="2"/>
        <v>#N/A</v>
      </c>
      <c r="Y20" s="1">
        <f t="shared" si="3"/>
        <v>-0.62930775455699306</v>
      </c>
      <c r="Z20" s="1">
        <f t="shared" si="1"/>
        <v>2.1718562170972934E-2</v>
      </c>
      <c r="AA20" s="1">
        <f t="shared" si="4"/>
        <v>-28.975571660911736</v>
      </c>
      <c r="AC20" s="146">
        <f t="shared" si="10"/>
        <v>3.7199999999999998</v>
      </c>
      <c r="AD20" s="147">
        <v>7.0169863690190001E-2</v>
      </c>
      <c r="AE20" s="1">
        <f t="shared" si="5"/>
        <v>20656.873638133482</v>
      </c>
      <c r="AH20" s="150">
        <f t="shared" si="11"/>
        <v>0.27999999999999997</v>
      </c>
      <c r="AI20" s="147">
        <v>0.1466892126244099</v>
      </c>
      <c r="AJ20" s="1">
        <f t="shared" si="6"/>
        <v>43182.933098434311</v>
      </c>
    </row>
    <row r="21" spans="2:36">
      <c r="B21" s="56"/>
      <c r="C21" s="58"/>
      <c r="E21" s="4" t="s">
        <v>100</v>
      </c>
      <c r="F21" s="2">
        <f>0.5*Czalpha_voil_complete</f>
        <v>3.3027323407222084</v>
      </c>
      <c r="L21" s="136"/>
      <c r="O21" s="74">
        <f t="shared" si="8"/>
        <v>-3.5000000000000031</v>
      </c>
      <c r="P21" s="75">
        <v>-3.6116321059098094E-2</v>
      </c>
      <c r="Q21" s="76">
        <v>1.1554297599373457E-2</v>
      </c>
      <c r="R21" s="1">
        <f t="shared" si="7"/>
        <v>-3.1257911394853233</v>
      </c>
      <c r="T21" s="140">
        <f t="shared" si="9"/>
        <v>-9.2499999999999893</v>
      </c>
      <c r="U21" s="140">
        <v>-0.67691911536099303</v>
      </c>
      <c r="V21" s="140">
        <v>-2.8319641495171605E-2</v>
      </c>
      <c r="W21" s="1">
        <f t="shared" si="0"/>
        <v>8.0880159166896629E-2</v>
      </c>
      <c r="X21" s="1" t="e">
        <f t="shared" si="2"/>
        <v>#N/A</v>
      </c>
      <c r="Y21" s="1">
        <f t="shared" si="3"/>
        <v>-0.62435859768926805</v>
      </c>
      <c r="Z21" s="1">
        <f t="shared" si="1"/>
        <v>2.1569448999696855E-2</v>
      </c>
      <c r="AA21" s="1">
        <f t="shared" si="4"/>
        <v>-28.946432414571323</v>
      </c>
      <c r="AC21" s="146">
        <f t="shared" si="10"/>
        <v>3.6999999999999997</v>
      </c>
      <c r="AD21" s="147">
        <v>6.9792606358522302E-2</v>
      </c>
      <c r="AE21" s="1">
        <f t="shared" si="5"/>
        <v>20545.815177713404</v>
      </c>
      <c r="AH21" s="150">
        <f t="shared" si="11"/>
        <v>0.3</v>
      </c>
      <c r="AI21" s="147">
        <v>0.14891819321435687</v>
      </c>
      <c r="AJ21" s="1">
        <f t="shared" si="6"/>
        <v>43839.108954663367</v>
      </c>
    </row>
    <row r="22" spans="2:36">
      <c r="E22" s="4" t="s">
        <v>101</v>
      </c>
      <c r="F22" s="2">
        <v>1</v>
      </c>
      <c r="O22" s="74">
        <f t="shared" si="8"/>
        <v>-3.400000000000003</v>
      </c>
      <c r="P22" s="75">
        <v>-2.3634017125516108E-2</v>
      </c>
      <c r="Q22" s="76">
        <v>1.1506769642878924E-2</v>
      </c>
      <c r="R22" s="1">
        <f t="shared" si="7"/>
        <v>-2.053922852287414</v>
      </c>
      <c r="T22" s="140">
        <f t="shared" si="9"/>
        <v>-9.1999999999999886</v>
      </c>
      <c r="U22" s="140">
        <v>-0.67134666388612552</v>
      </c>
      <c r="V22" s="140">
        <v>-2.8166562351954461E-2</v>
      </c>
      <c r="W22" s="1">
        <f t="shared" si="0"/>
        <v>8.0103785416536996E-2</v>
      </c>
      <c r="X22" s="1" t="e">
        <f t="shared" si="2"/>
        <v>#N/A</v>
      </c>
      <c r="Y22" s="1">
        <f t="shared" si="3"/>
        <v>-0.61940944082154303</v>
      </c>
      <c r="Z22" s="1">
        <f t="shared" si="1"/>
        <v>2.1421403638432934E-2</v>
      </c>
      <c r="AA22" s="1">
        <f t="shared" si="4"/>
        <v>-28.91544603128796</v>
      </c>
      <c r="AC22" s="146">
        <f t="shared" si="10"/>
        <v>3.6799999999999997</v>
      </c>
      <c r="AD22" s="147">
        <v>6.9415349026854617E-2</v>
      </c>
      <c r="AE22" s="1">
        <f t="shared" si="5"/>
        <v>20434.756717293334</v>
      </c>
      <c r="AH22" s="150">
        <f t="shared" si="11"/>
        <v>0.32</v>
      </c>
      <c r="AI22" s="147">
        <v>0.15114717380430381</v>
      </c>
      <c r="AJ22" s="1">
        <f t="shared" si="6"/>
        <v>44495.284810892423</v>
      </c>
    </row>
    <row r="23" spans="2:36">
      <c r="E23" s="4" t="s">
        <v>102</v>
      </c>
      <c r="F23" s="2">
        <f>F20*F22*F21/SRef</f>
        <v>0.10995283020866947</v>
      </c>
      <c r="O23" s="74">
        <f t="shared" si="8"/>
        <v>-3.3000000000000029</v>
      </c>
      <c r="P23" s="75">
        <v>-1.1151713191934122E-2</v>
      </c>
      <c r="Q23" s="76">
        <v>1.1463664524223333E-2</v>
      </c>
      <c r="R23" s="1">
        <f t="shared" si="7"/>
        <v>-0.97278781740079345</v>
      </c>
      <c r="T23" s="140">
        <f t="shared" si="9"/>
        <v>-9.1499999999999879</v>
      </c>
      <c r="U23" s="140">
        <v>-0.665774212411258</v>
      </c>
      <c r="V23" s="140">
        <v>-2.8013483208737311E-2</v>
      </c>
      <c r="W23" s="1">
        <f t="shared" si="0"/>
        <v>7.9327411666177364E-2</v>
      </c>
      <c r="X23" s="1" t="e">
        <f t="shared" si="2"/>
        <v>#N/A</v>
      </c>
      <c r="Y23" s="1">
        <f t="shared" si="3"/>
        <v>-0.61446028395381791</v>
      </c>
      <c r="Z23" s="1">
        <f t="shared" si="1"/>
        <v>2.1274426087181171E-2</v>
      </c>
      <c r="AA23" s="1">
        <f t="shared" si="4"/>
        <v>-28.88257861508465</v>
      </c>
      <c r="AC23" s="146">
        <f t="shared" si="10"/>
        <v>3.6599999999999997</v>
      </c>
      <c r="AD23" s="147">
        <v>6.9038091695186932E-2</v>
      </c>
      <c r="AE23" s="1">
        <f t="shared" si="5"/>
        <v>20323.698256873264</v>
      </c>
      <c r="AH23" s="150">
        <f t="shared" si="11"/>
        <v>0.34</v>
      </c>
      <c r="AI23" s="147">
        <v>0.15337615439425081</v>
      </c>
      <c r="AJ23" s="1">
        <f t="shared" si="6"/>
        <v>45151.460667121493</v>
      </c>
    </row>
    <row r="24" spans="2:36">
      <c r="E24" s="239" t="s">
        <v>104</v>
      </c>
      <c r="F24" s="239"/>
      <c r="O24" s="74">
        <f t="shared" si="8"/>
        <v>-3.2000000000000028</v>
      </c>
      <c r="P24" s="75">
        <v>1.3305907416478599E-3</v>
      </c>
      <c r="Q24" s="76">
        <v>1.1424982243406686E-2</v>
      </c>
      <c r="R24" s="1">
        <f t="shared" si="7"/>
        <v>0.11646326561389089</v>
      </c>
      <c r="T24" s="140">
        <f t="shared" si="9"/>
        <v>-9.0999999999999872</v>
      </c>
      <c r="U24" s="140">
        <v>-0.66020176093639049</v>
      </c>
      <c r="V24" s="140">
        <v>-2.7860404065520167E-2</v>
      </c>
      <c r="W24" s="1">
        <f t="shared" si="0"/>
        <v>7.8551037915817731E-2</v>
      </c>
      <c r="X24" s="1" t="e">
        <f t="shared" si="2"/>
        <v>#N/A</v>
      </c>
      <c r="Y24" s="1">
        <f t="shared" si="3"/>
        <v>-0.6095111270860929</v>
      </c>
      <c r="Z24" s="1">
        <f t="shared" si="1"/>
        <v>2.112851634594157E-2</v>
      </c>
      <c r="AA24" s="1">
        <f t="shared" si="4"/>
        <v>-28.847795893778866</v>
      </c>
      <c r="AC24" s="146">
        <f t="shared" si="10"/>
        <v>3.6399999999999997</v>
      </c>
      <c r="AD24" s="147">
        <v>6.8660834363519233E-2</v>
      </c>
      <c r="AE24" s="1">
        <f t="shared" si="5"/>
        <v>20212.639796453186</v>
      </c>
      <c r="AH24" s="150">
        <f t="shared" si="11"/>
        <v>0.36000000000000004</v>
      </c>
      <c r="AI24" s="147">
        <v>0.15560513498419776</v>
      </c>
      <c r="AJ24" s="1">
        <f t="shared" si="6"/>
        <v>45807.636523350542</v>
      </c>
    </row>
    <row r="25" spans="2:36">
      <c r="E25" s="4" t="s">
        <v>99</v>
      </c>
      <c r="F25" s="2">
        <f>SRef_emp-Sext_emp</f>
        <v>2.6121758925200496</v>
      </c>
      <c r="H25" s="1">
        <f>Czalpha_fus+Czalpha_nac+Czalpha_voil</f>
        <v>6.5666347924422528</v>
      </c>
      <c r="O25" s="74">
        <f t="shared" si="8"/>
        <v>-3.1000000000000028</v>
      </c>
      <c r="P25" s="75">
        <v>1.381289467522984E-2</v>
      </c>
      <c r="Q25" s="76">
        <v>1.1390722800428979E-2</v>
      </c>
      <c r="R25" s="1">
        <f t="shared" si="7"/>
        <v>1.2126442647440812</v>
      </c>
      <c r="T25" s="140">
        <f t="shared" si="9"/>
        <v>-9.0499999999999865</v>
      </c>
      <c r="U25" s="140">
        <v>-0.65462930946152298</v>
      </c>
      <c r="V25" s="140">
        <v>-2.7707324922303024E-2</v>
      </c>
      <c r="W25" s="1">
        <f t="shared" si="0"/>
        <v>7.7774664165458071E-2</v>
      </c>
      <c r="X25" s="1" t="e">
        <f t="shared" si="2"/>
        <v>#N/A</v>
      </c>
      <c r="Y25" s="1">
        <f t="shared" si="3"/>
        <v>-0.60456197021836788</v>
      </c>
      <c r="Z25" s="1">
        <f t="shared" si="1"/>
        <v>2.0983674414714125E-2</v>
      </c>
      <c r="AA25" s="1">
        <f t="shared" si="4"/>
        <v>-28.811063223247416</v>
      </c>
      <c r="AC25" s="146">
        <f t="shared" si="10"/>
        <v>3.6199999999999997</v>
      </c>
      <c r="AD25" s="147">
        <v>6.8283577031851547E-2</v>
      </c>
      <c r="AE25" s="1">
        <f t="shared" si="5"/>
        <v>20101.581336033116</v>
      </c>
      <c r="AH25" s="150">
        <f t="shared" si="11"/>
        <v>0.38000000000000006</v>
      </c>
      <c r="AI25" s="147">
        <v>0.15783411557414473</v>
      </c>
      <c r="AJ25" s="1">
        <f t="shared" si="6"/>
        <v>46463.812379579598</v>
      </c>
    </row>
    <row r="26" spans="2:36">
      <c r="E26" s="4" t="s">
        <v>100</v>
      </c>
      <c r="F26" s="2">
        <f>0.5*Czalpha_emp_complet</f>
        <v>3.1620427435404754</v>
      </c>
      <c r="O26" s="74">
        <f t="shared" si="8"/>
        <v>-3.0000000000000027</v>
      </c>
      <c r="P26" s="75">
        <v>2.6295198608811819E-2</v>
      </c>
      <c r="Q26" s="76">
        <v>1.1360886195290213E-2</v>
      </c>
      <c r="R26" s="1">
        <f t="shared" si="7"/>
        <v>2.3145376299705207</v>
      </c>
      <c r="T26" s="140">
        <f t="shared" si="9"/>
        <v>-8.9999999999999858</v>
      </c>
      <c r="U26" s="140">
        <v>-0.64905685798665547</v>
      </c>
      <c r="V26" s="140">
        <v>-2.7554245779085874E-2</v>
      </c>
      <c r="W26" s="1">
        <f t="shared" si="0"/>
        <v>7.6998290415098425E-2</v>
      </c>
      <c r="X26" s="1" t="e">
        <f t="shared" si="2"/>
        <v>#N/A</v>
      </c>
      <c r="Y26" s="1">
        <f t="shared" si="3"/>
        <v>-0.59961281335064287</v>
      </c>
      <c r="Z26" s="1">
        <f t="shared" si="1"/>
        <v>2.0839900293498834E-2</v>
      </c>
      <c r="AA26" s="1">
        <f t="shared" si="4"/>
        <v>-28.772345592157016</v>
      </c>
      <c r="AC26" s="146">
        <f t="shared" si="10"/>
        <v>3.5999999999999996</v>
      </c>
      <c r="AD26" s="147">
        <v>6.7906319700183862E-2</v>
      </c>
      <c r="AE26" s="1">
        <f t="shared" si="5"/>
        <v>19990.522875613042</v>
      </c>
      <c r="AH26" s="150">
        <f t="shared" si="11"/>
        <v>0.40000000000000008</v>
      </c>
      <c r="AI26" s="147">
        <v>0.1600630961640917</v>
      </c>
      <c r="AJ26" s="1">
        <f t="shared" si="6"/>
        <v>47119.988235808662</v>
      </c>
    </row>
    <row r="27" spans="2:36">
      <c r="E27" s="4" t="s">
        <v>101</v>
      </c>
      <c r="F27" s="2">
        <f>1-k_emp</f>
        <v>0.7</v>
      </c>
      <c r="O27" s="74">
        <f t="shared" si="8"/>
        <v>-2.9000000000000026</v>
      </c>
      <c r="P27" s="75">
        <v>3.8777502542393802E-2</v>
      </c>
      <c r="Q27" s="76">
        <v>1.1335472427990391E-2</v>
      </c>
      <c r="R27" s="1">
        <f t="shared" si="7"/>
        <v>3.4208986690878018</v>
      </c>
      <c r="T27" s="140">
        <f t="shared" si="9"/>
        <v>-8.9499999999999851</v>
      </c>
      <c r="U27" s="140">
        <v>-0.64348440651178807</v>
      </c>
      <c r="V27" s="140">
        <v>-2.740116663586873E-2</v>
      </c>
      <c r="W27" s="1">
        <f t="shared" si="0"/>
        <v>7.622191666473882E-2</v>
      </c>
      <c r="X27" s="1" t="e">
        <f t="shared" si="2"/>
        <v>#N/A</v>
      </c>
      <c r="Y27" s="1">
        <f t="shared" si="3"/>
        <v>-0.59466365648291797</v>
      </c>
      <c r="Z27" s="1">
        <f t="shared" si="1"/>
        <v>2.0697193982295709E-2</v>
      </c>
      <c r="AA27" s="1">
        <f t="shared" si="4"/>
        <v>-28.731607627178384</v>
      </c>
      <c r="AC27" s="146">
        <f t="shared" si="10"/>
        <v>3.5799999999999996</v>
      </c>
      <c r="AD27" s="147">
        <v>6.7529062368516177E-2</v>
      </c>
      <c r="AE27" s="1">
        <f t="shared" si="5"/>
        <v>19879.464415192972</v>
      </c>
      <c r="AH27" s="150">
        <f t="shared" si="11"/>
        <v>0.4200000000000001</v>
      </c>
      <c r="AI27" s="147">
        <v>0.16229207675403867</v>
      </c>
      <c r="AJ27" s="1">
        <f t="shared" si="6"/>
        <v>47776.164092037725</v>
      </c>
    </row>
    <row r="28" spans="2:36">
      <c r="E28" s="4" t="s">
        <v>102</v>
      </c>
      <c r="F28" s="2">
        <f>F25*F27*F26/SRef</f>
        <v>3.9859265680087921E-2</v>
      </c>
      <c r="O28" s="74">
        <f t="shared" si="8"/>
        <v>-2.8000000000000025</v>
      </c>
      <c r="P28" s="75">
        <v>5.1259806475975792E-2</v>
      </c>
      <c r="Q28" s="76">
        <v>1.1314481498529511E-2</v>
      </c>
      <c r="R28" s="1">
        <f t="shared" si="7"/>
        <v>4.5304600553403871</v>
      </c>
      <c r="T28" s="140">
        <f t="shared" si="9"/>
        <v>-8.8999999999999844</v>
      </c>
      <c r="U28" s="140">
        <v>-0.63791195503692055</v>
      </c>
      <c r="V28" s="140">
        <v>-2.724808749265158E-2</v>
      </c>
      <c r="W28" s="1">
        <f t="shared" si="0"/>
        <v>7.5445542914379188E-2</v>
      </c>
      <c r="X28" s="1">
        <f t="shared" si="2"/>
        <v>12.899999999999984</v>
      </c>
      <c r="Y28" s="1">
        <f t="shared" si="3"/>
        <v>-0.58971449961519296</v>
      </c>
      <c r="Z28" s="1">
        <f t="shared" si="1"/>
        <v>2.0555555481104743E-2</v>
      </c>
      <c r="AA28" s="1">
        <f t="shared" si="4"/>
        <v>-28.688813598702087</v>
      </c>
      <c r="AC28" s="146">
        <f t="shared" si="10"/>
        <v>3.5599999999999996</v>
      </c>
      <c r="AD28" s="147">
        <v>6.7151805036848478E-2</v>
      </c>
      <c r="AE28" s="1">
        <f t="shared" si="5"/>
        <v>19768.405954772894</v>
      </c>
      <c r="AH28" s="150">
        <f t="shared" si="11"/>
        <v>0.44000000000000011</v>
      </c>
      <c r="AI28" s="147">
        <v>0.16452105734398564</v>
      </c>
      <c r="AJ28" s="1">
        <f t="shared" si="6"/>
        <v>48432.339948266781</v>
      </c>
    </row>
    <row r="29" spans="2:36">
      <c r="E29" s="241" t="s">
        <v>106</v>
      </c>
      <c r="F29" s="242"/>
      <c r="O29" s="74">
        <f t="shared" si="8"/>
        <v>-2.7000000000000024</v>
      </c>
      <c r="P29" s="75">
        <v>6.3742110409557767E-2</v>
      </c>
      <c r="Q29" s="76">
        <v>1.1297913406907572E-2</v>
      </c>
      <c r="R29" s="1">
        <f t="shared" si="7"/>
        <v>5.641936534102455</v>
      </c>
      <c r="T29" s="140">
        <f t="shared" si="9"/>
        <v>-8.8499999999999837</v>
      </c>
      <c r="U29" s="140">
        <v>-0.63233950356205304</v>
      </c>
      <c r="V29" s="140">
        <v>-2.7095008349434437E-2</v>
      </c>
      <c r="W29" s="1">
        <f t="shared" si="0"/>
        <v>7.4669169164019542E-2</v>
      </c>
      <c r="X29" s="1">
        <f t="shared" si="2"/>
        <v>12.809999999999985</v>
      </c>
      <c r="Y29" s="1">
        <f t="shared" si="3"/>
        <v>-0.58476534274746794</v>
      </c>
      <c r="Z29" s="1">
        <f t="shared" si="1"/>
        <v>2.0414984789925927E-2</v>
      </c>
      <c r="AA29" s="1">
        <f t="shared" si="4"/>
        <v>-28.643927427074495</v>
      </c>
      <c r="AC29" s="146">
        <f t="shared" si="10"/>
        <v>3.5399999999999996</v>
      </c>
      <c r="AD29" s="147">
        <v>6.6774547705180792E-2</v>
      </c>
      <c r="AE29" s="1">
        <f t="shared" si="5"/>
        <v>19657.347494352824</v>
      </c>
      <c r="AH29" s="150">
        <f t="shared" si="11"/>
        <v>0.46000000000000013</v>
      </c>
      <c r="AI29" s="147">
        <v>0.16675003793393262</v>
      </c>
      <c r="AJ29" s="1">
        <f t="shared" si="6"/>
        <v>49088.515804495844</v>
      </c>
    </row>
    <row r="30" spans="2:36">
      <c r="E30" s="4" t="s">
        <v>105</v>
      </c>
      <c r="F30" s="2">
        <f>(F18+F23+F28)</f>
        <v>0.17541577675642067</v>
      </c>
      <c r="O30" s="74">
        <f t="shared" si="8"/>
        <v>-2.6000000000000023</v>
      </c>
      <c r="P30" s="75">
        <v>7.6224414343139743E-2</v>
      </c>
      <c r="Q30" s="76">
        <v>1.1285768153124575E-2</v>
      </c>
      <c r="R30" s="1">
        <f t="shared" si="7"/>
        <v>6.7540297930040563</v>
      </c>
      <c r="T30" s="140">
        <f t="shared" si="9"/>
        <v>-8.7999999999999829</v>
      </c>
      <c r="U30" s="140">
        <v>-0.62676705208718553</v>
      </c>
      <c r="V30" s="140">
        <v>-2.6941929206217293E-2</v>
      </c>
      <c r="W30" s="1">
        <f t="shared" si="0"/>
        <v>7.3892795413659881E-2</v>
      </c>
      <c r="X30" s="1">
        <f t="shared" si="2"/>
        <v>12.719999999999983</v>
      </c>
      <c r="Y30" s="1">
        <f t="shared" si="3"/>
        <v>-0.57981618587974293</v>
      </c>
      <c r="Z30" s="1">
        <f t="shared" si="1"/>
        <v>2.0275481908759271E-2</v>
      </c>
      <c r="AA30" s="1">
        <f t="shared" si="4"/>
        <v>-28.596912689372619</v>
      </c>
      <c r="AC30" s="146">
        <f t="shared" si="10"/>
        <v>3.5199999999999996</v>
      </c>
      <c r="AD30" s="147">
        <v>6.6397290373513107E-2</v>
      </c>
      <c r="AE30" s="1">
        <f t="shared" si="5"/>
        <v>19546.289033932753</v>
      </c>
      <c r="AH30" s="150">
        <f t="shared" si="11"/>
        <v>0.48000000000000015</v>
      </c>
      <c r="AI30" s="147">
        <v>0.16897901852387959</v>
      </c>
      <c r="AJ30" s="1">
        <f t="shared" si="6"/>
        <v>49744.691660724893</v>
      </c>
    </row>
    <row r="31" spans="2:36">
      <c r="E31" s="4" t="s">
        <v>83</v>
      </c>
      <c r="F31" s="2">
        <f>Czalpha_fus*RADIANS(alpha)</f>
        <v>0</v>
      </c>
      <c r="O31" s="74">
        <f t="shared" si="8"/>
        <v>-2.5000000000000022</v>
      </c>
      <c r="P31" s="75">
        <v>8.8706718276721719E-2</v>
      </c>
      <c r="Q31" s="76">
        <v>1.127804573718052E-2</v>
      </c>
      <c r="R31" s="1">
        <f t="shared" si="7"/>
        <v>7.8654334575254303</v>
      </c>
      <c r="T31" s="140">
        <f t="shared" si="9"/>
        <v>-8.7499999999999822</v>
      </c>
      <c r="U31" s="140">
        <v>-0.62119460061231802</v>
      </c>
      <c r="V31" s="140">
        <v>-2.6788850063000143E-2</v>
      </c>
      <c r="W31" s="1">
        <f t="shared" si="0"/>
        <v>7.3116421663300249E-2</v>
      </c>
      <c r="X31" s="1">
        <f t="shared" si="2"/>
        <v>12.629999999999981</v>
      </c>
      <c r="Y31" s="1">
        <f t="shared" si="3"/>
        <v>-0.57486702901201792</v>
      </c>
      <c r="Z31" s="1">
        <f t="shared" si="1"/>
        <v>2.0137046837604772E-2</v>
      </c>
      <c r="AA31" s="1">
        <f t="shared" si="4"/>
        <v>-28.547732626736853</v>
      </c>
      <c r="AC31" s="146">
        <f t="shared" si="10"/>
        <v>3.4999999999999996</v>
      </c>
      <c r="AD31" s="147">
        <v>6.6020033041845422E-2</v>
      </c>
      <c r="AE31" s="1">
        <f t="shared" si="5"/>
        <v>19435.230573512679</v>
      </c>
      <c r="AH31" s="150">
        <f t="shared" si="11"/>
        <v>0.50000000000000011</v>
      </c>
      <c r="AI31" s="147">
        <v>0.1712079991138265</v>
      </c>
      <c r="AJ31" s="1">
        <f t="shared" si="6"/>
        <v>50400.867516953942</v>
      </c>
    </row>
    <row r="32" spans="2:36">
      <c r="O32" s="74">
        <f t="shared" si="8"/>
        <v>-2.4000000000000021</v>
      </c>
      <c r="P32" s="75">
        <v>0.10118902221030371</v>
      </c>
      <c r="Q32" s="76">
        <v>1.1274746159075408E-2</v>
      </c>
      <c r="R32" s="1">
        <f t="shared" si="7"/>
        <v>8.974838172197197</v>
      </c>
      <c r="T32" s="140">
        <f t="shared" si="9"/>
        <v>-8.6999999999999815</v>
      </c>
      <c r="U32" s="140">
        <v>-0.61562214913745061</v>
      </c>
      <c r="V32" s="140">
        <v>-2.6635770919782999E-2</v>
      </c>
      <c r="W32" s="1">
        <f t="shared" si="0"/>
        <v>7.2340047912940644E-2</v>
      </c>
      <c r="X32" s="1">
        <f t="shared" si="2"/>
        <v>12.539999999999981</v>
      </c>
      <c r="Y32" s="1">
        <f t="shared" si="3"/>
        <v>-0.5699178721442929</v>
      </c>
      <c r="Z32" s="1">
        <f t="shared" si="1"/>
        <v>1.9999679576462436E-2</v>
      </c>
      <c r="AA32" s="1">
        <f t="shared" si="4"/>
        <v>-28.496350152280819</v>
      </c>
      <c r="AC32" s="146">
        <f t="shared" si="10"/>
        <v>3.4799999999999995</v>
      </c>
      <c r="AD32" s="147">
        <v>6.5642775710177723E-2</v>
      </c>
      <c r="AE32" s="1">
        <f t="shared" si="5"/>
        <v>19324.172113092605</v>
      </c>
      <c r="AH32" s="150">
        <f t="shared" si="11"/>
        <v>0.52000000000000013</v>
      </c>
      <c r="AI32" s="147">
        <v>0.1734369797037735</v>
      </c>
      <c r="AJ32" s="1">
        <f t="shared" si="6"/>
        <v>51057.043373183005</v>
      </c>
    </row>
    <row r="33" spans="2:36">
      <c r="B33" s="230" t="s">
        <v>165</v>
      </c>
      <c r="C33" s="230"/>
      <c r="E33" s="235" t="s">
        <v>164</v>
      </c>
      <c r="F33" s="235"/>
      <c r="H33" s="240" t="s">
        <v>189</v>
      </c>
      <c r="I33" s="235"/>
      <c r="O33" s="74">
        <f t="shared" si="8"/>
        <v>-2.300000000000002</v>
      </c>
      <c r="P33" s="75">
        <v>0.1136713261438857</v>
      </c>
      <c r="Q33" s="76">
        <v>1.1275869418809236E-2</v>
      </c>
      <c r="R33" s="1">
        <f t="shared" si="7"/>
        <v>10.080936726197891</v>
      </c>
      <c r="T33" s="140">
        <f t="shared" si="9"/>
        <v>-8.6499999999999808</v>
      </c>
      <c r="U33" s="140">
        <v>-0.6100496976625831</v>
      </c>
      <c r="V33" s="140">
        <v>-2.6482691776565849E-2</v>
      </c>
      <c r="W33" s="1">
        <f t="shared" si="0"/>
        <v>7.1563674162580998E-2</v>
      </c>
      <c r="X33" s="1">
        <f t="shared" si="2"/>
        <v>12.449999999999982</v>
      </c>
      <c r="Y33" s="1">
        <f t="shared" si="3"/>
        <v>-0.56496871527656789</v>
      </c>
      <c r="Z33" s="1">
        <f t="shared" si="1"/>
        <v>1.9863380125332255E-2</v>
      </c>
      <c r="AA33" s="1">
        <f t="shared" si="4"/>
        <v>-28.442727859597746</v>
      </c>
      <c r="AC33" s="146">
        <f t="shared" si="10"/>
        <v>3.4599999999999995</v>
      </c>
      <c r="AD33" s="147">
        <v>6.5265518378510037E-2</v>
      </c>
      <c r="AE33" s="1">
        <f t="shared" si="5"/>
        <v>19213.113652672531</v>
      </c>
      <c r="AH33" s="150">
        <f t="shared" si="11"/>
        <v>0.54000000000000015</v>
      </c>
      <c r="AI33" s="147">
        <v>0.17566596029372045</v>
      </c>
      <c r="AJ33" s="1">
        <f t="shared" si="6"/>
        <v>51713.219229412061</v>
      </c>
    </row>
    <row r="34" spans="2:36">
      <c r="B34" s="52" t="s">
        <v>220</v>
      </c>
      <c r="C34" s="2">
        <f>V*LNac/nu</f>
        <v>6555531.8219269551</v>
      </c>
      <c r="E34" s="4" t="s">
        <v>99</v>
      </c>
      <c r="F34" s="2">
        <f>S0</f>
        <v>0.35551305821692863</v>
      </c>
      <c r="H34" s="4" t="s">
        <v>172</v>
      </c>
      <c r="I34" s="2">
        <v>0</v>
      </c>
      <c r="O34" s="74">
        <f t="shared" si="8"/>
        <v>-2.200000000000002</v>
      </c>
      <c r="P34" s="75">
        <v>0.12615363007746769</v>
      </c>
      <c r="Q34" s="76">
        <v>1.1281415516382008E-2</v>
      </c>
      <c r="R34" s="1">
        <f t="shared" si="7"/>
        <v>11.182429181362663</v>
      </c>
      <c r="T34" s="140">
        <f t="shared" si="9"/>
        <v>-8.5999999999999801</v>
      </c>
      <c r="U34" s="140">
        <v>-0.60447724618771559</v>
      </c>
      <c r="V34" s="140">
        <v>-2.6329612633348706E-2</v>
      </c>
      <c r="W34" s="1">
        <f t="shared" si="0"/>
        <v>7.0787300412221338E-2</v>
      </c>
      <c r="X34" s="1">
        <f t="shared" si="2"/>
        <v>12.35999999999998</v>
      </c>
      <c r="Y34" s="1">
        <f t="shared" si="3"/>
        <v>-0.56001955840884288</v>
      </c>
      <c r="Z34" s="1">
        <f t="shared" si="1"/>
        <v>1.9728148484214236E-2</v>
      </c>
      <c r="AA34" s="1">
        <f t="shared" si="4"/>
        <v>-28.386828031883006</v>
      </c>
      <c r="AC34" s="146">
        <f t="shared" si="10"/>
        <v>3.4399999999999995</v>
      </c>
      <c r="AD34" s="147">
        <v>6.4888261046842352E-2</v>
      </c>
      <c r="AE34" s="1">
        <f t="shared" si="5"/>
        <v>19102.055192252461</v>
      </c>
      <c r="AH34" s="150">
        <f t="shared" si="11"/>
        <v>0.56000000000000016</v>
      </c>
      <c r="AI34" s="147">
        <v>0.17789494088366742</v>
      </c>
      <c r="AJ34" s="1">
        <f t="shared" si="6"/>
        <v>52369.395085641117</v>
      </c>
    </row>
    <row r="35" spans="2:36">
      <c r="B35" s="4" t="s">
        <v>227</v>
      </c>
      <c r="C35" s="2">
        <f>0.455/((1+0.126*Mach^2)*LOG10(Re_nac)^2.58)</f>
        <v>3.1184293587096694E-3</v>
      </c>
      <c r="E35" s="4" t="s">
        <v>100</v>
      </c>
      <c r="F35" s="2">
        <f>2/SQRT(1-Mach^2)</f>
        <v>2.3094010767585034</v>
      </c>
      <c r="O35" s="74">
        <f t="shared" si="8"/>
        <v>-2.1000000000000019</v>
      </c>
      <c r="P35" s="75">
        <v>0.13863593401104965</v>
      </c>
      <c r="Q35" s="76">
        <v>1.1291384451793722E-2</v>
      </c>
      <c r="R35" s="1">
        <f t="shared" si="7"/>
        <v>12.278027960426614</v>
      </c>
      <c r="T35" s="140">
        <f t="shared" si="9"/>
        <v>-8.5499999999999794</v>
      </c>
      <c r="U35" s="140">
        <v>-0.59890479471284808</v>
      </c>
      <c r="V35" s="140">
        <v>-2.6176533490131562E-2</v>
      </c>
      <c r="W35" s="1">
        <f t="shared" si="0"/>
        <v>7.0010926661861705E-2</v>
      </c>
      <c r="X35" s="1">
        <f t="shared" si="2"/>
        <v>12.269999999999978</v>
      </c>
      <c r="Y35" s="1">
        <f t="shared" si="3"/>
        <v>-0.55507040154111797</v>
      </c>
      <c r="Z35" s="1">
        <f t="shared" si="1"/>
        <v>1.9593984653108371E-2</v>
      </c>
      <c r="AA35" s="1">
        <f t="shared" si="4"/>
        <v>-28.328612651692676</v>
      </c>
      <c r="AC35" s="146">
        <f t="shared" si="10"/>
        <v>3.4199999999999995</v>
      </c>
      <c r="AD35" s="147">
        <v>6.4511003715174667E-2</v>
      </c>
      <c r="AE35" s="1">
        <f t="shared" si="5"/>
        <v>18990.996731832391</v>
      </c>
      <c r="AH35" s="150">
        <f t="shared" si="11"/>
        <v>0.58000000000000018</v>
      </c>
      <c r="AI35" s="147">
        <v>0.18012392147361439</v>
      </c>
      <c r="AJ35" s="1">
        <f t="shared" si="6"/>
        <v>53025.570941870174</v>
      </c>
    </row>
    <row r="36" spans="2:36">
      <c r="B36" s="4" t="s">
        <v>228</v>
      </c>
      <c r="C36" s="2">
        <f>0.85*PI()*LNac*DNac</f>
        <v>7.5159693054908869</v>
      </c>
      <c r="E36" s="4" t="s">
        <v>101</v>
      </c>
      <c r="F36" s="2">
        <v>1</v>
      </c>
      <c r="O36" s="74">
        <f t="shared" si="8"/>
        <v>-2.0000000000000018</v>
      </c>
      <c r="P36" s="75">
        <v>0.15111823794463164</v>
      </c>
      <c r="Q36" s="76">
        <v>1.1305776225044376E-2</v>
      </c>
      <c r="R36" s="1">
        <f t="shared" si="7"/>
        <v>13.366462853729312</v>
      </c>
      <c r="T36" s="140">
        <f t="shared" si="9"/>
        <v>-8.4999999999999787</v>
      </c>
      <c r="U36" s="140">
        <v>-0.59333234323798056</v>
      </c>
      <c r="V36" s="140">
        <v>-2.6023454346914412E-2</v>
      </c>
      <c r="W36" s="1">
        <f t="shared" si="0"/>
        <v>6.9234552911502073E-2</v>
      </c>
      <c r="X36" s="1">
        <f t="shared" si="2"/>
        <v>12.179999999999978</v>
      </c>
      <c r="Y36" s="1">
        <f t="shared" si="3"/>
        <v>-0.55012124467339296</v>
      </c>
      <c r="Z36" s="1">
        <f t="shared" si="1"/>
        <v>1.9460888632014665E-2</v>
      </c>
      <c r="AA36" s="1">
        <f t="shared" si="4"/>
        <v>-28.268043411357947</v>
      </c>
      <c r="AC36" s="146">
        <f t="shared" si="10"/>
        <v>3.3999999999999995</v>
      </c>
      <c r="AD36" s="147">
        <v>6.4133746383506982E-2</v>
      </c>
      <c r="AE36" s="1">
        <f t="shared" si="5"/>
        <v>18879.938271412317</v>
      </c>
      <c r="AH36" s="150">
        <f t="shared" si="11"/>
        <v>0.6000000000000002</v>
      </c>
      <c r="AI36" s="147">
        <v>0.18235290206356136</v>
      </c>
      <c r="AJ36" s="1">
        <f t="shared" si="6"/>
        <v>53681.746798099237</v>
      </c>
    </row>
    <row r="37" spans="2:36">
      <c r="B37" s="4" t="s">
        <v>230</v>
      </c>
      <c r="C37" s="2">
        <f>2.2*c_nac^-1.5+3.8*c_nac^-3</f>
        <v>0.32342470166512743</v>
      </c>
      <c r="E37" s="4" t="s">
        <v>102</v>
      </c>
      <c r="F37" s="2">
        <f>F34*F36*F35/SRef</f>
        <v>5.6599946587535498E-3</v>
      </c>
      <c r="O37" s="74">
        <f t="shared" si="8"/>
        <v>-1.9000000000000017</v>
      </c>
      <c r="P37" s="75">
        <v>0.1636005418782136</v>
      </c>
      <c r="Q37" s="76">
        <v>1.1324590836133974E-2</v>
      </c>
      <c r="R37" s="1">
        <f t="shared" si="7"/>
        <v>14.446485903597035</v>
      </c>
      <c r="T37" s="140">
        <f t="shared" si="9"/>
        <v>-8.449999999999978</v>
      </c>
      <c r="U37" s="140">
        <v>-0.58775989176311305</v>
      </c>
      <c r="V37" s="140">
        <v>-2.5870375203697268E-2</v>
      </c>
      <c r="W37" s="1">
        <f t="shared" si="0"/>
        <v>6.8458179161142441E-2</v>
      </c>
      <c r="X37" s="1">
        <f t="shared" si="2"/>
        <v>12.089999999999979</v>
      </c>
      <c r="Y37" s="1">
        <f t="shared" si="3"/>
        <v>-0.54517208780566784</v>
      </c>
      <c r="Z37" s="1">
        <f t="shared" si="1"/>
        <v>1.9328860420933118E-2</v>
      </c>
      <c r="AA37" s="1">
        <f t="shared" si="4"/>
        <v>-28.205081724075544</v>
      </c>
      <c r="AC37" s="146">
        <f t="shared" si="10"/>
        <v>3.3799999999999994</v>
      </c>
      <c r="AD37" s="147">
        <v>6.3756489051839296E-2</v>
      </c>
      <c r="AE37" s="1">
        <f t="shared" si="5"/>
        <v>18768.879810992246</v>
      </c>
      <c r="AH37" s="150">
        <f t="shared" si="11"/>
        <v>0.62000000000000022</v>
      </c>
      <c r="AI37" s="147">
        <v>0.18458188265350833</v>
      </c>
      <c r="AJ37" s="1">
        <f t="shared" si="6"/>
        <v>54337.922654328293</v>
      </c>
    </row>
    <row r="38" spans="2:36">
      <c r="B38" s="4" t="s">
        <v>231</v>
      </c>
      <c r="C38" s="2">
        <f>LNac/SQRT(4*SMaitreCouple_nac/PI())</f>
        <v>4.076251807952187</v>
      </c>
      <c r="E38" s="4" t="s">
        <v>83</v>
      </c>
      <c r="F38" s="2">
        <f>Czalpha_nac*RADIANS(alpha)</f>
        <v>0</v>
      </c>
      <c r="O38" s="74">
        <f t="shared" si="8"/>
        <v>-1.8000000000000016</v>
      </c>
      <c r="P38" s="75">
        <v>0.17608284581179562</v>
      </c>
      <c r="Q38" s="76">
        <v>1.1347828285062513E-2</v>
      </c>
      <c r="R38" s="1">
        <f t="shared" si="7"/>
        <v>15.516876127177458</v>
      </c>
      <c r="T38" s="140">
        <f t="shared" si="9"/>
        <v>-8.3999999999999773</v>
      </c>
      <c r="U38" s="140">
        <v>-0.58218744028824565</v>
      </c>
      <c r="V38" s="140">
        <v>-2.5717296060480122E-2</v>
      </c>
      <c r="W38" s="1">
        <f t="shared" si="0"/>
        <v>6.7681805410782822E-2</v>
      </c>
      <c r="X38" s="1">
        <f t="shared" si="2"/>
        <v>11.999999999999977</v>
      </c>
      <c r="Y38" s="1">
        <f t="shared" si="3"/>
        <v>-0.54022293093794294</v>
      </c>
      <c r="Z38" s="1">
        <f t="shared" si="1"/>
        <v>1.9197900019863733E-2</v>
      </c>
      <c r="AA38" s="1">
        <f t="shared" si="4"/>
        <v>-28.1396887356942</v>
      </c>
      <c r="AC38" s="146">
        <f t="shared" si="10"/>
        <v>3.3599999999999994</v>
      </c>
      <c r="AD38" s="147">
        <v>6.3379231720171597E-2</v>
      </c>
      <c r="AE38" s="1">
        <f t="shared" si="5"/>
        <v>18657.821350572169</v>
      </c>
      <c r="AH38" s="150">
        <f t="shared" si="11"/>
        <v>0.64000000000000024</v>
      </c>
      <c r="AI38" s="147">
        <v>0.18681086324345531</v>
      </c>
      <c r="AJ38" s="1">
        <f t="shared" si="6"/>
        <v>54994.098510557356</v>
      </c>
    </row>
    <row r="39" spans="2:36">
      <c r="B39" s="4" t="s">
        <v>232</v>
      </c>
      <c r="C39" s="2">
        <f>Cf_nac*(1+a_nac)*Sm_nac/SRef</f>
        <v>2.1383620825110754E-4</v>
      </c>
      <c r="O39" s="74">
        <f t="shared" si="8"/>
        <v>-1.7000000000000015</v>
      </c>
      <c r="P39" s="75">
        <v>0.18856514974537758</v>
      </c>
      <c r="Q39" s="76">
        <v>1.1375488571829993E-2</v>
      </c>
      <c r="R39" s="1">
        <f t="shared" si="7"/>
        <v>16.57644404059586</v>
      </c>
      <c r="T39" s="140">
        <f t="shared" si="9"/>
        <v>-8.3499999999999766</v>
      </c>
      <c r="U39" s="140">
        <v>-0.57661498881337814</v>
      </c>
      <c r="V39" s="140">
        <v>-2.5564216917262975E-2</v>
      </c>
      <c r="W39" s="1">
        <f t="shared" si="0"/>
        <v>6.6905431660423162E-2</v>
      </c>
      <c r="X39" s="1">
        <f t="shared" si="2"/>
        <v>11.909999999999975</v>
      </c>
      <c r="Y39" s="1">
        <f t="shared" si="3"/>
        <v>-0.53527377407021792</v>
      </c>
      <c r="Z39" s="1">
        <f t="shared" si="1"/>
        <v>1.9068007428806502E-2</v>
      </c>
      <c r="AA39" s="1">
        <f t="shared" si="4"/>
        <v>-28.071825337217291</v>
      </c>
      <c r="AC39" s="146">
        <f t="shared" si="10"/>
        <v>3.3399999999999994</v>
      </c>
      <c r="AD39" s="147">
        <v>6.3001974388503912E-2</v>
      </c>
      <c r="AE39" s="1">
        <f t="shared" si="5"/>
        <v>18546.762890152098</v>
      </c>
      <c r="AH39" s="150">
        <f t="shared" si="11"/>
        <v>0.66000000000000025</v>
      </c>
      <c r="AI39" s="147">
        <v>0.18903984383340228</v>
      </c>
      <c r="AJ39" s="1">
        <f t="shared" si="6"/>
        <v>55650.27436678642</v>
      </c>
    </row>
    <row r="40" spans="2:36">
      <c r="O40" s="74">
        <f t="shared" si="8"/>
        <v>-1.6000000000000014</v>
      </c>
      <c r="P40" s="75">
        <v>0.20104745367895954</v>
      </c>
      <c r="Q40" s="76">
        <v>1.1407571696436417E-2</v>
      </c>
      <c r="R40" s="1">
        <f t="shared" si="7"/>
        <v>17.624035949891443</v>
      </c>
      <c r="T40" s="140">
        <f t="shared" si="9"/>
        <v>-8.2999999999999758</v>
      </c>
      <c r="U40" s="140">
        <v>-0.57104253733851063</v>
      </c>
      <c r="V40" s="140">
        <v>-2.5411137774045831E-2</v>
      </c>
      <c r="W40" s="1">
        <f t="shared" si="0"/>
        <v>6.612905791006353E-2</v>
      </c>
      <c r="X40" s="1">
        <f t="shared" si="2"/>
        <v>11.819999999999975</v>
      </c>
      <c r="Y40" s="1">
        <f t="shared" si="3"/>
        <v>-0.53032461720249291</v>
      </c>
      <c r="Z40" s="1">
        <f t="shared" si="1"/>
        <v>1.8939182647761427E-2</v>
      </c>
      <c r="AA40" s="1">
        <f t="shared" si="4"/>
        <v>-28.001452178041919</v>
      </c>
      <c r="AC40" s="146">
        <f t="shared" si="10"/>
        <v>3.3199999999999994</v>
      </c>
      <c r="AD40" s="147">
        <v>6.2624717056836227E-2</v>
      </c>
      <c r="AE40" s="1">
        <f t="shared" si="5"/>
        <v>18435.704429732028</v>
      </c>
      <c r="AH40" s="150">
        <f t="shared" si="11"/>
        <v>0.68000000000000027</v>
      </c>
      <c r="AI40" s="147">
        <v>0.19126882442334925</v>
      </c>
      <c r="AJ40" s="1">
        <f t="shared" si="6"/>
        <v>56306.450223015469</v>
      </c>
    </row>
    <row r="41" spans="2:36">
      <c r="B41" s="230" t="s">
        <v>84</v>
      </c>
      <c r="C41" s="230"/>
      <c r="E41" s="235" t="s">
        <v>85</v>
      </c>
      <c r="F41" s="235"/>
      <c r="H41" s="230" t="s">
        <v>177</v>
      </c>
      <c r="I41" s="230"/>
      <c r="O41" s="74">
        <f t="shared" si="8"/>
        <v>-1.5000000000000013</v>
      </c>
      <c r="P41" s="75">
        <v>0.21352975761254156</v>
      </c>
      <c r="Q41" s="76">
        <v>1.1444077658881781E-2</v>
      </c>
      <c r="R41" s="1">
        <f t="shared" si="7"/>
        <v>18.658537977223574</v>
      </c>
      <c r="T41" s="140">
        <f t="shared" si="9"/>
        <v>-8.2499999999999751</v>
      </c>
      <c r="U41" s="140">
        <v>-0.56547008586364311</v>
      </c>
      <c r="V41" s="140">
        <v>-2.5258058630828681E-2</v>
      </c>
      <c r="W41" s="1">
        <f t="shared" si="0"/>
        <v>6.5352684159703897E-2</v>
      </c>
      <c r="X41" s="1">
        <f t="shared" si="2"/>
        <v>11.729999999999976</v>
      </c>
      <c r="Y41" s="1">
        <f t="shared" si="3"/>
        <v>-0.5253754603347679</v>
      </c>
      <c r="Z41" s="1">
        <f t="shared" si="1"/>
        <v>1.881142567672851E-2</v>
      </c>
      <c r="AA41" s="1">
        <f t="shared" si="4"/>
        <v>-27.928529679954369</v>
      </c>
      <c r="AC41" s="146">
        <f t="shared" si="10"/>
        <v>3.2999999999999994</v>
      </c>
      <c r="AD41" s="147">
        <v>6.2247459725168534E-2</v>
      </c>
      <c r="AE41" s="1">
        <f t="shared" si="5"/>
        <v>18324.645969311954</v>
      </c>
      <c r="AH41" s="150">
        <f t="shared" si="11"/>
        <v>0.70000000000000029</v>
      </c>
      <c r="AI41" s="147">
        <v>0.19349780501329622</v>
      </c>
      <c r="AJ41" s="1">
        <f t="shared" si="6"/>
        <v>56962.626079244532</v>
      </c>
    </row>
    <row r="42" spans="2:36">
      <c r="B42" s="4" t="s">
        <v>223</v>
      </c>
      <c r="C42" s="59" t="s">
        <v>182</v>
      </c>
      <c r="E42" s="4" t="s">
        <v>181</v>
      </c>
      <c r="F42" s="5">
        <v>-1.0362</v>
      </c>
      <c r="G42" s="1">
        <f>alpha0_voil-alpha_calage_voil</f>
        <v>-3.1762000000000015</v>
      </c>
      <c r="H42" s="4" t="s">
        <v>178</v>
      </c>
      <c r="I42" s="2">
        <f>Czalpha_voil</f>
        <v>6.3855590210270785</v>
      </c>
      <c r="O42" s="74">
        <f t="shared" si="8"/>
        <v>-1.4000000000000012</v>
      </c>
      <c r="P42" s="75">
        <v>0.22601206154612355</v>
      </c>
      <c r="Q42" s="76">
        <v>1.1485006459166088E-2</v>
      </c>
      <c r="R42" s="1">
        <f t="shared" si="7"/>
        <v>19.678879794250808</v>
      </c>
      <c r="T42" s="140">
        <f t="shared" si="9"/>
        <v>-8.1999999999999744</v>
      </c>
      <c r="U42" s="140">
        <v>-0.5598976343887756</v>
      </c>
      <c r="V42" s="140">
        <v>-2.5104979487611537E-2</v>
      </c>
      <c r="W42" s="1">
        <f t="shared" si="0"/>
        <v>6.4576310409344251E-2</v>
      </c>
      <c r="X42" s="1">
        <f t="shared" si="2"/>
        <v>11.639999999999974</v>
      </c>
      <c r="Y42" s="1">
        <f t="shared" si="3"/>
        <v>-0.52042630346704288</v>
      </c>
      <c r="Z42" s="1">
        <f t="shared" si="1"/>
        <v>1.8684736515707755E-2</v>
      </c>
      <c r="AA42" s="1">
        <f t="shared" si="4"/>
        <v>-27.853018051902122</v>
      </c>
      <c r="AC42" s="146">
        <f t="shared" si="10"/>
        <v>3.2799999999999994</v>
      </c>
      <c r="AD42" s="147">
        <v>6.1870202393500849E-2</v>
      </c>
      <c r="AE42" s="1">
        <f t="shared" si="5"/>
        <v>18213.58750889188</v>
      </c>
      <c r="AH42" s="150">
        <f t="shared" si="11"/>
        <v>0.72000000000000031</v>
      </c>
      <c r="AI42" s="147">
        <v>0.19572678560324316</v>
      </c>
      <c r="AJ42" s="1">
        <f t="shared" si="6"/>
        <v>57618.801935473588</v>
      </c>
    </row>
    <row r="43" spans="2:36">
      <c r="B43" s="4" t="s">
        <v>220</v>
      </c>
      <c r="C43" s="59">
        <f>V*CMA_voil/nu</f>
        <v>4809986.1524401819</v>
      </c>
      <c r="E43" s="4" t="s">
        <v>82</v>
      </c>
      <c r="F43" s="131">
        <f>'Calage voilure'!B7</f>
        <v>2.1400000000000015</v>
      </c>
      <c r="H43" s="4" t="s">
        <v>179</v>
      </c>
      <c r="I43" s="2">
        <f>Czalpha_voil_brut*RADIANS(alpha+alpha_calage_voil-alpha0_voil)</f>
        <v>0.35398440748947796</v>
      </c>
      <c r="O43" s="74">
        <f t="shared" si="8"/>
        <v>-1.3000000000000012</v>
      </c>
      <c r="P43" s="75">
        <v>0.23849436547970551</v>
      </c>
      <c r="Q43" s="76">
        <v>1.1530358097289337E-2</v>
      </c>
      <c r="R43" s="1">
        <f t="shared" si="7"/>
        <v>20.684038038313222</v>
      </c>
      <c r="T43" s="140">
        <f t="shared" si="9"/>
        <v>-8.1499999999999737</v>
      </c>
      <c r="U43" s="140">
        <v>-0.55432518291390809</v>
      </c>
      <c r="V43" s="140">
        <v>-2.4951900344394391E-2</v>
      </c>
      <c r="W43" s="1">
        <f t="shared" si="0"/>
        <v>6.3799936658984618E-2</v>
      </c>
      <c r="X43" s="1">
        <f t="shared" si="2"/>
        <v>11.549999999999972</v>
      </c>
      <c r="Y43" s="1">
        <f t="shared" si="3"/>
        <v>-0.51547714659931787</v>
      </c>
      <c r="Z43" s="1">
        <f t="shared" si="1"/>
        <v>1.8559115164699155E-2</v>
      </c>
      <c r="AA43" s="1">
        <f t="shared" si="4"/>
        <v>-27.774877305562203</v>
      </c>
      <c r="AC43" s="146">
        <f t="shared" si="10"/>
        <v>3.2599999999999993</v>
      </c>
      <c r="AD43" s="147">
        <v>6.1492945061833157E-2</v>
      </c>
      <c r="AE43" s="1">
        <f t="shared" si="5"/>
        <v>18102.52904847181</v>
      </c>
      <c r="AH43" s="150">
        <f t="shared" si="11"/>
        <v>0.74000000000000032</v>
      </c>
      <c r="AI43" s="147">
        <v>0.19795576619319016</v>
      </c>
      <c r="AJ43" s="1">
        <f t="shared" si="6"/>
        <v>58274.977791702651</v>
      </c>
    </row>
    <row r="44" spans="2:36">
      <c r="B44" s="4" t="s">
        <v>239</v>
      </c>
      <c r="C44" s="59">
        <f>SRef-DFus*c_voil_emplanture</f>
        <v>140.22790588610886</v>
      </c>
      <c r="E44" s="4" t="s">
        <v>245</v>
      </c>
      <c r="F44" s="2">
        <f>2*PI()</f>
        <v>6.2831853071795862</v>
      </c>
      <c r="H44" s="4" t="s">
        <v>180</v>
      </c>
      <c r="I44" s="2">
        <f>(Cz_voil_brut)^2/(PI()*all_voil)</f>
        <v>1.5954323117288295E-3</v>
      </c>
      <c r="O44" s="74">
        <f t="shared" si="8"/>
        <v>-1.2000000000000011</v>
      </c>
      <c r="P44" s="75">
        <v>0.2509766694132875</v>
      </c>
      <c r="Q44" s="76">
        <v>1.1580132573251528E-2</v>
      </c>
      <c r="R44" s="1">
        <f t="shared" si="7"/>
        <v>21.673039391017699</v>
      </c>
      <c r="T44" s="140">
        <f t="shared" si="9"/>
        <v>-8.099999999999973</v>
      </c>
      <c r="U44" s="140">
        <v>-0.54875273143904058</v>
      </c>
      <c r="V44" s="140">
        <v>-2.4798821201177244E-2</v>
      </c>
      <c r="W44" s="1">
        <f t="shared" si="0"/>
        <v>6.3023562908624986E-2</v>
      </c>
      <c r="X44" s="1">
        <f t="shared" si="2"/>
        <v>11.459999999999972</v>
      </c>
      <c r="Y44" s="1">
        <f t="shared" si="3"/>
        <v>-0.51052798973159286</v>
      </c>
      <c r="Z44" s="1">
        <f t="shared" si="1"/>
        <v>1.8434561623702713E-2</v>
      </c>
      <c r="AA44" s="1">
        <f t="shared" si="4"/>
        <v>-27.694067271725537</v>
      </c>
      <c r="AC44" s="146">
        <f t="shared" si="10"/>
        <v>3.2399999999999993</v>
      </c>
      <c r="AD44" s="147">
        <v>6.1115687730165465E-2</v>
      </c>
      <c r="AE44" s="1">
        <f t="shared" si="5"/>
        <v>17991.470588051736</v>
      </c>
      <c r="AH44" s="150">
        <f t="shared" si="11"/>
        <v>0.76000000000000034</v>
      </c>
      <c r="AI44" s="147">
        <v>0.20018474678313711</v>
      </c>
      <c r="AJ44" s="1">
        <f t="shared" si="6"/>
        <v>58931.153647931715</v>
      </c>
    </row>
    <row r="45" spans="2:36">
      <c r="B45" s="4" t="s">
        <v>228</v>
      </c>
      <c r="C45" s="59">
        <f>2*(Sext_voil)</f>
        <v>280.45581177221771</v>
      </c>
      <c r="E45" s="4" t="s">
        <v>75</v>
      </c>
      <c r="F45" s="2">
        <f>Czalpha_inc__voil/((2/all_voil)+SQRT(1+(TAN(RADIANS(Fleche50)))^2-Mach^2+(2/all_voil)^2))</f>
        <v>6.6054646814444169</v>
      </c>
      <c r="H45" s="4" t="s">
        <v>172</v>
      </c>
      <c r="I45" s="2">
        <f>Cxi_voil_brut*Sext_voil/SRef</f>
        <v>1.5423180172648143E-3</v>
      </c>
      <c r="O45" s="74">
        <f t="shared" si="8"/>
        <v>-1.100000000000001</v>
      </c>
      <c r="P45" s="75">
        <v>0.26345897334686946</v>
      </c>
      <c r="Q45" s="76">
        <v>1.1634329887052661E-2</v>
      </c>
      <c r="R45" s="1">
        <f t="shared" si="7"/>
        <v>22.64496330296268</v>
      </c>
      <c r="T45" s="140">
        <f t="shared" si="9"/>
        <v>-8.0499999999999723</v>
      </c>
      <c r="U45" s="140">
        <v>-0.54318027996417306</v>
      </c>
      <c r="V45" s="140">
        <v>-2.46457420579601E-2</v>
      </c>
      <c r="W45" s="1">
        <f t="shared" si="0"/>
        <v>6.2247189158265354E-2</v>
      </c>
      <c r="X45" s="1">
        <f t="shared" si="2"/>
        <v>11.349999999999971</v>
      </c>
      <c r="Y45" s="1">
        <f t="shared" si="3"/>
        <v>-0.50557883286386784</v>
      </c>
      <c r="Z45" s="1">
        <f t="shared" si="1"/>
        <v>1.8311075892718433E-2</v>
      </c>
      <c r="AA45" s="1">
        <f t="shared" si="4"/>
        <v>-27.610547617516886</v>
      </c>
      <c r="AC45" s="146">
        <f t="shared" si="10"/>
        <v>3.2199999999999993</v>
      </c>
      <c r="AD45" s="147">
        <v>6.0738430398497779E-2</v>
      </c>
      <c r="AE45" s="1">
        <f t="shared" si="5"/>
        <v>17880.412127631662</v>
      </c>
      <c r="AH45" s="150">
        <f t="shared" si="11"/>
        <v>0.78000000000000036</v>
      </c>
      <c r="AI45" s="147">
        <v>0.20241372737308408</v>
      </c>
      <c r="AJ45" s="1">
        <f t="shared" si="6"/>
        <v>59587.329504160763</v>
      </c>
    </row>
    <row r="46" spans="2:36">
      <c r="B46" s="4" t="s">
        <v>240</v>
      </c>
      <c r="C46" s="5">
        <v>8.0499999999999999E-3</v>
      </c>
      <c r="E46" s="4" t="s">
        <v>76</v>
      </c>
      <c r="F46" s="2">
        <f>Czalpha_voil_complete*Sext_voil/SRef</f>
        <v>6.3855590210270785</v>
      </c>
      <c r="O46" s="74">
        <f t="shared" si="8"/>
        <v>-1.0000000000000009</v>
      </c>
      <c r="P46" s="75">
        <v>0.27594127728045148</v>
      </c>
      <c r="Q46" s="76">
        <v>1.1692950038692735E-2</v>
      </c>
      <c r="R46" s="1">
        <f t="shared" si="7"/>
        <v>23.598944352566612</v>
      </c>
      <c r="T46" s="140">
        <f t="shared" si="9"/>
        <v>-7.9999999999999725</v>
      </c>
      <c r="U46" s="140">
        <v>-0.53760782848930566</v>
      </c>
      <c r="V46" s="140">
        <v>-2.4492662914742957E-2</v>
      </c>
      <c r="W46" s="1">
        <f t="shared" si="0"/>
        <v>6.1470815407905714E-2</v>
      </c>
      <c r="X46" s="1">
        <f t="shared" si="2"/>
        <v>11.259999999999971</v>
      </c>
      <c r="Y46" s="1">
        <f t="shared" si="3"/>
        <v>-0.50062967599614294</v>
      </c>
      <c r="Z46" s="1">
        <f t="shared" si="1"/>
        <v>1.8188657971746312E-2</v>
      </c>
      <c r="AA46" s="1">
        <f t="shared" si="4"/>
        <v>-27.524277864469457</v>
      </c>
      <c r="AC46" s="146">
        <f t="shared" si="10"/>
        <v>3.1999999999999993</v>
      </c>
      <c r="AD46" s="147">
        <v>6.0361173066830094E-2</v>
      </c>
      <c r="AE46" s="1">
        <f t="shared" si="5"/>
        <v>17769.353667211592</v>
      </c>
      <c r="AH46" s="150">
        <f t="shared" si="11"/>
        <v>0.80000000000000038</v>
      </c>
      <c r="AI46" s="147">
        <v>0.20464270796303105</v>
      </c>
      <c r="AJ46" s="1">
        <f t="shared" si="6"/>
        <v>60243.50536038982</v>
      </c>
    </row>
    <row r="47" spans="2:36">
      <c r="B47" s="4" t="s">
        <v>232</v>
      </c>
      <c r="C47" s="59">
        <f>(Cx0_profil_voil*Sext_voil/SRef)*0.9</f>
        <v>7.0038032656961798E-3</v>
      </c>
      <c r="E47" s="4" t="s">
        <v>83</v>
      </c>
      <c r="F47" s="2">
        <f>Czalpha_voil*RADIANS(alpha+alpha_calage_voil-alpha0_voil)</f>
        <v>0.35398440748947796</v>
      </c>
      <c r="O47" s="74">
        <f t="shared" si="8"/>
        <v>-0.90000000000000091</v>
      </c>
      <c r="P47" s="75">
        <v>0.28842358121403344</v>
      </c>
      <c r="Q47" s="76">
        <v>1.1755993028171752E-2</v>
      </c>
      <c r="R47" s="1">
        <f t="shared" si="7"/>
        <v>24.534174231208095</v>
      </c>
      <c r="T47" s="140">
        <f t="shared" si="9"/>
        <v>-7.9499999999999726</v>
      </c>
      <c r="U47" s="140">
        <v>-0.53203537701443837</v>
      </c>
      <c r="V47" s="140">
        <v>-2.4339583771525813E-2</v>
      </c>
      <c r="W47" s="1">
        <f t="shared" si="0"/>
        <v>6.0694441657546103E-2</v>
      </c>
      <c r="X47" s="1">
        <f t="shared" si="2"/>
        <v>11.169999999999972</v>
      </c>
      <c r="Y47" s="1">
        <f t="shared" si="3"/>
        <v>-0.49568051912841804</v>
      </c>
      <c r="Z47" s="1">
        <f t="shared" si="1"/>
        <v>1.806730786078635E-2</v>
      </c>
      <c r="AA47" s="1">
        <f t="shared" si="4"/>
        <v>-27.435217407472923</v>
      </c>
      <c r="AC47" s="146">
        <f t="shared" si="10"/>
        <v>3.1799999999999993</v>
      </c>
      <c r="AD47" s="147">
        <v>5.9983915735162402E-2</v>
      </c>
      <c r="AE47" s="1">
        <f t="shared" si="5"/>
        <v>17658.295206791518</v>
      </c>
      <c r="AH47" s="150">
        <f t="shared" si="11"/>
        <v>0.8200000000000004</v>
      </c>
      <c r="AI47" s="147">
        <v>0.20687168855297805</v>
      </c>
      <c r="AJ47" s="1">
        <f t="shared" si="6"/>
        <v>60899.681216618883</v>
      </c>
    </row>
    <row r="48" spans="2:36">
      <c r="B48" s="4" t="s">
        <v>295</v>
      </c>
      <c r="C48" s="5">
        <v>-1.9699999999999999E-2</v>
      </c>
      <c r="O48" s="74">
        <f t="shared" si="8"/>
        <v>-0.80000000000000093</v>
      </c>
      <c r="P48" s="75">
        <v>0.3009058851476154</v>
      </c>
      <c r="Q48" s="76">
        <v>1.1823458855489712E-2</v>
      </c>
      <c r="R48" s="1">
        <f t="shared" si="7"/>
        <v>25.449903351074187</v>
      </c>
      <c r="T48" s="140">
        <f t="shared" si="9"/>
        <v>-7.8999999999999728</v>
      </c>
      <c r="U48" s="140">
        <v>-0.52646292553957086</v>
      </c>
      <c r="V48" s="140">
        <v>-2.4186504628308667E-2</v>
      </c>
      <c r="W48" s="1">
        <f t="shared" si="0"/>
        <v>5.9918067907186463E-2</v>
      </c>
      <c r="X48" s="1">
        <f t="shared" si="2"/>
        <v>11.079999999999972</v>
      </c>
      <c r="Y48" s="1">
        <f t="shared" si="3"/>
        <v>-0.49073136226069303</v>
      </c>
      <c r="Z48" s="1">
        <f t="shared" si="1"/>
        <v>1.7947025559838542E-2</v>
      </c>
      <c r="AA48" s="1">
        <f t="shared" si="4"/>
        <v>-27.343325534613427</v>
      </c>
      <c r="AC48" s="146">
        <f t="shared" si="10"/>
        <v>3.1599999999999993</v>
      </c>
      <c r="AD48" s="147">
        <v>5.9606658403494717E-2</v>
      </c>
      <c r="AE48" s="1">
        <f t="shared" si="5"/>
        <v>17547.236746371447</v>
      </c>
      <c r="AH48" s="150">
        <f t="shared" si="11"/>
        <v>0.84000000000000041</v>
      </c>
      <c r="AI48" s="147">
        <v>0.20910066914292499</v>
      </c>
      <c r="AJ48" s="1">
        <f t="shared" si="6"/>
        <v>61555.857072847946</v>
      </c>
    </row>
    <row r="49" spans="2:36">
      <c r="E49" s="235" t="s">
        <v>168</v>
      </c>
      <c r="F49" s="235"/>
      <c r="O49" s="74">
        <f t="shared" si="8"/>
        <v>-0.70000000000000095</v>
      </c>
      <c r="P49" s="75">
        <v>0.31338818908119737</v>
      </c>
      <c r="Q49" s="76">
        <v>1.1895347520646611E-2</v>
      </c>
      <c r="R49" s="1">
        <f t="shared" si="7"/>
        <v>26.345442076177537</v>
      </c>
      <c r="T49" s="140">
        <f t="shared" si="9"/>
        <v>-7.849999999999973</v>
      </c>
      <c r="U49" s="140">
        <v>-0.52089047406470346</v>
      </c>
      <c r="V49" s="140">
        <v>-2.4033425485091523E-2</v>
      </c>
      <c r="W49" s="1">
        <f t="shared" si="0"/>
        <v>5.9141694156826831E-2</v>
      </c>
      <c r="X49" s="1">
        <f t="shared" si="2"/>
        <v>10.989999999999972</v>
      </c>
      <c r="Y49" s="1">
        <f t="shared" si="3"/>
        <v>-0.48578220539296818</v>
      </c>
      <c r="Z49" s="1">
        <f t="shared" si="1"/>
        <v>1.7827811068902889E-2</v>
      </c>
      <c r="AA49" s="1">
        <f t="shared" si="4"/>
        <v>-27.248561447923336</v>
      </c>
      <c r="AC49" s="146">
        <f t="shared" si="10"/>
        <v>3.1399999999999992</v>
      </c>
      <c r="AD49" s="147">
        <v>5.9229401071827024E-2</v>
      </c>
      <c r="AE49" s="1">
        <f t="shared" si="5"/>
        <v>17436.178285951373</v>
      </c>
      <c r="AH49" s="150">
        <f t="shared" si="11"/>
        <v>0.86000000000000043</v>
      </c>
      <c r="AI49" s="147">
        <v>0.21132964973287197</v>
      </c>
      <c r="AJ49" s="1">
        <f t="shared" si="6"/>
        <v>62212.032929077002</v>
      </c>
    </row>
    <row r="50" spans="2:36">
      <c r="B50" s="230" t="s">
        <v>236</v>
      </c>
      <c r="C50" s="230"/>
      <c r="E50" s="4" t="s">
        <v>170</v>
      </c>
      <c r="F50" s="5">
        <v>1</v>
      </c>
      <c r="O50" s="74">
        <f t="shared" si="8"/>
        <v>-0.60000000000000098</v>
      </c>
      <c r="P50" s="75">
        <v>0.32587049301477933</v>
      </c>
      <c r="Q50" s="76">
        <v>1.1971659023642455E-2</v>
      </c>
      <c r="R50" s="1">
        <f t="shared" si="7"/>
        <v>27.220161580882639</v>
      </c>
      <c r="T50" s="140">
        <f t="shared" si="9"/>
        <v>-7.7999999999999732</v>
      </c>
      <c r="U50" s="140">
        <v>-0.51531802258983617</v>
      </c>
      <c r="V50" s="140">
        <v>-2.388034634187438E-2</v>
      </c>
      <c r="W50" s="1">
        <f t="shared" si="0"/>
        <v>5.836532040646724E-2</v>
      </c>
      <c r="X50" s="1">
        <f t="shared" si="2"/>
        <v>10.899999999999972</v>
      </c>
      <c r="Y50" s="1">
        <f t="shared" si="3"/>
        <v>-0.48083304852524333</v>
      </c>
      <c r="Z50" s="1">
        <f t="shared" si="1"/>
        <v>1.7709664387979406E-2</v>
      </c>
      <c r="AA50" s="1">
        <f t="shared" si="4"/>
        <v>-27.150884285058112</v>
      </c>
      <c r="AC50" s="146">
        <f t="shared" si="10"/>
        <v>3.1199999999999992</v>
      </c>
      <c r="AD50" s="147">
        <v>5.8852143740159332E-2</v>
      </c>
      <c r="AE50" s="1">
        <f t="shared" si="5"/>
        <v>17325.119825531299</v>
      </c>
      <c r="AH50" s="150">
        <f t="shared" si="11"/>
        <v>0.88000000000000045</v>
      </c>
      <c r="AI50" s="147">
        <v>0.21355863032281894</v>
      </c>
      <c r="AJ50" s="1">
        <f t="shared" si="6"/>
        <v>62868.208785306066</v>
      </c>
    </row>
    <row r="51" spans="2:36">
      <c r="B51" s="4" t="s">
        <v>234</v>
      </c>
      <c r="C51" s="2">
        <f>Sm_emp+Sm_fus+N*Sm_nac+Sm_voil</f>
        <v>414.88813080821217</v>
      </c>
      <c r="E51" s="4" t="s">
        <v>169</v>
      </c>
      <c r="F51" s="2">
        <f>all_voil*Czmax_profil_voil/(2+(all_voil/COS(RADIANS(Fleche50)))*SQRT(1+(4*COS(RADIANS(Fleche50)))/(all_voil^2)))</f>
        <v>0.92208590689091774</v>
      </c>
      <c r="O51" s="74">
        <f t="shared" si="8"/>
        <v>-0.500000000000001</v>
      </c>
      <c r="P51" s="75">
        <v>0.33835279694836135</v>
      </c>
      <c r="Q51" s="76">
        <v>1.205239336447724E-2</v>
      </c>
      <c r="R51" s="1">
        <f t="shared" si="7"/>
        <v>28.073494343920881</v>
      </c>
      <c r="T51" s="140">
        <f t="shared" si="9"/>
        <v>-7.7499999999999734</v>
      </c>
      <c r="U51" s="140">
        <v>-0.50974557111496877</v>
      </c>
      <c r="V51" s="140">
        <v>-2.3727267198657236E-2</v>
      </c>
      <c r="W51" s="1">
        <f t="shared" si="0"/>
        <v>5.7588946656107601E-2</v>
      </c>
      <c r="X51" s="1">
        <f t="shared" si="2"/>
        <v>10.809999999999972</v>
      </c>
      <c r="Y51" s="1">
        <f t="shared" si="3"/>
        <v>-0.47588389165751843</v>
      </c>
      <c r="Z51" s="1">
        <f t="shared" si="1"/>
        <v>1.7592585517068073E-2</v>
      </c>
      <c r="AA51" s="1">
        <f t="shared" si="4"/>
        <v>-27.050253141917242</v>
      </c>
      <c r="AC51" s="146">
        <f t="shared" si="10"/>
        <v>3.0999999999999992</v>
      </c>
      <c r="AD51" s="147">
        <v>5.8474886408491647E-2</v>
      </c>
      <c r="AE51" s="1">
        <f t="shared" si="5"/>
        <v>17214.061365111225</v>
      </c>
      <c r="AH51" s="150">
        <f t="shared" si="11"/>
        <v>0.90000000000000047</v>
      </c>
      <c r="AI51" s="147">
        <v>0.21578761091276588</v>
      </c>
      <c r="AJ51" s="1">
        <f t="shared" si="6"/>
        <v>63524.384641535107</v>
      </c>
    </row>
    <row r="52" spans="2:36">
      <c r="B52" s="4" t="s">
        <v>235</v>
      </c>
      <c r="C52" s="2">
        <f>1.157-0.92*(10^-4)*Sm_totale+1.89*(10^-8)*Sm_totale^2</f>
        <v>1.1220835898101611</v>
      </c>
      <c r="E52" s="52" t="s">
        <v>400</v>
      </c>
      <c r="F52" s="191">
        <f>INDEX(AH6:AH506,MATCH(Czmax_voil,AI6:AI506,1))</f>
        <v>7.219999999999934</v>
      </c>
      <c r="O52" s="74">
        <f t="shared" si="8"/>
        <v>-0.40000000000000102</v>
      </c>
      <c r="P52" s="75">
        <v>0.35083510088194325</v>
      </c>
      <c r="Q52" s="76">
        <v>1.2137550543150966E-2</v>
      </c>
      <c r="R52" s="1">
        <f t="shared" si="7"/>
        <v>28.904934289226432</v>
      </c>
      <c r="T52" s="140">
        <f t="shared" si="9"/>
        <v>-7.6999999999999735</v>
      </c>
      <c r="U52" s="140">
        <v>-0.50417311964010125</v>
      </c>
      <c r="V52" s="140">
        <v>-2.3574188055440096E-2</v>
      </c>
      <c r="W52" s="1">
        <f t="shared" si="0"/>
        <v>5.6812572905747968E-2</v>
      </c>
      <c r="X52" s="1">
        <f t="shared" si="2"/>
        <v>10.719999999999972</v>
      </c>
      <c r="Y52" s="1">
        <f t="shared" si="3"/>
        <v>-0.47093473478979336</v>
      </c>
      <c r="Z52" s="1">
        <f t="shared" si="1"/>
        <v>1.7476574456168899E-2</v>
      </c>
      <c r="AA52" s="1">
        <f t="shared" si="4"/>
        <v>-26.946627096224933</v>
      </c>
      <c r="AC52" s="146">
        <f t="shared" si="10"/>
        <v>3.0799999999999992</v>
      </c>
      <c r="AD52" s="147">
        <v>5.8097629076823962E-2</v>
      </c>
      <c r="AE52" s="1">
        <f t="shared" si="5"/>
        <v>17103.002904691159</v>
      </c>
      <c r="AH52" s="150">
        <f t="shared" si="11"/>
        <v>0.92000000000000048</v>
      </c>
      <c r="AI52" s="147">
        <v>0.21801659150271285</v>
      </c>
      <c r="AJ52" s="1">
        <f t="shared" si="6"/>
        <v>64180.560497764163</v>
      </c>
    </row>
    <row r="53" spans="2:36">
      <c r="E53" s="52" t="s">
        <v>401</v>
      </c>
      <c r="F53" s="191">
        <f>F52-alpha_calage_voil</f>
        <v>5.0799999999999326</v>
      </c>
      <c r="O53" s="74">
        <f t="shared" si="8"/>
        <v>-0.30000000000000104</v>
      </c>
      <c r="P53" s="75">
        <v>0.36331740481552521</v>
      </c>
      <c r="Q53" s="76">
        <v>1.2227130559663634E-2</v>
      </c>
      <c r="R53" s="1">
        <f t="shared" si="7"/>
        <v>29.714036587953142</v>
      </c>
      <c r="T53" s="140">
        <f t="shared" si="9"/>
        <v>-7.6499999999999737</v>
      </c>
      <c r="U53" s="140">
        <v>-0.49860066816523396</v>
      </c>
      <c r="V53" s="140">
        <v>-2.3421108912222953E-2</v>
      </c>
      <c r="W53" s="1">
        <f t="shared" si="0"/>
        <v>5.6036199155388378E-2</v>
      </c>
      <c r="X53" s="1">
        <f t="shared" si="2"/>
        <v>10.629999999999972</v>
      </c>
      <c r="Y53" s="1">
        <f t="shared" si="3"/>
        <v>-0.46598557792206852</v>
      </c>
      <c r="Z53" s="1">
        <f t="shared" si="1"/>
        <v>1.7361631205281884E-2</v>
      </c>
      <c r="AA53" s="1">
        <f t="shared" si="4"/>
        <v>-26.839965232086197</v>
      </c>
      <c r="AC53" s="146">
        <f t="shared" si="10"/>
        <v>3.0599999999999992</v>
      </c>
      <c r="AD53" s="147">
        <v>5.7720371745156276E-2</v>
      </c>
      <c r="AE53" s="1">
        <f t="shared" si="5"/>
        <v>16991.944444271085</v>
      </c>
      <c r="AH53" s="150">
        <f t="shared" si="11"/>
        <v>0.9400000000000005</v>
      </c>
      <c r="AI53" s="147">
        <v>0.22024557209265985</v>
      </c>
      <c r="AJ53" s="1">
        <f t="shared" si="6"/>
        <v>64836.736353993241</v>
      </c>
    </row>
    <row r="54" spans="2:36">
      <c r="B54" s="93" t="s">
        <v>237</v>
      </c>
      <c r="C54" s="93"/>
      <c r="E54" s="57"/>
      <c r="F54" s="57"/>
      <c r="O54" s="74">
        <f t="shared" si="8"/>
        <v>-0.20000000000000104</v>
      </c>
      <c r="P54" s="75">
        <v>0.37579970874910718</v>
      </c>
      <c r="Q54" s="76">
        <v>1.2321133414015245E-2</v>
      </c>
      <c r="R54" s="1">
        <f t="shared" si="7"/>
        <v>30.500417138705465</v>
      </c>
      <c r="T54" s="140">
        <f t="shared" si="9"/>
        <v>-7.5999999999999739</v>
      </c>
      <c r="U54" s="140">
        <v>-0.49302821669036656</v>
      </c>
      <c r="V54" s="140">
        <v>-2.3268029769005806E-2</v>
      </c>
      <c r="W54" s="1">
        <f t="shared" si="0"/>
        <v>5.5259825405028738E-2</v>
      </c>
      <c r="X54" s="1">
        <f t="shared" si="2"/>
        <v>10.539999999999973</v>
      </c>
      <c r="Y54" s="1">
        <f t="shared" si="3"/>
        <v>-0.46103642105434361</v>
      </c>
      <c r="Z54" s="1">
        <f t="shared" si="1"/>
        <v>1.7247755764407027E-2</v>
      </c>
      <c r="AA54" s="1">
        <f t="shared" si="4"/>
        <v>-26.730226665532442</v>
      </c>
      <c r="AC54" s="146">
        <f t="shared" si="10"/>
        <v>3.0399999999999991</v>
      </c>
      <c r="AD54" s="147">
        <v>5.7343114413488584E-2</v>
      </c>
      <c r="AE54" s="1">
        <f t="shared" si="5"/>
        <v>16880.885983851011</v>
      </c>
      <c r="AH54" s="150">
        <f t="shared" si="11"/>
        <v>0.96000000000000052</v>
      </c>
      <c r="AI54" s="147">
        <v>0.22247455268260682</v>
      </c>
      <c r="AJ54" s="1">
        <f t="shared" si="6"/>
        <v>65492.912210222297</v>
      </c>
    </row>
    <row r="55" spans="2:36">
      <c r="B55" s="4" t="s">
        <v>241</v>
      </c>
      <c r="C55" s="5">
        <v>8.0000000000000002E-3</v>
      </c>
      <c r="E55" s="57"/>
      <c r="F55" s="57"/>
      <c r="O55" s="74">
        <f t="shared" si="8"/>
        <v>-0.10000000000000103</v>
      </c>
      <c r="P55" s="75">
        <v>0.38828201268268919</v>
      </c>
      <c r="Q55" s="76">
        <v>1.2419559106205798E-2</v>
      </c>
      <c r="R55" s="1">
        <f t="shared" si="7"/>
        <v>31.263751745315393</v>
      </c>
      <c r="T55" s="140">
        <f t="shared" si="9"/>
        <v>-7.5499999999999741</v>
      </c>
      <c r="U55" s="140">
        <v>-0.4874557652154991</v>
      </c>
      <c r="V55" s="140">
        <v>-2.3114950625788663E-2</v>
      </c>
      <c r="W55" s="1">
        <f t="shared" si="0"/>
        <v>5.4483451654669106E-2</v>
      </c>
      <c r="X55" s="1">
        <f t="shared" si="2"/>
        <v>10.449999999999973</v>
      </c>
      <c r="Y55" s="1">
        <f t="shared" si="3"/>
        <v>-0.45608726418661866</v>
      </c>
      <c r="Z55" s="1">
        <f t="shared" si="1"/>
        <v>1.7134948133544325E-2</v>
      </c>
      <c r="AA55" s="1">
        <f t="shared" si="4"/>
        <v>-26.6173705710703</v>
      </c>
      <c r="AC55" s="146">
        <f t="shared" si="10"/>
        <v>3.0199999999999991</v>
      </c>
      <c r="AD55" s="147">
        <v>5.6965857081820892E-2</v>
      </c>
      <c r="AE55" s="1">
        <f t="shared" si="5"/>
        <v>16769.827523430937</v>
      </c>
      <c r="AH55" s="150">
        <f t="shared" si="11"/>
        <v>0.98000000000000054</v>
      </c>
      <c r="AI55" s="147">
        <v>0.22470353327255377</v>
      </c>
      <c r="AJ55" s="1">
        <f t="shared" si="6"/>
        <v>66149.088066451339</v>
      </c>
    </row>
    <row r="56" spans="2:36">
      <c r="B56" s="4" t="s">
        <v>232</v>
      </c>
      <c r="C56" s="59">
        <f>Cx_additif*S0/SRef</f>
        <v>1.9606796639059236E-5</v>
      </c>
      <c r="O56" s="74">
        <v>0</v>
      </c>
      <c r="P56" s="75">
        <v>0.40076431661627127</v>
      </c>
      <c r="Q56" s="76">
        <v>1.2522407636235293E-2</v>
      </c>
      <c r="R56" s="1">
        <f t="shared" si="7"/>
        <v>32.003775013409168</v>
      </c>
      <c r="T56" s="140">
        <f t="shared" si="9"/>
        <v>-7.4999999999999742</v>
      </c>
      <c r="U56" s="140">
        <v>-0.4818833137406317</v>
      </c>
      <c r="V56" s="140">
        <v>-2.2961871482571519E-2</v>
      </c>
      <c r="W56" s="1">
        <f t="shared" si="0"/>
        <v>5.3707077904309487E-2</v>
      </c>
      <c r="X56" s="1">
        <f t="shared" si="2"/>
        <v>10.359999999999973</v>
      </c>
      <c r="Y56" s="1">
        <f t="shared" si="3"/>
        <v>-0.4511381073188937</v>
      </c>
      <c r="Z56" s="1">
        <f t="shared" si="1"/>
        <v>1.7023208312693786E-2</v>
      </c>
      <c r="AA56" s="1">
        <f t="shared" si="4"/>
        <v>-26.501356209245891</v>
      </c>
      <c r="AC56" s="146">
        <f t="shared" si="10"/>
        <v>2.9999999999999991</v>
      </c>
      <c r="AD56" s="147">
        <v>5.6588599750153207E-2</v>
      </c>
      <c r="AE56" s="1">
        <f t="shared" si="5"/>
        <v>16658.769063010863</v>
      </c>
      <c r="AH56" s="150">
        <f t="shared" si="11"/>
        <v>1.0000000000000004</v>
      </c>
      <c r="AI56" s="147">
        <v>0.22693251386250074</v>
      </c>
      <c r="AJ56" s="1">
        <f t="shared" si="6"/>
        <v>66805.263922680417</v>
      </c>
    </row>
    <row r="57" spans="2:36">
      <c r="E57" s="235" t="s">
        <v>167</v>
      </c>
      <c r="F57" s="235"/>
      <c r="H57" s="235" t="s">
        <v>183</v>
      </c>
      <c r="I57" s="235"/>
      <c r="K57" s="240" t="s">
        <v>188</v>
      </c>
      <c r="L57" s="240"/>
      <c r="O57" s="74">
        <f t="shared" si="8"/>
        <v>0.1</v>
      </c>
      <c r="P57" s="75">
        <v>0.41324662054985328</v>
      </c>
      <c r="Q57" s="76">
        <v>1.2629679004103731E-2</v>
      </c>
      <c r="R57" s="1">
        <f t="shared" si="7"/>
        <v>32.720278988529962</v>
      </c>
      <c r="T57" s="140">
        <f t="shared" si="9"/>
        <v>-7.4499999999999744</v>
      </c>
      <c r="U57" s="140">
        <v>-0.47631086226576436</v>
      </c>
      <c r="V57" s="140">
        <v>-2.2808792339354376E-2</v>
      </c>
      <c r="W57" s="1">
        <f t="shared" si="0"/>
        <v>5.2930704153949876E-2</v>
      </c>
      <c r="X57" s="1">
        <f t="shared" si="2"/>
        <v>10.269999999999973</v>
      </c>
      <c r="Y57" s="1">
        <f t="shared" si="3"/>
        <v>-0.44618895045116891</v>
      </c>
      <c r="Z57" s="1">
        <f t="shared" si="1"/>
        <v>1.6912536301855404E-2</v>
      </c>
      <c r="AA57" s="1">
        <f t="shared" si="4"/>
        <v>-26.382142955236073</v>
      </c>
      <c r="AC57" s="146">
        <f t="shared" si="10"/>
        <v>2.9799999999999991</v>
      </c>
      <c r="AD57" s="147">
        <v>5.6211342418485515E-2</v>
      </c>
      <c r="AE57" s="1">
        <f t="shared" si="5"/>
        <v>16547.710602590789</v>
      </c>
      <c r="AH57" s="150">
        <f t="shared" si="11"/>
        <v>1.0200000000000005</v>
      </c>
      <c r="AI57" s="147">
        <v>0.22916149445244771</v>
      </c>
      <c r="AJ57" s="1">
        <f t="shared" si="6"/>
        <v>67461.439778909466</v>
      </c>
    </row>
    <row r="58" spans="2:36">
      <c r="B58" s="231" t="s">
        <v>77</v>
      </c>
      <c r="C58" s="238"/>
      <c r="D58" s="80"/>
      <c r="E58" s="4" t="s">
        <v>238</v>
      </c>
      <c r="F58" s="2">
        <f>N*Cz_nac+Cz_fus+Cz_emp</f>
        <v>4.6779909126793306E-2</v>
      </c>
      <c r="H58" s="4" t="s">
        <v>238</v>
      </c>
      <c r="I58" s="2">
        <f>2*Cxi_nac+Cxi_fus+Cxi_emp</f>
        <v>1.8367131133703406E-4</v>
      </c>
      <c r="K58" s="4" t="s">
        <v>238</v>
      </c>
      <c r="L58" s="2">
        <f>C59+I58</f>
        <v>3.1212369082739789E-3</v>
      </c>
      <c r="O58" s="74">
        <f t="shared" si="8"/>
        <v>0.2</v>
      </c>
      <c r="P58" s="75">
        <v>0.42572892448343524</v>
      </c>
      <c r="Q58" s="76">
        <v>1.2741373209811108E-2</v>
      </c>
      <c r="R58" s="1">
        <f t="shared" si="7"/>
        <v>33.413111559719134</v>
      </c>
      <c r="T58" s="140">
        <f t="shared" si="9"/>
        <v>-7.3999999999999746</v>
      </c>
      <c r="U58" s="140">
        <v>-0.4707384107908969</v>
      </c>
      <c r="V58" s="140">
        <v>-2.2655713196137236E-2</v>
      </c>
      <c r="W58" s="1">
        <f t="shared" si="0"/>
        <v>5.2154330403590243E-2</v>
      </c>
      <c r="X58" s="1">
        <f t="shared" si="2"/>
        <v>10.179999999999973</v>
      </c>
      <c r="Y58" s="1">
        <f t="shared" si="3"/>
        <v>-0.4412397935834439</v>
      </c>
      <c r="Z58" s="1">
        <f t="shared" si="1"/>
        <v>1.6802932101029181E-2</v>
      </c>
      <c r="AA58" s="1">
        <f t="shared" si="4"/>
        <v>-26.259690328476534</v>
      </c>
      <c r="AC58" s="146">
        <f t="shared" si="10"/>
        <v>2.9599999999999991</v>
      </c>
      <c r="AD58" s="147">
        <v>5.5834085086817829E-2</v>
      </c>
      <c r="AE58" s="1">
        <f t="shared" si="5"/>
        <v>16436.652142170722</v>
      </c>
      <c r="AH58" s="150">
        <f t="shared" si="11"/>
        <v>1.0400000000000005</v>
      </c>
      <c r="AI58" s="147">
        <v>0.23139047504239466</v>
      </c>
      <c r="AJ58" s="1">
        <f t="shared" si="6"/>
        <v>68117.615635138529</v>
      </c>
    </row>
    <row r="59" spans="2:36">
      <c r="B59" s="4" t="s">
        <v>238</v>
      </c>
      <c r="C59" s="2">
        <f>Ki*(CX0_emp+Cx0_fus+N*Cx0_nac)+Cx0_additif</f>
        <v>2.9375655969369448E-3</v>
      </c>
      <c r="E59" s="4" t="s">
        <v>221</v>
      </c>
      <c r="F59" s="2">
        <f>Cz_voil</f>
        <v>0.35398440748947796</v>
      </c>
      <c r="H59" s="4" t="s">
        <v>221</v>
      </c>
      <c r="I59" s="2">
        <f>I45</f>
        <v>1.5423180172648143E-3</v>
      </c>
      <c r="K59" s="4" t="s">
        <v>221</v>
      </c>
      <c r="L59" s="2">
        <f>C60+I59</f>
        <v>9.4011707279613131E-3</v>
      </c>
      <c r="O59" s="74">
        <f t="shared" si="8"/>
        <v>0.30000000000000004</v>
      </c>
      <c r="P59" s="75">
        <v>0.43821122841701721</v>
      </c>
      <c r="Q59" s="76">
        <v>1.285749025335743E-2</v>
      </c>
      <c r="R59" s="1">
        <f t="shared" si="7"/>
        <v>34.082174653221202</v>
      </c>
      <c r="T59" s="140">
        <f t="shared" si="9"/>
        <v>-7.3499999999999748</v>
      </c>
      <c r="U59" s="140">
        <v>-0.4651659593160295</v>
      </c>
      <c r="V59" s="140">
        <v>-2.2502634052920092E-2</v>
      </c>
      <c r="W59" s="1">
        <f t="shared" si="0"/>
        <v>5.1377956653230604E-2</v>
      </c>
      <c r="X59" s="1">
        <f t="shared" si="2"/>
        <v>10.089999999999973</v>
      </c>
      <c r="Y59" s="1">
        <f t="shared" si="3"/>
        <v>-0.43629063671571899</v>
      </c>
      <c r="Z59" s="1">
        <f t="shared" si="1"/>
        <v>1.6694395710215117E-2</v>
      </c>
      <c r="AA59" s="1">
        <f t="shared" si="4"/>
        <v>-26.133958023335794</v>
      </c>
      <c r="AC59" s="146">
        <f t="shared" si="10"/>
        <v>2.9399999999999991</v>
      </c>
      <c r="AD59" s="147">
        <v>5.5456827755150144E-2</v>
      </c>
      <c r="AE59" s="1">
        <f t="shared" si="5"/>
        <v>16325.593681750646</v>
      </c>
      <c r="AH59" s="150">
        <f t="shared" si="11"/>
        <v>1.0600000000000005</v>
      </c>
      <c r="AI59" s="147">
        <v>0.23361945563234165</v>
      </c>
      <c r="AJ59" s="1">
        <f t="shared" si="6"/>
        <v>68773.791491367592</v>
      </c>
    </row>
    <row r="60" spans="2:36">
      <c r="B60" s="4" t="s">
        <v>221</v>
      </c>
      <c r="C60" s="2">
        <f>Ki*Cx0_voil</f>
        <v>7.8588527106964994E-3</v>
      </c>
      <c r="E60" s="4" t="s">
        <v>242</v>
      </c>
      <c r="F60" s="2">
        <f>F58+F59</f>
        <v>0.40076431661627127</v>
      </c>
      <c r="H60" s="4" t="s">
        <v>242</v>
      </c>
      <c r="I60" s="2">
        <f>I58+I59</f>
        <v>1.7259893286018485E-3</v>
      </c>
      <c r="K60" s="4" t="s">
        <v>242</v>
      </c>
      <c r="L60" s="2">
        <f>C61+I60</f>
        <v>1.2522407636235293E-2</v>
      </c>
      <c r="O60" s="74">
        <f t="shared" si="8"/>
        <v>0.4</v>
      </c>
      <c r="P60" s="75">
        <v>0.45069353235059911</v>
      </c>
      <c r="Q60" s="76">
        <v>1.2978030134742691E-2</v>
      </c>
      <c r="R60" s="1">
        <f t="shared" si="7"/>
        <v>34.727422241382769</v>
      </c>
      <c r="T60" s="140">
        <f t="shared" si="9"/>
        <v>-7.299999999999975</v>
      </c>
      <c r="U60" s="140">
        <v>-0.45959350784116215</v>
      </c>
      <c r="V60" s="140">
        <v>-2.2349554909702946E-2</v>
      </c>
      <c r="W60" s="1">
        <f t="shared" si="0"/>
        <v>5.0601582902870992E-2</v>
      </c>
      <c r="X60" s="1">
        <f t="shared" si="2"/>
        <v>9.9999999999999734</v>
      </c>
      <c r="Y60" s="1">
        <f t="shared" si="3"/>
        <v>-0.43134147984799409</v>
      </c>
      <c r="Z60" s="1">
        <f t="shared" si="1"/>
        <v>1.6586927129413207E-2</v>
      </c>
      <c r="AA60" s="1">
        <f t="shared" si="4"/>
        <v>-26.004905940842196</v>
      </c>
      <c r="AC60" s="146">
        <f t="shared" si="10"/>
        <v>2.919999999999999</v>
      </c>
      <c r="AD60" s="147">
        <v>5.5079570423482459E-2</v>
      </c>
      <c r="AE60" s="1">
        <f t="shared" si="5"/>
        <v>16214.535221330578</v>
      </c>
      <c r="AH60" s="150">
        <f t="shared" si="11"/>
        <v>1.0800000000000005</v>
      </c>
      <c r="AI60" s="147">
        <v>0.23584843622228863</v>
      </c>
      <c r="AJ60" s="1">
        <f t="shared" si="6"/>
        <v>69429.967347596641</v>
      </c>
    </row>
    <row r="61" spans="2:36">
      <c r="B61" s="4" t="s">
        <v>242</v>
      </c>
      <c r="C61" s="2">
        <f>C59+C60</f>
        <v>1.0796418307633445E-2</v>
      </c>
      <c r="O61" s="74">
        <f t="shared" si="8"/>
        <v>0.5</v>
      </c>
      <c r="P61" s="75">
        <v>0.46317583628418113</v>
      </c>
      <c r="Q61" s="76">
        <v>1.3102992853966895E-2</v>
      </c>
      <c r="R61" s="1">
        <f t="shared" si="7"/>
        <v>35.348858191886741</v>
      </c>
      <c r="T61" s="140">
        <f t="shared" si="9"/>
        <v>-7.2499999999999751</v>
      </c>
      <c r="U61" s="140">
        <v>-0.45402105636629475</v>
      </c>
      <c r="V61" s="140">
        <v>-2.2196475766485802E-2</v>
      </c>
      <c r="W61" s="1">
        <f t="shared" si="0"/>
        <v>4.9825209152511374E-2</v>
      </c>
      <c r="X61" s="1">
        <f t="shared" si="2"/>
        <v>9.9099999999999735</v>
      </c>
      <c r="Y61" s="1">
        <f t="shared" si="3"/>
        <v>-0.42639232298026919</v>
      </c>
      <c r="Z61" s="1">
        <f t="shared" si="1"/>
        <v>1.6480526358623456E-2</v>
      </c>
      <c r="AA61" s="1">
        <f t="shared" si="4"/>
        <v>-25.872494221469989</v>
      </c>
      <c r="AC61" s="146">
        <f t="shared" si="10"/>
        <v>2.899999999999999</v>
      </c>
      <c r="AD61" s="147">
        <v>5.470231309181476E-2</v>
      </c>
      <c r="AE61" s="1">
        <f t="shared" si="5"/>
        <v>16103.476760910502</v>
      </c>
      <c r="AH61" s="150">
        <f t="shared" si="11"/>
        <v>1.1000000000000005</v>
      </c>
      <c r="AI61" s="147">
        <v>0.2380774168122356</v>
      </c>
      <c r="AJ61" s="1">
        <f t="shared" si="6"/>
        <v>70086.143203825704</v>
      </c>
    </row>
    <row r="62" spans="2:36">
      <c r="K62" s="4" t="s">
        <v>28</v>
      </c>
      <c r="L62" s="2">
        <f>2*N*FUtile/(rho*V^2*Cx_avion)</f>
        <v>145.05729021581035</v>
      </c>
      <c r="O62" s="74">
        <f t="shared" si="8"/>
        <v>0.6</v>
      </c>
      <c r="P62" s="75">
        <v>0.47565814021776309</v>
      </c>
      <c r="Q62" s="76">
        <v>1.3232378411030043E-2</v>
      </c>
      <c r="R62" s="1">
        <f t="shared" si="7"/>
        <v>35.946533982225844</v>
      </c>
      <c r="T62" s="140">
        <f t="shared" si="9"/>
        <v>-7.1999999999999753</v>
      </c>
      <c r="U62" s="140">
        <v>-0.44844860489142729</v>
      </c>
      <c r="V62" s="140">
        <v>-2.2043396623268659E-2</v>
      </c>
      <c r="W62" s="1">
        <f t="shared" si="0"/>
        <v>4.9048835402151734E-2</v>
      </c>
      <c r="X62" s="1">
        <f t="shared" si="2"/>
        <v>9.8199999999999736</v>
      </c>
      <c r="Y62" s="1">
        <f t="shared" si="3"/>
        <v>-0.42144316611254423</v>
      </c>
      <c r="Z62" s="1">
        <f t="shared" si="1"/>
        <v>1.6375193397845867E-2</v>
      </c>
      <c r="AA62" s="1">
        <f t="shared" si="4"/>
        <v>-25.7366832789886</v>
      </c>
      <c r="AC62" s="146">
        <f t="shared" si="10"/>
        <v>2.879999999999999</v>
      </c>
      <c r="AD62" s="147">
        <v>5.4325055760147074E-2</v>
      </c>
      <c r="AE62" s="1">
        <f t="shared" si="5"/>
        <v>15992.41830049043</v>
      </c>
      <c r="AH62" s="150">
        <f t="shared" si="11"/>
        <v>1.1200000000000006</v>
      </c>
      <c r="AI62" s="147">
        <v>0.24030639740218254</v>
      </c>
      <c r="AJ62" s="1">
        <f t="shared" si="6"/>
        <v>70742.319060054753</v>
      </c>
    </row>
    <row r="63" spans="2:36">
      <c r="K63" s="4" t="s">
        <v>29</v>
      </c>
      <c r="L63" s="2">
        <f>L62-SRef</f>
        <v>2.2056325880726035E-4</v>
      </c>
      <c r="O63" s="74">
        <f t="shared" si="8"/>
        <v>0.7</v>
      </c>
      <c r="P63" s="75">
        <v>0.48814044415134505</v>
      </c>
      <c r="Q63" s="76">
        <v>1.336618680593213E-2</v>
      </c>
      <c r="R63" s="1">
        <f t="shared" si="7"/>
        <v>36.520546303804494</v>
      </c>
      <c r="T63" s="140">
        <f t="shared" si="9"/>
        <v>-7.1499999999999755</v>
      </c>
      <c r="U63" s="140">
        <v>-0.44287615341656</v>
      </c>
      <c r="V63" s="140">
        <v>-2.1890317480051519E-2</v>
      </c>
      <c r="W63" s="1">
        <f t="shared" si="0"/>
        <v>4.8272461651792123E-2</v>
      </c>
      <c r="X63" s="1">
        <f t="shared" si="2"/>
        <v>9.7099999999999742</v>
      </c>
      <c r="Y63" s="1">
        <f t="shared" si="3"/>
        <v>-0.41649400924481939</v>
      </c>
      <c r="Z63" s="1">
        <f t="shared" si="1"/>
        <v>1.6270928247080433E-2</v>
      </c>
      <c r="AA63" s="1">
        <f t="shared" si="4"/>
        <v>-25.597433835377696</v>
      </c>
      <c r="AC63" s="146">
        <f t="shared" si="10"/>
        <v>2.859999999999999</v>
      </c>
      <c r="AD63" s="147">
        <v>5.3947798428479389E-2</v>
      </c>
      <c r="AE63" s="1">
        <f t="shared" si="5"/>
        <v>15881.359840070358</v>
      </c>
      <c r="AH63" s="150">
        <f t="shared" si="11"/>
        <v>1.1400000000000006</v>
      </c>
      <c r="AI63" s="147">
        <v>0.24253537799212951</v>
      </c>
      <c r="AJ63" s="1">
        <f t="shared" si="6"/>
        <v>71398.494916283817</v>
      </c>
    </row>
    <row r="64" spans="2:36">
      <c r="O64" s="74">
        <f t="shared" si="8"/>
        <v>0.79999999999999993</v>
      </c>
      <c r="P64" s="75">
        <v>0.50062274808492702</v>
      </c>
      <c r="Q64" s="76">
        <v>1.3504418038673161E-2</v>
      </c>
      <c r="R64" s="1">
        <f t="shared" si="7"/>
        <v>37.071034579296416</v>
      </c>
      <c r="T64" s="140">
        <f t="shared" si="9"/>
        <v>-7.0999999999999757</v>
      </c>
      <c r="U64" s="140">
        <v>-0.43730370194169255</v>
      </c>
      <c r="V64" s="140">
        <v>-2.1737238336834372E-2</v>
      </c>
      <c r="W64" s="1">
        <f t="shared" si="0"/>
        <v>4.749608790143249E-2</v>
      </c>
      <c r="X64" s="1">
        <f t="shared" si="2"/>
        <v>9.6199999999999743</v>
      </c>
      <c r="Y64" s="1">
        <f t="shared" si="3"/>
        <v>-0.41154485237709443</v>
      </c>
      <c r="Z64" s="1">
        <f t="shared" si="1"/>
        <v>1.6167730906327154E-2</v>
      </c>
      <c r="AA64" s="1">
        <f t="shared" si="4"/>
        <v>-25.45470695680855</v>
      </c>
      <c r="AC64" s="146">
        <f t="shared" si="10"/>
        <v>2.839999999999999</v>
      </c>
      <c r="AD64" s="147">
        <v>5.3570541096811697E-2</v>
      </c>
      <c r="AE64" s="1">
        <f t="shared" si="5"/>
        <v>15770.301379650286</v>
      </c>
      <c r="AH64" s="150">
        <f t="shared" si="11"/>
        <v>1.1600000000000006</v>
      </c>
      <c r="AI64" s="147">
        <v>0.24476435858207649</v>
      </c>
      <c r="AJ64" s="1">
        <f t="shared" si="6"/>
        <v>72054.67077251288</v>
      </c>
    </row>
    <row r="65" spans="2:36">
      <c r="B65" s="94" t="s">
        <v>187</v>
      </c>
      <c r="C65" s="94"/>
      <c r="O65" s="74">
        <f t="shared" si="8"/>
        <v>0.89999999999999991</v>
      </c>
      <c r="P65" s="75">
        <v>0.51310505201850909</v>
      </c>
      <c r="Q65" s="76">
        <v>1.3647072109253134E-2</v>
      </c>
      <c r="R65" s="1">
        <f t="shared" si="7"/>
        <v>37.598178415911505</v>
      </c>
      <c r="T65" s="140">
        <f t="shared" si="9"/>
        <v>-7.0499999999999758</v>
      </c>
      <c r="U65" s="140">
        <v>-0.43173125046682514</v>
      </c>
      <c r="V65" s="140">
        <v>-2.1584159193617228E-2</v>
      </c>
      <c r="W65" s="1">
        <f t="shared" si="0"/>
        <v>4.6719714151072872E-2</v>
      </c>
      <c r="X65" s="1">
        <f t="shared" si="2"/>
        <v>9.5299999999999745</v>
      </c>
      <c r="Y65" s="1">
        <f t="shared" si="3"/>
        <v>-0.40659569550936947</v>
      </c>
      <c r="Z65" s="1">
        <f t="shared" si="1"/>
        <v>1.606560137558604E-2</v>
      </c>
      <c r="AA65" s="1">
        <f t="shared" si="4"/>
        <v>-25.308464090690642</v>
      </c>
      <c r="AC65" s="146">
        <f t="shared" si="10"/>
        <v>2.819999999999999</v>
      </c>
      <c r="AD65" s="147">
        <v>5.3193283765144012E-2</v>
      </c>
      <c r="AE65" s="1">
        <f t="shared" si="5"/>
        <v>15659.242919230213</v>
      </c>
      <c r="AH65" s="150">
        <f t="shared" si="11"/>
        <v>1.1800000000000006</v>
      </c>
      <c r="AI65" s="147">
        <v>0.24699333917202348</v>
      </c>
      <c r="AJ65" s="1">
        <f t="shared" si="6"/>
        <v>72710.846628741958</v>
      </c>
    </row>
    <row r="66" spans="2:36">
      <c r="B66" s="68" t="s">
        <v>238</v>
      </c>
      <c r="C66" s="2">
        <f>F58/L58</f>
        <v>14.9876188516117</v>
      </c>
      <c r="O66" s="74">
        <f t="shared" si="8"/>
        <v>0.99999999999999989</v>
      </c>
      <c r="P66" s="75">
        <v>0.52558735595209094</v>
      </c>
      <c r="Q66" s="76">
        <v>1.3794149017672046E-2</v>
      </c>
      <c r="R66" s="1">
        <f t="shared" si="7"/>
        <v>38.102195016071462</v>
      </c>
      <c r="T66" s="140">
        <f t="shared" si="9"/>
        <v>-6.999999999999976</v>
      </c>
      <c r="U66" s="140">
        <v>-0.4261587989919578</v>
      </c>
      <c r="V66" s="140">
        <v>-2.1431080050400089E-2</v>
      </c>
      <c r="W66" s="1">
        <f t="shared" si="0"/>
        <v>4.5943340400713253E-2</v>
      </c>
      <c r="X66" s="1">
        <f t="shared" si="2"/>
        <v>9.4399999999999746</v>
      </c>
      <c r="Y66" s="1">
        <f t="shared" si="3"/>
        <v>-0.40164653864164462</v>
      </c>
      <c r="Z66" s="1">
        <f t="shared" si="1"/>
        <v>1.5964539654857078E-2</v>
      </c>
      <c r="AA66" s="1">
        <f t="shared" si="4"/>
        <v>-25.158667103780033</v>
      </c>
      <c r="AC66" s="146">
        <f t="shared" si="10"/>
        <v>2.7999999999999989</v>
      </c>
      <c r="AD66" s="147">
        <v>5.2816026433476326E-2</v>
      </c>
      <c r="AE66" s="1">
        <f t="shared" si="5"/>
        <v>15548.184458810143</v>
      </c>
      <c r="AH66" s="150">
        <f t="shared" si="11"/>
        <v>1.2000000000000006</v>
      </c>
      <c r="AI66" s="147">
        <v>0.24922231976197043</v>
      </c>
      <c r="AJ66" s="1">
        <f t="shared" si="6"/>
        <v>73367.022484970992</v>
      </c>
    </row>
    <row r="67" spans="2:36">
      <c r="B67" s="68" t="s">
        <v>221</v>
      </c>
      <c r="C67" s="2">
        <f>F59/L59</f>
        <v>37.653226149445871</v>
      </c>
      <c r="O67" s="74">
        <f t="shared" si="8"/>
        <v>1.0999999999999999</v>
      </c>
      <c r="P67" s="75">
        <v>0.5380696598856729</v>
      </c>
      <c r="Q67" s="76">
        <v>1.3945648763929903E-2</v>
      </c>
      <c r="R67" s="1">
        <f t="shared" si="7"/>
        <v>38.583336565694786</v>
      </c>
      <c r="T67" s="140">
        <f t="shared" si="9"/>
        <v>-6.9499999999999762</v>
      </c>
      <c r="U67" s="140">
        <v>-0.42058634751709034</v>
      </c>
      <c r="V67" s="140">
        <v>-2.1278000907182942E-2</v>
      </c>
      <c r="W67" s="1">
        <f t="shared" si="0"/>
        <v>4.5166966650353628E-2</v>
      </c>
      <c r="X67" s="1">
        <f t="shared" si="2"/>
        <v>9.3499999999999748</v>
      </c>
      <c r="Y67" s="1">
        <f t="shared" si="3"/>
        <v>-0.39669738177391967</v>
      </c>
      <c r="Z67" s="1">
        <f t="shared" si="1"/>
        <v>1.5864545744140278E-2</v>
      </c>
      <c r="AA67" s="1">
        <f t="shared" si="4"/>
        <v>-25.005278321343908</v>
      </c>
      <c r="AC67" s="146">
        <f t="shared" si="10"/>
        <v>2.7799999999999989</v>
      </c>
      <c r="AD67" s="147">
        <v>5.2438769101808627E-2</v>
      </c>
      <c r="AE67" s="1">
        <f t="shared" si="5"/>
        <v>15437.125998390067</v>
      </c>
      <c r="AH67" s="150">
        <f t="shared" si="11"/>
        <v>1.2200000000000006</v>
      </c>
      <c r="AI67" s="147">
        <v>0.25145130035191743</v>
      </c>
      <c r="AJ67" s="1">
        <f t="shared" si="6"/>
        <v>74023.198341200055</v>
      </c>
    </row>
    <row r="68" spans="2:36" ht="12" customHeight="1">
      <c r="B68" s="68" t="s">
        <v>30</v>
      </c>
      <c r="C68" s="2">
        <f>Cz_avion/Cx_avion</f>
        <v>32.003775013409168</v>
      </c>
      <c r="O68" s="74">
        <f t="shared" si="8"/>
        <v>1.2</v>
      </c>
      <c r="P68" s="75">
        <v>0.55055196381925486</v>
      </c>
      <c r="Q68" s="76">
        <v>1.4101571348026701E-2</v>
      </c>
      <c r="R68" s="1">
        <f t="shared" si="7"/>
        <v>39.041887618878455</v>
      </c>
      <c r="T68" s="140">
        <f t="shared" si="9"/>
        <v>-6.8999999999999764</v>
      </c>
      <c r="U68" s="140">
        <v>-0.41501389604222294</v>
      </c>
      <c r="V68" s="140">
        <v>-2.1124921763965798E-2</v>
      </c>
      <c r="W68" s="1">
        <f t="shared" si="0"/>
        <v>4.4390592899994009E-2</v>
      </c>
      <c r="X68" s="1">
        <f t="shared" si="2"/>
        <v>9.2599999999999749</v>
      </c>
      <c r="Y68" s="1">
        <f t="shared" si="3"/>
        <v>-0.39174822490619471</v>
      </c>
      <c r="Z68" s="1">
        <f t="shared" si="1"/>
        <v>1.5765619643435633E-2</v>
      </c>
      <c r="AA68" s="1">
        <f t="shared" si="4"/>
        <v>-24.848260567373753</v>
      </c>
      <c r="AC68" s="146">
        <f t="shared" si="10"/>
        <v>2.7599999999999989</v>
      </c>
      <c r="AD68" s="147">
        <v>5.2061511770140942E-2</v>
      </c>
      <c r="AE68" s="1">
        <f t="shared" si="5"/>
        <v>15326.067537969993</v>
      </c>
      <c r="AH68" s="150">
        <f t="shared" si="11"/>
        <v>1.2400000000000007</v>
      </c>
      <c r="AI68" s="147">
        <v>0.25368028094186434</v>
      </c>
      <c r="AJ68" s="1">
        <f t="shared" si="6"/>
        <v>74679.374197429104</v>
      </c>
    </row>
    <row r="69" spans="2:36">
      <c r="B69" s="79" t="s">
        <v>27</v>
      </c>
      <c r="C69" s="2">
        <f>1/C68</f>
        <v>3.1246313898313963E-2</v>
      </c>
      <c r="O69" s="74">
        <f t="shared" si="8"/>
        <v>1.3</v>
      </c>
      <c r="P69" s="75">
        <v>0.56303426775283694</v>
      </c>
      <c r="Q69" s="76">
        <v>1.4261916769962442E-2</v>
      </c>
      <c r="R69" s="1">
        <f t="shared" si="7"/>
        <v>39.478162496268702</v>
      </c>
      <c r="T69" s="140">
        <f t="shared" si="9"/>
        <v>-6.8499999999999766</v>
      </c>
      <c r="U69" s="140">
        <v>-0.40944144456735559</v>
      </c>
      <c r="V69" s="140">
        <v>-2.0971842620748658E-2</v>
      </c>
      <c r="W69" s="1">
        <f t="shared" ref="W69:W132" si="12">((V69*(x_cdg_avion-x_foyer_fus))-(U69*(-x_foyer_voil+x_cdg_avion))+(Cm_voil*CMA_voil)-((N*FUtile*(DFus+DMoteur)/2)/(0.5*rho*V^2*SRef)))/(x_foyer_emp-x_cdg_avion)</f>
        <v>4.3614219149634384E-2</v>
      </c>
      <c r="X69" s="1">
        <f t="shared" si="2"/>
        <v>9.1699999999999751</v>
      </c>
      <c r="Y69" s="1">
        <f t="shared" si="3"/>
        <v>-0.38679906803846986</v>
      </c>
      <c r="Z69" s="1">
        <f t="shared" ref="Z69:Z132" si="13">Cx0_avion+((U69)^2/(PI()*all_voil))*Sext_voil/SRef+2*LFus*Czalpha_fus^2*(RADIANS(T69)^2)/(PI()*DFus)+(W69)^2/(PI()*all_emp)*Sext_emp/SRef</f>
        <v>1.5667761352743149E-2</v>
      </c>
      <c r="AA69" s="1">
        <f t="shared" si="4"/>
        <v>-24.687577205836629</v>
      </c>
      <c r="AC69" s="146">
        <f t="shared" si="10"/>
        <v>2.7399999999999989</v>
      </c>
      <c r="AD69" s="147">
        <v>5.1684254438473257E-2</v>
      </c>
      <c r="AE69" s="1">
        <f t="shared" si="5"/>
        <v>15215.009077549923</v>
      </c>
      <c r="AH69" s="150">
        <f t="shared" si="11"/>
        <v>1.2600000000000007</v>
      </c>
      <c r="AI69" s="147">
        <v>0.25590926153181132</v>
      </c>
      <c r="AJ69" s="1">
        <f t="shared" si="6"/>
        <v>75335.550053658168</v>
      </c>
    </row>
    <row r="70" spans="2:36">
      <c r="B70" s="82"/>
      <c r="C70" s="2"/>
      <c r="O70" s="74">
        <f t="shared" si="8"/>
        <v>1.4000000000000001</v>
      </c>
      <c r="P70" s="75">
        <v>0.5755165716864189</v>
      </c>
      <c r="Q70" s="76">
        <v>1.4426685029737124E-2</v>
      </c>
      <c r="R70" s="1">
        <f t="shared" si="7"/>
        <v>39.892502712863738</v>
      </c>
      <c r="T70" s="140">
        <f t="shared" si="9"/>
        <v>-6.7999999999999767</v>
      </c>
      <c r="U70" s="140">
        <v>-0.40386899309248819</v>
      </c>
      <c r="V70" s="140">
        <v>-2.0818763477531511E-2</v>
      </c>
      <c r="W70" s="1">
        <f t="shared" si="12"/>
        <v>4.2837845399274758E-2</v>
      </c>
      <c r="X70" s="1">
        <f t="shared" ref="X70:X133" si="14">INDEX($AC$6:$AC$1006,MATCH(W70,$AD$6:$AD$1006,-1))-T70</f>
        <v>9.0799999999999752</v>
      </c>
      <c r="Y70" s="1">
        <f t="shared" ref="Y70:Y133" si="15">U70+V70+W70</f>
        <v>-0.38184991117074496</v>
      </c>
      <c r="Z70" s="1">
        <f t="shared" si="13"/>
        <v>1.5570970872062821E-2</v>
      </c>
      <c r="AA70" s="1">
        <f t="shared" ref="AA70:AA133" si="16">Y70/Z70</f>
        <v>-24.523192182952045</v>
      </c>
      <c r="AC70" s="146">
        <f t="shared" si="10"/>
        <v>2.7199999999999989</v>
      </c>
      <c r="AD70" s="147">
        <v>5.1306997106805571E-2</v>
      </c>
      <c r="AE70" s="1">
        <f t="shared" ref="AE70:AE133" si="17">AD70*0.5*rho*V^2*SRef</f>
        <v>15103.950617129849</v>
      </c>
      <c r="AH70" s="150">
        <f t="shared" si="11"/>
        <v>1.2800000000000007</v>
      </c>
      <c r="AI70" s="147">
        <v>0.25813824212175834</v>
      </c>
      <c r="AJ70" s="1">
        <f t="shared" ref="AJ70:AJ133" si="18">AI70*0.5*rho*V^2*SRef</f>
        <v>75991.725909887246</v>
      </c>
    </row>
    <row r="71" spans="2:36">
      <c r="B71" s="82"/>
      <c r="C71" s="2"/>
      <c r="O71" s="74">
        <f t="shared" si="8"/>
        <v>1.5000000000000002</v>
      </c>
      <c r="P71" s="75">
        <v>0.58799887562000075</v>
      </c>
      <c r="Q71" s="76">
        <v>1.4595876127350747E-2</v>
      </c>
      <c r="R71" s="1">
        <f t="shared" ref="R71:R134" si="19">P71/Q71</f>
        <v>40.28527444941578</v>
      </c>
      <c r="T71" s="140">
        <f t="shared" si="9"/>
        <v>-6.7499999999999769</v>
      </c>
      <c r="U71" s="140">
        <v>-0.39829654161762074</v>
      </c>
      <c r="V71" s="140">
        <v>-2.0665684334314368E-2</v>
      </c>
      <c r="W71" s="1">
        <f t="shared" si="12"/>
        <v>4.2061471648915119E-2</v>
      </c>
      <c r="X71" s="1">
        <f t="shared" si="14"/>
        <v>8.9899999999999753</v>
      </c>
      <c r="Y71" s="1">
        <f t="shared" si="15"/>
        <v>-0.37690075430302</v>
      </c>
      <c r="Z71" s="1">
        <f t="shared" si="13"/>
        <v>1.5475248201394653E-2</v>
      </c>
      <c r="AA71" s="1">
        <f t="shared" si="16"/>
        <v>-24.355070070478941</v>
      </c>
      <c r="AC71" s="146">
        <f t="shared" si="10"/>
        <v>2.6999999999999988</v>
      </c>
      <c r="AD71" s="147">
        <v>5.0929739775137879E-2</v>
      </c>
      <c r="AE71" s="1">
        <f t="shared" si="17"/>
        <v>14992.892156709777</v>
      </c>
      <c r="AH71" s="150">
        <f t="shared" si="11"/>
        <v>1.3000000000000007</v>
      </c>
      <c r="AI71" s="147">
        <v>0.26036722271170532</v>
      </c>
      <c r="AJ71" s="1">
        <f t="shared" si="18"/>
        <v>76647.901766116309</v>
      </c>
    </row>
    <row r="72" spans="2:36">
      <c r="O72" s="74">
        <f t="shared" ref="O72:O135" si="20">O71+0.1</f>
        <v>1.6000000000000003</v>
      </c>
      <c r="P72" s="75">
        <v>0.60048117955358293</v>
      </c>
      <c r="Q72" s="76">
        <v>1.4769490062803314E-2</v>
      </c>
      <c r="R72" s="1">
        <f t="shared" si="19"/>
        <v>40.656866080020166</v>
      </c>
      <c r="T72" s="140">
        <f t="shared" ref="T72:T135" si="21">T71+$V$2</f>
        <v>-6.6999999999999771</v>
      </c>
      <c r="U72" s="140">
        <v>-0.39272409014275339</v>
      </c>
      <c r="V72" s="140">
        <v>-2.0512605191097225E-2</v>
      </c>
      <c r="W72" s="1">
        <f t="shared" si="12"/>
        <v>4.1285097898555508E-2</v>
      </c>
      <c r="X72" s="1">
        <f t="shared" si="14"/>
        <v>8.8999999999999755</v>
      </c>
      <c r="Y72" s="1">
        <f t="shared" si="15"/>
        <v>-0.3719515974352951</v>
      </c>
      <c r="Z72" s="1">
        <f t="shared" si="13"/>
        <v>1.538059334073864E-2</v>
      </c>
      <c r="AA72" s="1">
        <f t="shared" si="16"/>
        <v>-24.183176109994754</v>
      </c>
      <c r="AC72" s="146">
        <f t="shared" ref="AC72:AC135" si="22">AC71-$AD$2</f>
        <v>2.6799999999999988</v>
      </c>
      <c r="AD72" s="147">
        <v>5.0552482443470187E-2</v>
      </c>
      <c r="AE72" s="1">
        <f t="shared" si="17"/>
        <v>14881.833696289705</v>
      </c>
      <c r="AH72" s="150">
        <f t="shared" ref="AH72:AH135" si="23">AH71+$AI$2</f>
        <v>1.3200000000000007</v>
      </c>
      <c r="AI72" s="147">
        <v>0.26259620330165223</v>
      </c>
      <c r="AJ72" s="1">
        <f t="shared" si="18"/>
        <v>77304.077622345329</v>
      </c>
    </row>
    <row r="73" spans="2:36">
      <c r="O73" s="74">
        <f t="shared" si="20"/>
        <v>1.7000000000000004</v>
      </c>
      <c r="P73" s="75">
        <v>0.61296348348716478</v>
      </c>
      <c r="Q73" s="76">
        <v>1.4947526836094821E-2</v>
      </c>
      <c r="R73" s="1">
        <f t="shared" si="19"/>
        <v>41.007685766918961</v>
      </c>
      <c r="T73" s="140">
        <f t="shared" si="21"/>
        <v>-6.6499999999999773</v>
      </c>
      <c r="U73" s="140">
        <v>-0.38715163866788593</v>
      </c>
      <c r="V73" s="140">
        <v>-2.0359526047880081E-2</v>
      </c>
      <c r="W73" s="1">
        <f t="shared" si="12"/>
        <v>4.0508724148195882E-2</v>
      </c>
      <c r="X73" s="1">
        <f t="shared" si="14"/>
        <v>8.8099999999999756</v>
      </c>
      <c r="Y73" s="1">
        <f t="shared" si="15"/>
        <v>-0.36700244056757014</v>
      </c>
      <c r="Z73" s="1">
        <f t="shared" si="13"/>
        <v>1.5287006290094789E-2</v>
      </c>
      <c r="AA73" s="1">
        <f t="shared" si="16"/>
        <v>-24.007476258145406</v>
      </c>
      <c r="AC73" s="146">
        <f t="shared" si="22"/>
        <v>2.6599999999999988</v>
      </c>
      <c r="AD73" s="147">
        <v>5.0175225111802502E-2</v>
      </c>
      <c r="AE73" s="1">
        <f t="shared" si="17"/>
        <v>14770.775235869631</v>
      </c>
      <c r="AH73" s="150">
        <f t="shared" si="23"/>
        <v>1.3400000000000007</v>
      </c>
      <c r="AI73" s="147">
        <v>0.2648251838915992</v>
      </c>
      <c r="AJ73" s="1">
        <f t="shared" si="18"/>
        <v>77960.253478574406</v>
      </c>
    </row>
    <row r="74" spans="2:36">
      <c r="O74" s="74">
        <f t="shared" si="20"/>
        <v>1.8000000000000005</v>
      </c>
      <c r="P74" s="75">
        <v>0.62544578742074686</v>
      </c>
      <c r="Q74" s="76">
        <v>1.5129986447225274E-2</v>
      </c>
      <c r="R74" s="1">
        <f t="shared" si="19"/>
        <v>41.33815913202281</v>
      </c>
      <c r="T74" s="140">
        <f t="shared" si="21"/>
        <v>-6.5999999999999774</v>
      </c>
      <c r="U74" s="140">
        <v>-0.38157918719301859</v>
      </c>
      <c r="V74" s="140">
        <v>-2.0206446904662938E-2</v>
      </c>
      <c r="W74" s="1">
        <f t="shared" si="12"/>
        <v>3.973235039783627E-2</v>
      </c>
      <c r="X74" s="1">
        <f t="shared" si="14"/>
        <v>8.7199999999999758</v>
      </c>
      <c r="Y74" s="1">
        <f t="shared" si="15"/>
        <v>-0.36205328369984524</v>
      </c>
      <c r="Z74" s="1">
        <f t="shared" si="13"/>
        <v>1.5194487049463095E-2</v>
      </c>
      <c r="AA74" s="1">
        <f t="shared" si="16"/>
        <v>-23.827937232842526</v>
      </c>
      <c r="AC74" s="146">
        <f t="shared" si="22"/>
        <v>2.6399999999999988</v>
      </c>
      <c r="AD74" s="147">
        <v>4.9797967780134809E-2</v>
      </c>
      <c r="AE74" s="1">
        <f t="shared" si="17"/>
        <v>14659.716775449557</v>
      </c>
      <c r="AH74" s="150">
        <f t="shared" si="23"/>
        <v>1.3600000000000008</v>
      </c>
      <c r="AI74" s="147">
        <v>0.26705416448154617</v>
      </c>
      <c r="AJ74" s="1">
        <f t="shared" si="18"/>
        <v>78616.429334803455</v>
      </c>
    </row>
    <row r="75" spans="2:36">
      <c r="O75" s="74">
        <f t="shared" si="20"/>
        <v>1.9000000000000006</v>
      </c>
      <c r="P75" s="75">
        <v>0.63792809135432871</v>
      </c>
      <c r="Q75" s="76">
        <v>1.5316868896194664E-2</v>
      </c>
      <c r="R75" s="1">
        <f t="shared" si="19"/>
        <v>41.648727013183226</v>
      </c>
      <c r="T75" s="140">
        <f t="shared" si="21"/>
        <v>-6.5499999999999776</v>
      </c>
      <c r="U75" s="140">
        <v>-0.37600673571815119</v>
      </c>
      <c r="V75" s="140">
        <v>-2.0053367761445794E-2</v>
      </c>
      <c r="W75" s="1">
        <f t="shared" si="12"/>
        <v>3.8955976647476645E-2</v>
      </c>
      <c r="X75" s="1">
        <f t="shared" si="14"/>
        <v>8.6299999999999759</v>
      </c>
      <c r="Y75" s="1">
        <f t="shared" si="15"/>
        <v>-0.35710412683212034</v>
      </c>
      <c r="Z75" s="1">
        <f t="shared" si="13"/>
        <v>1.5103035618843557E-2</v>
      </c>
      <c r="AA75" s="1">
        <f t="shared" si="16"/>
        <v>-23.644526560380573</v>
      </c>
      <c r="AC75" s="146">
        <f t="shared" si="22"/>
        <v>2.6199999999999988</v>
      </c>
      <c r="AD75" s="147">
        <v>4.9420710448467124E-2</v>
      </c>
      <c r="AE75" s="1">
        <f t="shared" si="17"/>
        <v>14548.658315029486</v>
      </c>
      <c r="AH75" s="150">
        <f t="shared" si="23"/>
        <v>1.3800000000000008</v>
      </c>
      <c r="AI75" s="147">
        <v>0.26928314507149315</v>
      </c>
      <c r="AJ75" s="1">
        <f t="shared" si="18"/>
        <v>79272.605191032504</v>
      </c>
    </row>
    <row r="76" spans="2:36">
      <c r="O76" s="74">
        <f t="shared" si="20"/>
        <v>2.0000000000000004</v>
      </c>
      <c r="P76" s="75">
        <v>0.65041039528791078</v>
      </c>
      <c r="Q76" s="76">
        <v>1.5508174183002999E-2</v>
      </c>
      <c r="R76" s="1">
        <f t="shared" si="19"/>
        <v>41.93984331184275</v>
      </c>
      <c r="T76" s="140">
        <f t="shared" si="21"/>
        <v>-6.4999999999999778</v>
      </c>
      <c r="U76" s="140">
        <v>-0.37043428424328378</v>
      </c>
      <c r="V76" s="140">
        <v>-1.9900288618228651E-2</v>
      </c>
      <c r="W76" s="1">
        <f t="shared" si="12"/>
        <v>3.817960289711702E-2</v>
      </c>
      <c r="X76" s="1">
        <f t="shared" si="14"/>
        <v>8.5399999999999761</v>
      </c>
      <c r="Y76" s="1">
        <f t="shared" si="15"/>
        <v>-0.35215496996439538</v>
      </c>
      <c r="Z76" s="1">
        <f t="shared" si="13"/>
        <v>1.5012651998236181E-2</v>
      </c>
      <c r="AA76" s="1">
        <f t="shared" si="16"/>
        <v>-23.457212623443855</v>
      </c>
      <c r="AC76" s="146">
        <f t="shared" si="22"/>
        <v>2.5999999999999988</v>
      </c>
      <c r="AD76" s="147">
        <v>4.9043453116799439E-2</v>
      </c>
      <c r="AE76" s="1">
        <f t="shared" si="17"/>
        <v>14437.599854609416</v>
      </c>
      <c r="AH76" s="150">
        <f t="shared" si="23"/>
        <v>1.4000000000000008</v>
      </c>
      <c r="AI76" s="147">
        <v>0.27151212566144012</v>
      </c>
      <c r="AJ76" s="1">
        <f t="shared" si="18"/>
        <v>79928.781047261582</v>
      </c>
    </row>
    <row r="77" spans="2:36">
      <c r="O77" s="74">
        <f t="shared" si="20"/>
        <v>2.1000000000000005</v>
      </c>
      <c r="P77" s="75">
        <v>0.66289269922149274</v>
      </c>
      <c r="Q77" s="76">
        <v>1.5703902307650276E-2</v>
      </c>
      <c r="R77" s="1">
        <f t="shared" si="19"/>
        <v>42.211972937360898</v>
      </c>
      <c r="T77" s="140">
        <f t="shared" si="21"/>
        <v>-6.449999999999978</v>
      </c>
      <c r="U77" s="140">
        <v>-0.36486183276841638</v>
      </c>
      <c r="V77" s="140">
        <v>-1.9747209475011508E-2</v>
      </c>
      <c r="W77" s="1">
        <f t="shared" si="12"/>
        <v>3.7403229146757387E-2</v>
      </c>
      <c r="X77" s="1">
        <f t="shared" si="14"/>
        <v>8.4499999999999762</v>
      </c>
      <c r="Y77" s="1">
        <f t="shared" si="15"/>
        <v>-0.34720581309667053</v>
      </c>
      <c r="Z77" s="1">
        <f t="shared" si="13"/>
        <v>1.4923336187640959E-2</v>
      </c>
      <c r="AA77" s="1">
        <f t="shared" si="16"/>
        <v>-23.26596470996985</v>
      </c>
      <c r="AC77" s="146">
        <f t="shared" si="22"/>
        <v>2.5799999999999987</v>
      </c>
      <c r="AD77" s="147">
        <v>4.8666195785131754E-2</v>
      </c>
      <c r="AE77" s="1">
        <f t="shared" si="17"/>
        <v>14326.541394189344</v>
      </c>
      <c r="AH77" s="150">
        <f t="shared" si="23"/>
        <v>1.4200000000000008</v>
      </c>
      <c r="AI77" s="147">
        <v>0.27374110625138709</v>
      </c>
      <c r="AJ77" s="1">
        <f t="shared" si="18"/>
        <v>80584.956903490631</v>
      </c>
    </row>
    <row r="78" spans="2:36">
      <c r="O78" s="74">
        <f t="shared" si="20"/>
        <v>2.2000000000000006</v>
      </c>
      <c r="P78" s="75">
        <v>0.6753750031550747</v>
      </c>
      <c r="Q78" s="76">
        <v>1.5904053270136491E-2</v>
      </c>
      <c r="R78" s="1">
        <f t="shared" si="19"/>
        <v>42.465589852069108</v>
      </c>
      <c r="T78" s="140">
        <f t="shared" si="21"/>
        <v>-6.3999999999999782</v>
      </c>
      <c r="U78" s="140">
        <v>-0.35928938129354898</v>
      </c>
      <c r="V78" s="140">
        <v>-1.9594130331794364E-2</v>
      </c>
      <c r="W78" s="1">
        <f t="shared" si="12"/>
        <v>3.6626855396397776E-2</v>
      </c>
      <c r="X78" s="1">
        <f t="shared" si="14"/>
        <v>8.3599999999999763</v>
      </c>
      <c r="Y78" s="1">
        <f t="shared" si="15"/>
        <v>-0.34225665622894558</v>
      </c>
      <c r="Z78" s="1">
        <f t="shared" si="13"/>
        <v>1.4835088187057898E-2</v>
      </c>
      <c r="AA78" s="1">
        <f t="shared" si="16"/>
        <v>-23.070753062831781</v>
      </c>
      <c r="AC78" s="146">
        <f t="shared" si="22"/>
        <v>2.5599999999999987</v>
      </c>
      <c r="AD78" s="147">
        <v>4.8288938453464055E-2</v>
      </c>
      <c r="AE78" s="1">
        <f t="shared" si="17"/>
        <v>14215.482933769268</v>
      </c>
      <c r="AH78" s="150">
        <f t="shared" si="23"/>
        <v>1.4400000000000008</v>
      </c>
      <c r="AI78" s="147">
        <v>0.27597008684133406</v>
      </c>
      <c r="AJ78" s="1">
        <f t="shared" si="18"/>
        <v>81241.132759719694</v>
      </c>
    </row>
    <row r="79" spans="2:36">
      <c r="O79" s="74">
        <f t="shared" si="20"/>
        <v>2.3000000000000007</v>
      </c>
      <c r="P79" s="75">
        <v>0.68785730708865667</v>
      </c>
      <c r="Q79" s="76">
        <v>1.6108627070461654E-2</v>
      </c>
      <c r="R79" s="1">
        <f t="shared" si="19"/>
        <v>42.701175219952717</v>
      </c>
      <c r="T79" s="140">
        <f t="shared" si="21"/>
        <v>-6.3499999999999783</v>
      </c>
      <c r="U79" s="140">
        <v>-0.35371692981868158</v>
      </c>
      <c r="V79" s="140">
        <v>-1.9441051188577221E-2</v>
      </c>
      <c r="W79" s="1">
        <f t="shared" si="12"/>
        <v>3.5850481646038143E-2</v>
      </c>
      <c r="X79" s="1">
        <f t="shared" si="14"/>
        <v>8.2699999999999765</v>
      </c>
      <c r="Y79" s="1">
        <f t="shared" si="15"/>
        <v>-0.33730749936122062</v>
      </c>
      <c r="Z79" s="1">
        <f t="shared" si="13"/>
        <v>1.4747907996486993E-2</v>
      </c>
      <c r="AA79" s="1">
        <f t="shared" si="16"/>
        <v>-22.871548930300388</v>
      </c>
      <c r="AC79" s="146">
        <f t="shared" si="22"/>
        <v>2.5399999999999987</v>
      </c>
      <c r="AD79" s="147">
        <v>4.7911681121796369E-2</v>
      </c>
      <c r="AE79" s="1">
        <f t="shared" si="17"/>
        <v>14104.424473349196</v>
      </c>
      <c r="AH79" s="150">
        <f t="shared" si="23"/>
        <v>1.4600000000000009</v>
      </c>
      <c r="AI79" s="147">
        <v>0.27819906743128103</v>
      </c>
      <c r="AJ79" s="1">
        <f t="shared" si="18"/>
        <v>81897.308615948758</v>
      </c>
    </row>
    <row r="80" spans="2:36">
      <c r="O80" s="74">
        <f t="shared" si="20"/>
        <v>2.4000000000000008</v>
      </c>
      <c r="P80" s="75">
        <v>0.70033961102223863</v>
      </c>
      <c r="Q80" s="76">
        <v>1.6317623708625755E-2</v>
      </c>
      <c r="R80" s="1">
        <f t="shared" si="19"/>
        <v>42.919215660796738</v>
      </c>
      <c r="T80" s="140">
        <f t="shared" si="21"/>
        <v>-6.2999999999999785</v>
      </c>
      <c r="U80" s="140">
        <v>-0.34814447834381418</v>
      </c>
      <c r="V80" s="140">
        <v>-1.9287972045360077E-2</v>
      </c>
      <c r="W80" s="1">
        <f t="shared" si="12"/>
        <v>3.5074107895678525E-2</v>
      </c>
      <c r="X80" s="1">
        <f t="shared" si="14"/>
        <v>8.159999999999977</v>
      </c>
      <c r="Y80" s="1">
        <f t="shared" si="15"/>
        <v>-0.33235834249349572</v>
      </c>
      <c r="Z80" s="1">
        <f t="shared" si="13"/>
        <v>1.4661795615928246E-2</v>
      </c>
      <c r="AA80" s="1">
        <f t="shared" si="16"/>
        <v>-22.668324617240543</v>
      </c>
      <c r="AC80" s="146">
        <f t="shared" si="22"/>
        <v>2.5199999999999987</v>
      </c>
      <c r="AD80" s="147">
        <v>4.7534423790128684E-2</v>
      </c>
      <c r="AE80" s="1">
        <f t="shared" si="17"/>
        <v>13993.366012929124</v>
      </c>
      <c r="AH80" s="150">
        <f t="shared" si="23"/>
        <v>1.4800000000000009</v>
      </c>
      <c r="AI80" s="147">
        <v>0.280428048021228</v>
      </c>
      <c r="AJ80" s="1">
        <f t="shared" si="18"/>
        <v>82553.484472177821</v>
      </c>
    </row>
    <row r="81" spans="15:36">
      <c r="O81" s="74">
        <f t="shared" si="20"/>
        <v>2.5000000000000009</v>
      </c>
      <c r="P81" s="75">
        <v>0.7128219149558207</v>
      </c>
      <c r="Q81" s="76">
        <v>1.6531043184628801E-2</v>
      </c>
      <c r="R81" s="1">
        <f t="shared" si="19"/>
        <v>43.120201610666044</v>
      </c>
      <c r="T81" s="140">
        <f t="shared" si="21"/>
        <v>-6.2499999999999787</v>
      </c>
      <c r="U81" s="140">
        <v>-0.34257202686894678</v>
      </c>
      <c r="V81" s="140">
        <v>-1.9134892902142934E-2</v>
      </c>
      <c r="W81" s="1">
        <f t="shared" si="12"/>
        <v>3.4297734145318899E-2</v>
      </c>
      <c r="X81" s="1">
        <f t="shared" si="14"/>
        <v>8.0699999999999772</v>
      </c>
      <c r="Y81" s="1">
        <f t="shared" si="15"/>
        <v>-0.32740918562577082</v>
      </c>
      <c r="Z81" s="1">
        <f t="shared" si="13"/>
        <v>1.4576751045381659E-2</v>
      </c>
      <c r="AA81" s="1">
        <f t="shared" si="16"/>
        <v>-22.461053536995379</v>
      </c>
      <c r="AC81" s="146">
        <f t="shared" si="22"/>
        <v>2.4999999999999987</v>
      </c>
      <c r="AD81" s="147">
        <v>4.7157166458460992E-2</v>
      </c>
      <c r="AE81" s="1">
        <f t="shared" si="17"/>
        <v>13882.307552509048</v>
      </c>
      <c r="AH81" s="150">
        <f t="shared" si="23"/>
        <v>1.5000000000000009</v>
      </c>
      <c r="AI81" s="147">
        <v>0.28265702861117492</v>
      </c>
      <c r="AJ81" s="1">
        <f t="shared" si="18"/>
        <v>83209.66032840687</v>
      </c>
    </row>
    <row r="82" spans="15:36">
      <c r="O82" s="74">
        <f t="shared" si="20"/>
        <v>2.600000000000001</v>
      </c>
      <c r="P82" s="122">
        <v>0.72530421888940255</v>
      </c>
      <c r="Q82" s="76">
        <v>1.6748885498470784E-2</v>
      </c>
      <c r="R82" s="1">
        <f t="shared" si="19"/>
        <v>43.304625788720372</v>
      </c>
      <c r="T82" s="140">
        <f t="shared" si="21"/>
        <v>-6.1999999999999789</v>
      </c>
      <c r="U82" s="140">
        <v>-0.33699957539407938</v>
      </c>
      <c r="V82" s="140">
        <v>-1.898181375892579E-2</v>
      </c>
      <c r="W82" s="1">
        <f t="shared" si="12"/>
        <v>3.3521360394959274E-2</v>
      </c>
      <c r="X82" s="1">
        <f t="shared" si="14"/>
        <v>7.9799999999999773</v>
      </c>
      <c r="Y82" s="1">
        <f t="shared" si="15"/>
        <v>-0.32246002875804586</v>
      </c>
      <c r="Z82" s="1">
        <f t="shared" si="13"/>
        <v>1.4492774284847229E-2</v>
      </c>
      <c r="AA82" s="1">
        <f t="shared" si="16"/>
        <v>-22.249710263906518</v>
      </c>
      <c r="AC82" s="146">
        <f t="shared" si="22"/>
        <v>2.4799999999999986</v>
      </c>
      <c r="AD82" s="147">
        <v>4.6779909126793306E-2</v>
      </c>
      <c r="AE82" s="1">
        <f t="shared" si="17"/>
        <v>13771.24909208898</v>
      </c>
      <c r="AH82" s="150">
        <f t="shared" si="23"/>
        <v>1.5200000000000009</v>
      </c>
      <c r="AI82" s="147">
        <v>0.28488600920112195</v>
      </c>
      <c r="AJ82" s="1">
        <f t="shared" si="18"/>
        <v>83865.836184635933</v>
      </c>
    </row>
    <row r="83" spans="15:36">
      <c r="O83" s="74">
        <f t="shared" si="20"/>
        <v>2.7000000000000011</v>
      </c>
      <c r="P83" s="122">
        <v>0.73778652282298474</v>
      </c>
      <c r="Q83" s="76">
        <v>1.6971150650151715E-2</v>
      </c>
      <c r="R83" s="1">
        <f t="shared" si="19"/>
        <v>43.472981769588458</v>
      </c>
      <c r="T83" s="140">
        <f t="shared" si="21"/>
        <v>-6.149999999999979</v>
      </c>
      <c r="U83" s="140">
        <v>-0.33142712391921203</v>
      </c>
      <c r="V83" s="140">
        <v>-1.8828734615708647E-2</v>
      </c>
      <c r="W83" s="1">
        <f t="shared" si="12"/>
        <v>3.2744986644599662E-2</v>
      </c>
      <c r="X83" s="1">
        <f t="shared" si="14"/>
        <v>7.8899999999999775</v>
      </c>
      <c r="Y83" s="1">
        <f t="shared" si="15"/>
        <v>-0.31751087189032101</v>
      </c>
      <c r="Z83" s="1">
        <f t="shared" si="13"/>
        <v>1.4409865334324959E-2</v>
      </c>
      <c r="AA83" s="1">
        <f t="shared" si="16"/>
        <v>-22.034270586415236</v>
      </c>
      <c r="AC83" s="146">
        <f t="shared" si="22"/>
        <v>2.4599999999999986</v>
      </c>
      <c r="AD83" s="147">
        <v>4.6402651795125621E-2</v>
      </c>
      <c r="AE83" s="1">
        <f t="shared" si="17"/>
        <v>13660.190631668909</v>
      </c>
      <c r="AH83" s="150">
        <f t="shared" si="23"/>
        <v>1.5400000000000009</v>
      </c>
      <c r="AI83" s="147">
        <v>0.28711498979106892</v>
      </c>
      <c r="AJ83" s="1">
        <f t="shared" si="18"/>
        <v>84522.012040864996</v>
      </c>
    </row>
    <row r="84" spans="15:36">
      <c r="O84" s="74">
        <f t="shared" si="20"/>
        <v>2.8000000000000012</v>
      </c>
      <c r="P84" s="122">
        <v>0.7502688267565667</v>
      </c>
      <c r="Q84" s="76">
        <v>1.7197838639671583E-2</v>
      </c>
      <c r="R84" s="1">
        <f t="shared" si="19"/>
        <v>43.625762659841662</v>
      </c>
      <c r="T84" s="140">
        <f t="shared" si="21"/>
        <v>-6.0999999999999792</v>
      </c>
      <c r="U84" s="140">
        <v>-0.32585467244434457</v>
      </c>
      <c r="V84" s="140">
        <v>-1.8675655472491504E-2</v>
      </c>
      <c r="W84" s="1">
        <f t="shared" si="12"/>
        <v>3.196861289424003E-2</v>
      </c>
      <c r="X84" s="1">
        <f t="shared" si="14"/>
        <v>7.7999999999999776</v>
      </c>
      <c r="Y84" s="1">
        <f t="shared" si="15"/>
        <v>-0.31256171502259605</v>
      </c>
      <c r="Z84" s="1">
        <f t="shared" si="13"/>
        <v>1.4328024193814844E-2</v>
      </c>
      <c r="AA84" s="1">
        <f t="shared" si="16"/>
        <v>-21.814711560685627</v>
      </c>
      <c r="AC84" s="146">
        <f t="shared" si="22"/>
        <v>2.4399999999999986</v>
      </c>
      <c r="AD84" s="147">
        <v>4.6025394463457929E-2</v>
      </c>
      <c r="AE84" s="1">
        <f t="shared" si="17"/>
        <v>13549.132171248833</v>
      </c>
      <c r="AH84" s="150">
        <f t="shared" si="23"/>
        <v>1.5600000000000009</v>
      </c>
      <c r="AI84" s="147">
        <v>0.28934397038101589</v>
      </c>
      <c r="AJ84" s="1">
        <f t="shared" si="18"/>
        <v>85178.187897094045</v>
      </c>
    </row>
    <row r="85" spans="15:36">
      <c r="O85" s="74">
        <f t="shared" si="20"/>
        <v>2.9000000000000012</v>
      </c>
      <c r="P85" s="122">
        <v>0.76275113069014855</v>
      </c>
      <c r="Q85" s="76">
        <v>1.7428949467030393E-2</v>
      </c>
      <c r="R85" s="1">
        <f t="shared" si="19"/>
        <v>43.763459876512499</v>
      </c>
      <c r="T85" s="140">
        <f t="shared" si="21"/>
        <v>-6.0499999999999794</v>
      </c>
      <c r="U85" s="140">
        <v>-0.32028222096947723</v>
      </c>
      <c r="V85" s="140">
        <v>-1.852257632927436E-2</v>
      </c>
      <c r="W85" s="1">
        <f t="shared" si="12"/>
        <v>3.1192239143880415E-2</v>
      </c>
      <c r="X85" s="1">
        <f t="shared" si="14"/>
        <v>7.7099999999999778</v>
      </c>
      <c r="Y85" s="1">
        <f t="shared" si="15"/>
        <v>-0.30761255815487115</v>
      </c>
      <c r="Z85" s="1">
        <f t="shared" si="13"/>
        <v>1.4247250863316891E-2</v>
      </c>
      <c r="AA85" s="1">
        <f t="shared" si="16"/>
        <v>-21.591011564686951</v>
      </c>
      <c r="AC85" s="146">
        <f t="shared" si="22"/>
        <v>2.4199999999999986</v>
      </c>
      <c r="AD85" s="147">
        <v>4.5648137131790237E-2</v>
      </c>
      <c r="AE85" s="1">
        <f t="shared" si="17"/>
        <v>13438.073710828759</v>
      </c>
      <c r="AH85" s="150">
        <f t="shared" si="23"/>
        <v>1.580000000000001</v>
      </c>
      <c r="AI85" s="147">
        <v>0.29157295097096281</v>
      </c>
      <c r="AJ85" s="1">
        <f t="shared" si="18"/>
        <v>85834.363753323109</v>
      </c>
    </row>
    <row r="86" spans="15:36">
      <c r="O86" s="74">
        <f t="shared" si="20"/>
        <v>3.0000000000000013</v>
      </c>
      <c r="P86" s="122">
        <v>0.77523343462373051</v>
      </c>
      <c r="Q86" s="76">
        <v>1.7664483132228147E-2</v>
      </c>
      <c r="R86" s="1">
        <f t="shared" si="19"/>
        <v>43.886562025092481</v>
      </c>
      <c r="T86" s="140">
        <f t="shared" si="21"/>
        <v>-5.9999999999999796</v>
      </c>
      <c r="U86" s="140">
        <v>-0.31470976949460983</v>
      </c>
      <c r="V86" s="140">
        <v>-1.8369497186057217E-2</v>
      </c>
      <c r="W86" s="1">
        <f t="shared" si="12"/>
        <v>3.0415865393520786E-2</v>
      </c>
      <c r="X86" s="1">
        <f t="shared" si="14"/>
        <v>7.6199999999999779</v>
      </c>
      <c r="Y86" s="1">
        <f t="shared" si="15"/>
        <v>-0.30266340128714631</v>
      </c>
      <c r="Z86" s="1">
        <f t="shared" si="13"/>
        <v>1.4167545342831092E-2</v>
      </c>
      <c r="AA86" s="1">
        <f t="shared" si="16"/>
        <v>-21.36315035266831</v>
      </c>
      <c r="AC86" s="146">
        <f t="shared" si="22"/>
        <v>2.3999999999999986</v>
      </c>
      <c r="AD86" s="147">
        <v>4.5270879800122552E-2</v>
      </c>
      <c r="AE86" s="1">
        <f t="shared" si="17"/>
        <v>13327.015250408689</v>
      </c>
      <c r="AH86" s="150">
        <f t="shared" si="23"/>
        <v>1.600000000000001</v>
      </c>
      <c r="AI86" s="147">
        <v>0.29380193156090978</v>
      </c>
      <c r="AJ86" s="1">
        <f t="shared" si="18"/>
        <v>86490.539609552157</v>
      </c>
    </row>
    <row r="87" spans="15:36">
      <c r="O87" s="74">
        <f t="shared" si="20"/>
        <v>3.1000000000000014</v>
      </c>
      <c r="P87" s="122">
        <v>0.78771573855731247</v>
      </c>
      <c r="Q87" s="76">
        <v>1.7904439635264842E-2</v>
      </c>
      <c r="R87" s="1">
        <f t="shared" si="19"/>
        <v>43.995553874013247</v>
      </c>
      <c r="T87" s="140">
        <f t="shared" si="21"/>
        <v>-5.9499999999999797</v>
      </c>
      <c r="U87" s="140">
        <v>-0.30913731801974242</v>
      </c>
      <c r="V87" s="140">
        <v>-1.8216418042840073E-2</v>
      </c>
      <c r="W87" s="1">
        <f t="shared" si="12"/>
        <v>2.963949164316116E-2</v>
      </c>
      <c r="X87" s="1">
        <f t="shared" si="14"/>
        <v>7.529999999999978</v>
      </c>
      <c r="Y87" s="1">
        <f t="shared" si="15"/>
        <v>-0.29771424441942135</v>
      </c>
      <c r="Z87" s="1">
        <f t="shared" si="13"/>
        <v>1.4088907632357452E-2</v>
      </c>
      <c r="AA87" s="1">
        <f t="shared" si="16"/>
        <v>-21.131109109954878</v>
      </c>
      <c r="AC87" s="146">
        <f t="shared" si="22"/>
        <v>2.3799999999999986</v>
      </c>
      <c r="AD87" s="147">
        <v>4.4893622468454866E-2</v>
      </c>
      <c r="AE87" s="1">
        <f t="shared" si="17"/>
        <v>13215.956789988615</v>
      </c>
      <c r="AH87" s="150">
        <f t="shared" si="23"/>
        <v>1.620000000000001</v>
      </c>
      <c r="AI87" s="147">
        <v>0.29603091215085681</v>
      </c>
      <c r="AJ87" s="1">
        <f t="shared" si="18"/>
        <v>87146.715465781235</v>
      </c>
    </row>
    <row r="88" spans="15:36">
      <c r="O88" s="74">
        <f t="shared" si="20"/>
        <v>3.2000000000000015</v>
      </c>
      <c r="P88" s="122">
        <v>0.80019804249089466</v>
      </c>
      <c r="Q88" s="76">
        <v>1.8148818976140485E-2</v>
      </c>
      <c r="R88" s="1">
        <f t="shared" si="19"/>
        <v>44.090915422258746</v>
      </c>
      <c r="T88" s="140">
        <f t="shared" si="21"/>
        <v>-5.8999999999999799</v>
      </c>
      <c r="U88" s="140">
        <v>-0.30356486654487502</v>
      </c>
      <c r="V88" s="140">
        <v>-1.806333889962293E-2</v>
      </c>
      <c r="W88" s="1">
        <f t="shared" si="12"/>
        <v>2.8863117892801542E-2</v>
      </c>
      <c r="X88" s="1">
        <f t="shared" si="14"/>
        <v>7.4399999999999782</v>
      </c>
      <c r="Y88" s="1">
        <f t="shared" si="15"/>
        <v>-0.29276508755169639</v>
      </c>
      <c r="Z88" s="1">
        <f t="shared" si="13"/>
        <v>1.4011337731895971E-2</v>
      </c>
      <c r="AA88" s="1">
        <f t="shared" si="16"/>
        <v>-20.894870507991126</v>
      </c>
      <c r="AC88" s="146">
        <f t="shared" si="22"/>
        <v>2.3599999999999985</v>
      </c>
      <c r="AD88" s="147">
        <v>4.4516365136787174E-2</v>
      </c>
      <c r="AE88" s="1">
        <f t="shared" si="17"/>
        <v>13104.898329568543</v>
      </c>
      <c r="AH88" s="150">
        <f t="shared" si="23"/>
        <v>1.640000000000001</v>
      </c>
      <c r="AI88" s="147">
        <v>0.29825989274080378</v>
      </c>
      <c r="AJ88" s="1">
        <f t="shared" si="18"/>
        <v>87802.891322010299</v>
      </c>
    </row>
    <row r="89" spans="15:36">
      <c r="O89" s="74">
        <f t="shared" si="20"/>
        <v>3.3000000000000016</v>
      </c>
      <c r="P89" s="122">
        <v>0.81268034642447651</v>
      </c>
      <c r="Q89" s="76">
        <v>1.8397621154855062E-2</v>
      </c>
      <c r="R89" s="1">
        <f t="shared" si="19"/>
        <v>44.173121056469483</v>
      </c>
      <c r="T89" s="140">
        <f t="shared" si="21"/>
        <v>-5.8499999999999801</v>
      </c>
      <c r="U89" s="140">
        <v>-0.29799241507000762</v>
      </c>
      <c r="V89" s="140">
        <v>-1.7910259756405787E-2</v>
      </c>
      <c r="W89" s="1">
        <f t="shared" si="12"/>
        <v>2.8086744142441916E-2</v>
      </c>
      <c r="X89" s="1">
        <f t="shared" si="14"/>
        <v>7.3499999999999783</v>
      </c>
      <c r="Y89" s="1">
        <f t="shared" si="15"/>
        <v>-0.28781593068397149</v>
      </c>
      <c r="Z89" s="1">
        <f t="shared" si="13"/>
        <v>1.3934835641446649E-2</v>
      </c>
      <c r="AA89" s="1">
        <f t="shared" si="16"/>
        <v>-20.654418759552144</v>
      </c>
      <c r="AC89" s="146">
        <f t="shared" si="22"/>
        <v>2.3399999999999985</v>
      </c>
      <c r="AD89" s="147">
        <v>4.4139107805119489E-2</v>
      </c>
      <c r="AE89" s="1">
        <f t="shared" si="17"/>
        <v>12993.839869148471</v>
      </c>
      <c r="AH89" s="150">
        <f t="shared" si="23"/>
        <v>1.660000000000001</v>
      </c>
      <c r="AI89" s="147">
        <v>0.30048887333075075</v>
      </c>
      <c r="AJ89" s="1">
        <f t="shared" si="18"/>
        <v>88459.067178239347</v>
      </c>
    </row>
    <row r="90" spans="15:36">
      <c r="O90" s="74">
        <f t="shared" si="20"/>
        <v>3.4000000000000017</v>
      </c>
      <c r="P90" s="122">
        <v>0.82516265035805847</v>
      </c>
      <c r="Q90" s="76">
        <v>1.8650846171408584E-2</v>
      </c>
      <c r="R90" s="1">
        <f t="shared" si="19"/>
        <v>44.242638793676726</v>
      </c>
      <c r="T90" s="140">
        <f t="shared" si="21"/>
        <v>-5.7999999999999803</v>
      </c>
      <c r="U90" s="140">
        <v>-0.29241996359514022</v>
      </c>
      <c r="V90" s="140">
        <v>-1.7757180613188643E-2</v>
      </c>
      <c r="W90" s="1">
        <f t="shared" si="12"/>
        <v>2.7310370392082291E-2</v>
      </c>
      <c r="X90" s="1">
        <f t="shared" si="14"/>
        <v>7.2599999999999785</v>
      </c>
      <c r="Y90" s="1">
        <f t="shared" si="15"/>
        <v>-0.28286677381624659</v>
      </c>
      <c r="Z90" s="1">
        <f t="shared" si="13"/>
        <v>1.3859401361009485E-2</v>
      </c>
      <c r="AA90" s="1">
        <f t="shared" si="16"/>
        <v>-20.40973967404053</v>
      </c>
      <c r="AC90" s="146">
        <f t="shared" si="22"/>
        <v>2.3199999999999985</v>
      </c>
      <c r="AD90" s="147">
        <v>4.3761850473451797E-2</v>
      </c>
      <c r="AE90" s="1">
        <f t="shared" si="17"/>
        <v>12882.781408728397</v>
      </c>
      <c r="AH90" s="150">
        <f t="shared" si="23"/>
        <v>1.680000000000001</v>
      </c>
      <c r="AI90" s="147">
        <v>0.30271785392069767</v>
      </c>
      <c r="AJ90" s="1">
        <f t="shared" si="18"/>
        <v>89115.243034468411</v>
      </c>
    </row>
    <row r="91" spans="15:36">
      <c r="O91" s="74">
        <f t="shared" si="20"/>
        <v>3.5000000000000018</v>
      </c>
      <c r="P91" s="122">
        <v>0.83764495429164043</v>
      </c>
      <c r="Q91" s="76">
        <v>1.8908494025801047E-2</v>
      </c>
      <c r="R91" s="1">
        <f t="shared" si="19"/>
        <v>44.299929605639448</v>
      </c>
      <c r="T91" s="140">
        <f t="shared" si="21"/>
        <v>-5.7499999999999805</v>
      </c>
      <c r="U91" s="140">
        <v>-0.28684751212027282</v>
      </c>
      <c r="V91" s="140">
        <v>-1.76041014699715E-2</v>
      </c>
      <c r="W91" s="1">
        <f t="shared" si="12"/>
        <v>2.6533996641722669E-2</v>
      </c>
      <c r="X91" s="1">
        <f t="shared" si="14"/>
        <v>7.1699999999999786</v>
      </c>
      <c r="Y91" s="1">
        <f t="shared" si="15"/>
        <v>-0.27791761694852163</v>
      </c>
      <c r="Z91" s="1">
        <f t="shared" si="13"/>
        <v>1.3785034890584478E-2</v>
      </c>
      <c r="AA91" s="1">
        <f t="shared" si="16"/>
        <v>-20.160820712782257</v>
      </c>
      <c r="AC91" s="146">
        <f t="shared" si="22"/>
        <v>2.2999999999999985</v>
      </c>
      <c r="AD91" s="147">
        <v>4.3384593141784111E-2</v>
      </c>
      <c r="AE91" s="1">
        <f t="shared" si="17"/>
        <v>12771.722948308327</v>
      </c>
      <c r="AH91" s="150">
        <f t="shared" si="23"/>
        <v>1.7000000000000011</v>
      </c>
      <c r="AI91" s="147">
        <v>0.30494683451064464</v>
      </c>
      <c r="AJ91" s="1">
        <f t="shared" si="18"/>
        <v>89771.41889069746</v>
      </c>
    </row>
    <row r="92" spans="15:36">
      <c r="O92" s="74">
        <f t="shared" si="20"/>
        <v>3.6000000000000019</v>
      </c>
      <c r="P92" s="122">
        <v>0.8501272582252225</v>
      </c>
      <c r="Q92" s="76">
        <v>1.9170564718032454E-2</v>
      </c>
      <c r="R92" s="1">
        <f t="shared" si="19"/>
        <v>44.345446820644007</v>
      </c>
      <c r="T92" s="140">
        <f t="shared" si="21"/>
        <v>-5.6999999999999806</v>
      </c>
      <c r="U92" s="140">
        <v>-0.28127506064540542</v>
      </c>
      <c r="V92" s="140">
        <v>-1.7451022326754356E-2</v>
      </c>
      <c r="W92" s="1">
        <f t="shared" si="12"/>
        <v>2.5757622891363043E-2</v>
      </c>
      <c r="X92" s="1">
        <f t="shared" si="14"/>
        <v>7.0799999999999788</v>
      </c>
      <c r="Y92" s="1">
        <f t="shared" si="15"/>
        <v>-0.27296846008079673</v>
      </c>
      <c r="Z92" s="1">
        <f t="shared" si="13"/>
        <v>1.3711736230171629E-2</v>
      </c>
      <c r="AA92" s="1">
        <f t="shared" si="16"/>
        <v>-19.907651044231034</v>
      </c>
      <c r="AC92" s="146">
        <f t="shared" si="22"/>
        <v>2.2799999999999985</v>
      </c>
      <c r="AD92" s="147">
        <v>4.3007335810116419E-2</v>
      </c>
      <c r="AE92" s="1">
        <f t="shared" si="17"/>
        <v>12660.664487888253</v>
      </c>
      <c r="AH92" s="150">
        <f t="shared" si="23"/>
        <v>1.7200000000000011</v>
      </c>
      <c r="AI92" s="147">
        <v>0.30717581510059161</v>
      </c>
      <c r="AJ92" s="1">
        <f t="shared" si="18"/>
        <v>90427.594746926523</v>
      </c>
    </row>
    <row r="93" spans="15:36">
      <c r="O93" s="74">
        <f t="shared" si="20"/>
        <v>3.700000000000002</v>
      </c>
      <c r="P93" s="122">
        <v>0.86260956215880447</v>
      </c>
      <c r="Q93" s="76">
        <v>1.9437058248102802E-2</v>
      </c>
      <c r="R93" s="1">
        <f t="shared" si="19"/>
        <v>44.379635598560881</v>
      </c>
      <c r="T93" s="140">
        <f t="shared" si="21"/>
        <v>-5.6499999999999808</v>
      </c>
      <c r="U93" s="140">
        <v>-0.27570260917053802</v>
      </c>
      <c r="V93" s="140">
        <v>-1.7297943183537213E-2</v>
      </c>
      <c r="W93" s="1">
        <f t="shared" si="12"/>
        <v>2.4981249141003428E-2</v>
      </c>
      <c r="X93" s="1">
        <f t="shared" si="14"/>
        <v>6.9899999999999789</v>
      </c>
      <c r="Y93" s="1">
        <f t="shared" si="15"/>
        <v>-0.26801930321307182</v>
      </c>
      <c r="Z93" s="1">
        <f t="shared" si="13"/>
        <v>1.3639505379770938E-2</v>
      </c>
      <c r="AA93" s="1">
        <f t="shared" si="16"/>
        <v>-19.650221598986821</v>
      </c>
      <c r="AC93" s="146">
        <f t="shared" si="22"/>
        <v>2.2599999999999985</v>
      </c>
      <c r="AD93" s="147">
        <v>4.2630078478448734E-2</v>
      </c>
      <c r="AE93" s="1">
        <f t="shared" si="17"/>
        <v>12549.606027468182</v>
      </c>
      <c r="AH93" s="150">
        <f t="shared" si="23"/>
        <v>1.7400000000000011</v>
      </c>
      <c r="AI93" s="147">
        <v>0.30940479569053864</v>
      </c>
      <c r="AJ93" s="1">
        <f t="shared" si="18"/>
        <v>91083.770603155586</v>
      </c>
    </row>
    <row r="94" spans="15:36">
      <c r="O94" s="74">
        <f t="shared" si="20"/>
        <v>3.800000000000002</v>
      </c>
      <c r="P94" s="122">
        <v>0.87509186609238643</v>
      </c>
      <c r="Q94" s="76">
        <v>1.9707974616012092E-2</v>
      </c>
      <c r="R94" s="1">
        <f t="shared" si="19"/>
        <v>44.402932474928328</v>
      </c>
      <c r="T94" s="140">
        <f t="shared" si="21"/>
        <v>-5.599999999999981</v>
      </c>
      <c r="U94" s="140">
        <v>-0.27013015769567067</v>
      </c>
      <c r="V94" s="140">
        <v>-1.7144864040320069E-2</v>
      </c>
      <c r="W94" s="1">
        <f t="shared" si="12"/>
        <v>2.4204875390643806E-2</v>
      </c>
      <c r="X94" s="1">
        <f t="shared" si="14"/>
        <v>6.899999999999979</v>
      </c>
      <c r="Y94" s="1">
        <f t="shared" si="15"/>
        <v>-0.26307014634534692</v>
      </c>
      <c r="Z94" s="1">
        <f t="shared" si="13"/>
        <v>1.3568342339382406E-2</v>
      </c>
      <c r="AA94" s="1">
        <f t="shared" si="16"/>
        <v>-19.388525124530513</v>
      </c>
      <c r="AC94" s="146">
        <f t="shared" si="22"/>
        <v>2.2399999999999984</v>
      </c>
      <c r="AD94" s="147">
        <v>4.2252821146781049E-2</v>
      </c>
      <c r="AE94" s="1">
        <f t="shared" si="17"/>
        <v>12438.54756704811</v>
      </c>
      <c r="AH94" s="150">
        <f t="shared" si="23"/>
        <v>1.7600000000000011</v>
      </c>
      <c r="AI94" s="147">
        <v>0.31163377628048555</v>
      </c>
      <c r="AJ94" s="1">
        <f t="shared" si="18"/>
        <v>91739.946459384635</v>
      </c>
    </row>
    <row r="95" spans="15:36">
      <c r="O95" s="74">
        <f t="shared" si="20"/>
        <v>3.9000000000000021</v>
      </c>
      <c r="P95" s="122">
        <v>0.8875741700259685</v>
      </c>
      <c r="Q95" s="76">
        <v>1.9983313821760322E-2</v>
      </c>
      <c r="R95" s="1">
        <f t="shared" si="19"/>
        <v>44.415764969845348</v>
      </c>
      <c r="T95" s="140">
        <f t="shared" si="21"/>
        <v>-5.5499999999999812</v>
      </c>
      <c r="U95" s="140">
        <v>-0.26455770622080321</v>
      </c>
      <c r="V95" s="140">
        <v>-1.6991784897102926E-2</v>
      </c>
      <c r="W95" s="1">
        <f t="shared" si="12"/>
        <v>2.3428501640284177E-2</v>
      </c>
      <c r="X95" s="1">
        <f t="shared" si="14"/>
        <v>6.8099999999999792</v>
      </c>
      <c r="Y95" s="1">
        <f t="shared" si="15"/>
        <v>-0.25812098947762196</v>
      </c>
      <c r="Z95" s="1">
        <f t="shared" si="13"/>
        <v>1.3498247109006031E-2</v>
      </c>
      <c r="AA95" s="1">
        <f t="shared" si="16"/>
        <v>-19.122556239573036</v>
      </c>
      <c r="AC95" s="146">
        <f t="shared" si="22"/>
        <v>2.2199999999999984</v>
      </c>
      <c r="AD95" s="147">
        <v>4.1875563815113349E-2</v>
      </c>
      <c r="AE95" s="1">
        <f t="shared" si="17"/>
        <v>12327.489106628034</v>
      </c>
      <c r="AH95" s="150">
        <f t="shared" si="23"/>
        <v>1.7800000000000011</v>
      </c>
      <c r="AI95" s="147">
        <v>0.31386275687043252</v>
      </c>
      <c r="AJ95" s="1">
        <f t="shared" si="18"/>
        <v>92396.122315613698</v>
      </c>
    </row>
    <row r="96" spans="15:36">
      <c r="O96" s="74">
        <f t="shared" si="20"/>
        <v>4.0000000000000018</v>
      </c>
      <c r="P96" s="122">
        <v>0.90005647395955024</v>
      </c>
      <c r="Q96" s="76">
        <v>2.0263075865347493E-2</v>
      </c>
      <c r="R96" s="1">
        <f t="shared" si="19"/>
        <v>44.41855125750007</v>
      </c>
      <c r="T96" s="140">
        <f t="shared" si="21"/>
        <v>-5.4999999999999813</v>
      </c>
      <c r="U96" s="140">
        <v>-0.25898525474593587</v>
      </c>
      <c r="V96" s="140">
        <v>-1.6838705753885783E-2</v>
      </c>
      <c r="W96" s="1">
        <f t="shared" si="12"/>
        <v>2.2652127889924562E-2</v>
      </c>
      <c r="X96" s="1">
        <f t="shared" si="14"/>
        <v>6.7199999999999793</v>
      </c>
      <c r="Y96" s="1">
        <f t="shared" si="15"/>
        <v>-0.25317183260989712</v>
      </c>
      <c r="Z96" s="1">
        <f t="shared" si="13"/>
        <v>1.3429219688641816E-2</v>
      </c>
      <c r="AA96" s="1">
        <f t="shared" si="16"/>
        <v>-18.852311487913564</v>
      </c>
      <c r="AC96" s="146">
        <f t="shared" si="22"/>
        <v>2.1999999999999984</v>
      </c>
      <c r="AD96" s="147">
        <v>4.1498306483445664E-2</v>
      </c>
      <c r="AE96" s="1">
        <f t="shared" si="17"/>
        <v>12216.430646207962</v>
      </c>
      <c r="AH96" s="150">
        <f t="shared" si="23"/>
        <v>1.8000000000000012</v>
      </c>
      <c r="AI96" s="147">
        <v>0.3160917374603795</v>
      </c>
      <c r="AJ96" s="1">
        <f t="shared" si="18"/>
        <v>93052.298171842762</v>
      </c>
    </row>
    <row r="97" spans="15:36">
      <c r="O97" s="74">
        <f t="shared" si="20"/>
        <v>4.1000000000000014</v>
      </c>
      <c r="P97" s="122">
        <v>0.91253877789313231</v>
      </c>
      <c r="Q97" s="76">
        <v>2.0547260746773609E-2</v>
      </c>
      <c r="R97" s="1">
        <f t="shared" si="19"/>
        <v>44.411699892231219</v>
      </c>
      <c r="T97" s="140">
        <f t="shared" si="21"/>
        <v>-5.4499999999999815</v>
      </c>
      <c r="U97" s="140">
        <v>-0.25341280327106841</v>
      </c>
      <c r="V97" s="140">
        <v>-1.6685626610668639E-2</v>
      </c>
      <c r="W97" s="1">
        <f t="shared" si="12"/>
        <v>2.1875754139564926E-2</v>
      </c>
      <c r="X97" s="1">
        <f t="shared" si="14"/>
        <v>6.609999999999979</v>
      </c>
      <c r="Y97" s="1">
        <f t="shared" si="15"/>
        <v>-0.24822267574217211</v>
      </c>
      <c r="Z97" s="1">
        <f t="shared" si="13"/>
        <v>1.3361260078289758E-2</v>
      </c>
      <c r="AA97" s="1">
        <f t="shared" si="16"/>
        <v>-18.577789391698197</v>
      </c>
      <c r="AC97" s="146">
        <f t="shared" si="22"/>
        <v>2.1799999999999984</v>
      </c>
      <c r="AD97" s="147">
        <v>4.1121049151777979E-2</v>
      </c>
      <c r="AE97" s="1">
        <f t="shared" si="17"/>
        <v>12105.37218578789</v>
      </c>
      <c r="AH97" s="150">
        <f t="shared" si="23"/>
        <v>1.8200000000000012</v>
      </c>
      <c r="AI97" s="147">
        <v>0.31832071805032647</v>
      </c>
      <c r="AJ97" s="1">
        <f t="shared" si="18"/>
        <v>93708.474028071825</v>
      </c>
    </row>
    <row r="98" spans="15:36">
      <c r="O98" s="74">
        <f t="shared" si="20"/>
        <v>4.2000000000000011</v>
      </c>
      <c r="P98" s="122">
        <v>0.92502108182671428</v>
      </c>
      <c r="Q98" s="76">
        <v>2.0835868466038666E-2</v>
      </c>
      <c r="R98" s="1">
        <f t="shared" si="19"/>
        <v>44.395609587114087</v>
      </c>
      <c r="T98" s="140">
        <f t="shared" si="21"/>
        <v>-5.3999999999999817</v>
      </c>
      <c r="U98" s="140">
        <v>-0.24784035179620104</v>
      </c>
      <c r="V98" s="140">
        <v>-1.6532547467451496E-2</v>
      </c>
      <c r="W98" s="1">
        <f t="shared" si="12"/>
        <v>2.1099380389205308E-2</v>
      </c>
      <c r="X98" s="1">
        <f t="shared" si="14"/>
        <v>6.5199999999999791</v>
      </c>
      <c r="Y98" s="1">
        <f t="shared" si="15"/>
        <v>-0.24327351887444723</v>
      </c>
      <c r="Z98" s="1">
        <f t="shared" si="13"/>
        <v>1.329436827794986E-2</v>
      </c>
      <c r="AA98" s="1">
        <f t="shared" si="16"/>
        <v>-18.298990503967197</v>
      </c>
      <c r="AC98" s="146">
        <f t="shared" si="22"/>
        <v>2.1599999999999984</v>
      </c>
      <c r="AD98" s="147">
        <v>4.0743791820110294E-2</v>
      </c>
      <c r="AE98" s="1">
        <f t="shared" si="17"/>
        <v>11994.313725367818</v>
      </c>
      <c r="AH98" s="150">
        <f t="shared" si="23"/>
        <v>1.8400000000000012</v>
      </c>
      <c r="AI98" s="147">
        <v>0.32054969864027344</v>
      </c>
      <c r="AJ98" s="1">
        <f t="shared" si="18"/>
        <v>94364.649884300874</v>
      </c>
    </row>
    <row r="99" spans="15:36">
      <c r="O99" s="74">
        <f t="shared" si="20"/>
        <v>4.3000000000000007</v>
      </c>
      <c r="P99" s="122">
        <v>0.93750338576029602</v>
      </c>
      <c r="Q99" s="76">
        <v>2.1128899023142661E-2</v>
      </c>
      <c r="R99" s="1">
        <f t="shared" si="19"/>
        <v>44.370669041176292</v>
      </c>
      <c r="T99" s="140">
        <f t="shared" si="21"/>
        <v>-5.3499999999999819</v>
      </c>
      <c r="U99" s="140">
        <v>-0.24226790032133366</v>
      </c>
      <c r="V99" s="140">
        <v>-1.6379468324234352E-2</v>
      </c>
      <c r="W99" s="1">
        <f t="shared" si="12"/>
        <v>2.0323006638845689E-2</v>
      </c>
      <c r="X99" s="1">
        <f t="shared" si="14"/>
        <v>6.4299999999999793</v>
      </c>
      <c r="Y99" s="1">
        <f t="shared" si="15"/>
        <v>-0.23832436200672236</v>
      </c>
      <c r="Z99" s="1">
        <f t="shared" si="13"/>
        <v>1.3228544287622117E-2</v>
      </c>
      <c r="AA99" s="1">
        <f t="shared" si="16"/>
        <v>-18.015917460375537</v>
      </c>
      <c r="AC99" s="146">
        <f t="shared" si="22"/>
        <v>2.1399999999999983</v>
      </c>
      <c r="AD99" s="147">
        <v>4.0366534488442601E-2</v>
      </c>
      <c r="AE99" s="1">
        <f t="shared" si="17"/>
        <v>11883.255264947746</v>
      </c>
      <c r="AH99" s="150">
        <f t="shared" si="23"/>
        <v>1.8600000000000012</v>
      </c>
      <c r="AI99" s="147">
        <v>0.32277867923022041</v>
      </c>
      <c r="AJ99" s="1">
        <f t="shared" si="18"/>
        <v>95020.825740529923</v>
      </c>
    </row>
    <row r="100" spans="15:36">
      <c r="O100" s="74">
        <f t="shared" si="20"/>
        <v>4.4000000000000004</v>
      </c>
      <c r="P100" s="122">
        <v>0.94998568969387809</v>
      </c>
      <c r="Q100" s="76">
        <v>2.1426352418085604E-2</v>
      </c>
      <c r="R100" s="1">
        <f t="shared" si="19"/>
        <v>44.337256811477253</v>
      </c>
      <c r="T100" s="140">
        <f t="shared" si="21"/>
        <v>-5.2999999999999821</v>
      </c>
      <c r="U100" s="140">
        <v>-0.23669544884646623</v>
      </c>
      <c r="V100" s="140">
        <v>-1.6226389181017209E-2</v>
      </c>
      <c r="W100" s="1">
        <f t="shared" si="12"/>
        <v>1.9546632888486064E-2</v>
      </c>
      <c r="X100" s="1">
        <f t="shared" si="14"/>
        <v>6.3399999999999794</v>
      </c>
      <c r="Y100" s="1">
        <f t="shared" si="15"/>
        <v>-0.2333752051389974</v>
      </c>
      <c r="Z100" s="1">
        <f t="shared" si="13"/>
        <v>1.3163788107306533E-2</v>
      </c>
      <c r="AA100" s="1">
        <f t="shared" si="16"/>
        <v>-17.728575029968994</v>
      </c>
      <c r="AC100" s="146">
        <f t="shared" si="22"/>
        <v>2.1199999999999983</v>
      </c>
      <c r="AD100" s="147">
        <v>3.9989277156774916E-2</v>
      </c>
      <c r="AE100" s="1">
        <f t="shared" si="17"/>
        <v>11772.196804527674</v>
      </c>
      <c r="AH100" s="150">
        <f t="shared" si="23"/>
        <v>1.8800000000000012</v>
      </c>
      <c r="AI100" s="147">
        <v>0.32500765982016738</v>
      </c>
      <c r="AJ100" s="1">
        <f t="shared" si="18"/>
        <v>95677.001596759001</v>
      </c>
    </row>
    <row r="101" spans="15:36">
      <c r="O101" s="74">
        <f t="shared" si="20"/>
        <v>4.5</v>
      </c>
      <c r="P101" s="122">
        <v>0.96246799362746005</v>
      </c>
      <c r="Q101" s="76">
        <v>2.1728228650867487E-2</v>
      </c>
      <c r="R101" s="1">
        <f t="shared" si="19"/>
        <v>44.295741226426856</v>
      </c>
      <c r="T101" s="140">
        <f t="shared" si="21"/>
        <v>-5.2499999999999822</v>
      </c>
      <c r="U101" s="140">
        <v>-0.23112299737159886</v>
      </c>
      <c r="V101" s="140">
        <v>-1.6073310037800066E-2</v>
      </c>
      <c r="W101" s="1">
        <f t="shared" si="12"/>
        <v>1.8770259138126442E-2</v>
      </c>
      <c r="X101" s="1">
        <f t="shared" si="14"/>
        <v>6.2499999999999796</v>
      </c>
      <c r="Y101" s="1">
        <f t="shared" si="15"/>
        <v>-0.2284260482712725</v>
      </c>
      <c r="Z101" s="1">
        <f t="shared" si="13"/>
        <v>1.3100099737003107E-2</v>
      </c>
      <c r="AA101" s="1">
        <f t="shared" si="16"/>
        <v>-17.436970164895037</v>
      </c>
      <c r="AC101" s="146">
        <f t="shared" si="22"/>
        <v>2.0999999999999983</v>
      </c>
      <c r="AD101" s="147">
        <v>3.9612019825107224E-2</v>
      </c>
      <c r="AE101" s="1">
        <f t="shared" si="17"/>
        <v>11661.1383441076</v>
      </c>
      <c r="AH101" s="150">
        <f t="shared" si="23"/>
        <v>1.9000000000000012</v>
      </c>
      <c r="AI101" s="147">
        <v>0.32723664041011435</v>
      </c>
      <c r="AJ101" s="1">
        <f t="shared" si="18"/>
        <v>96333.177452988049</v>
      </c>
    </row>
    <row r="102" spans="15:36">
      <c r="O102" s="74">
        <f t="shared" si="20"/>
        <v>4.5999999999999996</v>
      </c>
      <c r="P102" s="122">
        <v>0.9749502975610419</v>
      </c>
      <c r="Q102" s="76">
        <v>2.2034527721488308E-2</v>
      </c>
      <c r="R102" s="1">
        <f t="shared" si="19"/>
        <v>44.246480336869659</v>
      </c>
      <c r="T102" s="140">
        <f t="shared" si="21"/>
        <v>-5.1999999999999824</v>
      </c>
      <c r="U102" s="140">
        <v>-0.22555054589673149</v>
      </c>
      <c r="V102" s="140">
        <v>-1.5920230894582922E-2</v>
      </c>
      <c r="W102" s="1">
        <f t="shared" si="12"/>
        <v>1.7993885387766823E-2</v>
      </c>
      <c r="X102" s="1">
        <f t="shared" si="14"/>
        <v>6.1599999999999797</v>
      </c>
      <c r="Y102" s="1">
        <f t="shared" si="15"/>
        <v>-0.22347689140354757</v>
      </c>
      <c r="Z102" s="1">
        <f t="shared" si="13"/>
        <v>1.3037479176711839E-2</v>
      </c>
      <c r="AA102" s="1">
        <f t="shared" si="16"/>
        <v>-17.141112048925265</v>
      </c>
      <c r="AC102" s="146">
        <f t="shared" si="22"/>
        <v>2.0799999999999983</v>
      </c>
      <c r="AD102" s="147">
        <v>3.9234762493439532E-2</v>
      </c>
      <c r="AE102" s="1">
        <f t="shared" si="17"/>
        <v>11550.079883687526</v>
      </c>
      <c r="AH102" s="150">
        <f t="shared" si="23"/>
        <v>1.9200000000000013</v>
      </c>
      <c r="AI102" s="147">
        <v>0.32946562100006133</v>
      </c>
      <c r="AJ102" s="1">
        <f t="shared" si="18"/>
        <v>96989.353309217113</v>
      </c>
    </row>
    <row r="103" spans="15:36">
      <c r="O103" s="74">
        <f t="shared" si="20"/>
        <v>4.6999999999999993</v>
      </c>
      <c r="P103" s="122">
        <v>0.98743260149462375</v>
      </c>
      <c r="Q103" s="76">
        <v>2.2345249629948074E-2</v>
      </c>
      <c r="R103" s="1">
        <f t="shared" si="19"/>
        <v>44.18982190161902</v>
      </c>
      <c r="T103" s="140">
        <f t="shared" si="21"/>
        <v>-5.1499999999999826</v>
      </c>
      <c r="U103" s="140">
        <v>-0.21997809442186406</v>
      </c>
      <c r="V103" s="140">
        <v>-1.5767151751365779E-2</v>
      </c>
      <c r="W103" s="1">
        <f t="shared" si="12"/>
        <v>1.7217511637407191E-2</v>
      </c>
      <c r="X103" s="1">
        <f t="shared" si="14"/>
        <v>6.0699999999999799</v>
      </c>
      <c r="Y103" s="1">
        <f t="shared" si="15"/>
        <v>-0.21852773453582264</v>
      </c>
      <c r="Z103" s="1">
        <f t="shared" si="13"/>
        <v>1.297592642643273E-2</v>
      </c>
      <c r="AA103" s="1">
        <f t="shared" si="16"/>
        <v>-16.841012144664191</v>
      </c>
      <c r="AC103" s="146">
        <f t="shared" si="22"/>
        <v>2.0599999999999983</v>
      </c>
      <c r="AD103" s="147">
        <v>3.8857505161771846E-2</v>
      </c>
      <c r="AE103" s="1">
        <f t="shared" si="17"/>
        <v>11439.021423267453</v>
      </c>
      <c r="AH103" s="150">
        <f t="shared" si="23"/>
        <v>1.9400000000000013</v>
      </c>
      <c r="AI103" s="147">
        <v>0.33169460159000824</v>
      </c>
      <c r="AJ103" s="1">
        <f t="shared" si="18"/>
        <v>97645.529165446147</v>
      </c>
    </row>
    <row r="104" spans="15:36">
      <c r="O104" s="74">
        <f t="shared" si="20"/>
        <v>4.7999999999999989</v>
      </c>
      <c r="P104" s="122">
        <v>0.99991490542820582</v>
      </c>
      <c r="Q104" s="76">
        <v>2.2660394376246784E-2</v>
      </c>
      <c r="R104" s="1">
        <f t="shared" si="19"/>
        <v>44.126103404287733</v>
      </c>
      <c r="T104" s="140">
        <f t="shared" si="21"/>
        <v>-5.0999999999999828</v>
      </c>
      <c r="U104" s="140">
        <v>-0.21440564294699666</v>
      </c>
      <c r="V104" s="140">
        <v>-1.5614072608148634E-2</v>
      </c>
      <c r="W104" s="1">
        <f t="shared" si="12"/>
        <v>1.6441137887047572E-2</v>
      </c>
      <c r="X104" s="1">
        <f t="shared" si="14"/>
        <v>5.97999999999998</v>
      </c>
      <c r="Y104" s="1">
        <f t="shared" si="15"/>
        <v>-0.21357857766809771</v>
      </c>
      <c r="Z104" s="1">
        <f t="shared" si="13"/>
        <v>1.2915441486165779E-2</v>
      </c>
      <c r="AA104" s="1">
        <f t="shared" si="16"/>
        <v>-16.536684239316934</v>
      </c>
      <c r="AC104" s="146">
        <f t="shared" si="22"/>
        <v>2.0399999999999983</v>
      </c>
      <c r="AD104" s="147">
        <v>3.8480247830104161E-2</v>
      </c>
      <c r="AE104" s="1">
        <f t="shared" si="17"/>
        <v>11327.962962847381</v>
      </c>
      <c r="AH104" s="150">
        <f t="shared" si="23"/>
        <v>1.9600000000000013</v>
      </c>
      <c r="AI104" s="147">
        <v>0.33392358217995521</v>
      </c>
      <c r="AJ104" s="1">
        <f t="shared" si="18"/>
        <v>98301.70502167521</v>
      </c>
    </row>
    <row r="105" spans="15:36">
      <c r="O105" s="74">
        <f t="shared" si="20"/>
        <v>4.8999999999999986</v>
      </c>
      <c r="P105" s="122">
        <v>1.0123972093617875</v>
      </c>
      <c r="Q105" s="76">
        <v>2.2979961960384432E-2</v>
      </c>
      <c r="R105" s="1">
        <f t="shared" si="19"/>
        <v>44.055652098427196</v>
      </c>
      <c r="T105" s="140">
        <f t="shared" si="21"/>
        <v>-5.0499999999999829</v>
      </c>
      <c r="U105" s="140">
        <v>-0.20883319147212925</v>
      </c>
      <c r="V105" s="140">
        <v>-1.5460993464931492E-2</v>
      </c>
      <c r="W105" s="1">
        <f t="shared" si="12"/>
        <v>1.5664764136687943E-2</v>
      </c>
      <c r="X105" s="1">
        <f t="shared" si="14"/>
        <v>5.8899999999999801</v>
      </c>
      <c r="Y105" s="1">
        <f t="shared" si="15"/>
        <v>-0.20862942080037281</v>
      </c>
      <c r="Z105" s="1">
        <f t="shared" si="13"/>
        <v>1.2856024355910987E-2</v>
      </c>
      <c r="AA105" s="1">
        <f t="shared" si="16"/>
        <v>-16.228144488886912</v>
      </c>
      <c r="AC105" s="146">
        <f t="shared" si="22"/>
        <v>2.0199999999999982</v>
      </c>
      <c r="AD105" s="147">
        <v>3.8102990498436476E-2</v>
      </c>
      <c r="AE105" s="1">
        <f t="shared" si="17"/>
        <v>11216.904502427311</v>
      </c>
      <c r="AH105" s="150">
        <f t="shared" si="23"/>
        <v>1.9800000000000013</v>
      </c>
      <c r="AI105" s="147">
        <v>0.33615256276990224</v>
      </c>
      <c r="AJ105" s="1">
        <f t="shared" si="18"/>
        <v>98957.880877904288</v>
      </c>
    </row>
    <row r="106" spans="15:36">
      <c r="O106" s="74">
        <f t="shared" si="20"/>
        <v>4.9999999999999982</v>
      </c>
      <c r="P106" s="122">
        <v>1.0248795132953696</v>
      </c>
      <c r="Q106" s="76">
        <v>2.3303952382361024E-2</v>
      </c>
      <c r="R106" s="1">
        <f t="shared" si="19"/>
        <v>43.978785078153109</v>
      </c>
      <c r="T106" s="140">
        <f t="shared" si="21"/>
        <v>-4.9999999999999831</v>
      </c>
      <c r="U106" s="140">
        <v>-0.20326073999726185</v>
      </c>
      <c r="V106" s="140">
        <v>-1.5307914321714348E-2</v>
      </c>
      <c r="W106" s="1">
        <f t="shared" si="12"/>
        <v>1.4888390386328323E-2</v>
      </c>
      <c r="X106" s="1">
        <f t="shared" si="14"/>
        <v>5.7999999999999803</v>
      </c>
      <c r="Y106" s="1">
        <f t="shared" si="15"/>
        <v>-0.20368026393264788</v>
      </c>
      <c r="Z106" s="1">
        <f t="shared" si="13"/>
        <v>1.2797675035668352E-2</v>
      </c>
      <c r="AA106" s="1">
        <f t="shared" si="16"/>
        <v>-15.915411460673239</v>
      </c>
      <c r="AC106" s="146">
        <f t="shared" si="22"/>
        <v>1.9999999999999982</v>
      </c>
      <c r="AD106" s="147">
        <v>3.7725733166768784E-2</v>
      </c>
      <c r="AE106" s="1">
        <f t="shared" si="17"/>
        <v>11105.846042007239</v>
      </c>
      <c r="AH106" s="150">
        <f t="shared" si="23"/>
        <v>2.0000000000000013</v>
      </c>
      <c r="AI106" s="147">
        <v>0.33838154335984921</v>
      </c>
      <c r="AJ106" s="1">
        <f t="shared" si="18"/>
        <v>99614.056734133337</v>
      </c>
    </row>
    <row r="107" spans="15:36">
      <c r="O107" s="74">
        <f t="shared" si="20"/>
        <v>5.0999999999999979</v>
      </c>
      <c r="P107" s="122">
        <v>1.0373618172289516</v>
      </c>
      <c r="Q107" s="76">
        <v>2.3632365642176561E-2</v>
      </c>
      <c r="R107" s="1">
        <f t="shared" si="19"/>
        <v>43.895809371600841</v>
      </c>
      <c r="T107" s="140">
        <f t="shared" si="21"/>
        <v>-4.9499999999999833</v>
      </c>
      <c r="U107" s="140">
        <v>-0.19768828852239445</v>
      </c>
      <c r="V107" s="140">
        <v>-1.5154835178497203E-2</v>
      </c>
      <c r="W107" s="1">
        <f t="shared" si="12"/>
        <v>1.4112016635968698E-2</v>
      </c>
      <c r="X107" s="1">
        <f t="shared" si="14"/>
        <v>5.7099999999999804</v>
      </c>
      <c r="Y107" s="1">
        <f t="shared" si="15"/>
        <v>-0.19873110706492295</v>
      </c>
      <c r="Z107" s="1">
        <f t="shared" si="13"/>
        <v>1.2740393525437875E-2</v>
      </c>
      <c r="AA107" s="1">
        <f t="shared" si="16"/>
        <v>-15.598506173936473</v>
      </c>
      <c r="AC107" s="146">
        <f t="shared" si="22"/>
        <v>1.9799999999999982</v>
      </c>
      <c r="AD107" s="147">
        <v>3.7348475835101091E-2</v>
      </c>
      <c r="AE107" s="1">
        <f t="shared" si="17"/>
        <v>10994.787581587163</v>
      </c>
      <c r="AH107" s="150">
        <f t="shared" si="23"/>
        <v>2.0200000000000014</v>
      </c>
      <c r="AI107" s="147">
        <v>0.34061052394979613</v>
      </c>
      <c r="AJ107" s="1">
        <f t="shared" si="18"/>
        <v>100270.23259036239</v>
      </c>
    </row>
    <row r="108" spans="15:36">
      <c r="O108" s="74">
        <f t="shared" si="20"/>
        <v>5.1999999999999975</v>
      </c>
      <c r="P108" s="122">
        <v>1.0498441211625333</v>
      </c>
      <c r="Q108" s="76">
        <v>2.3965201739831035E-2</v>
      </c>
      <c r="R108" s="1">
        <f t="shared" si="19"/>
        <v>43.807022054717542</v>
      </c>
      <c r="T108" s="140">
        <f t="shared" si="21"/>
        <v>-4.8999999999999835</v>
      </c>
      <c r="U108" s="140">
        <v>-0.19211583704752708</v>
      </c>
      <c r="V108" s="140">
        <v>-1.5001756035280062E-2</v>
      </c>
      <c r="W108" s="1">
        <f t="shared" si="12"/>
        <v>1.3335642885609074E-2</v>
      </c>
      <c r="X108" s="1">
        <f t="shared" si="14"/>
        <v>5.6199999999999806</v>
      </c>
      <c r="Y108" s="1">
        <f t="shared" si="15"/>
        <v>-0.19378195019719807</v>
      </c>
      <c r="Z108" s="1">
        <f t="shared" si="13"/>
        <v>1.2684179825219558E-2</v>
      </c>
      <c r="AA108" s="1">
        <f t="shared" si="16"/>
        <v>-15.277452138600832</v>
      </c>
      <c r="AC108" s="146">
        <f t="shared" si="22"/>
        <v>1.9599999999999982</v>
      </c>
      <c r="AD108" s="147">
        <v>3.6971218503433406E-2</v>
      </c>
      <c r="AE108" s="1">
        <f t="shared" si="17"/>
        <v>10883.729121167091</v>
      </c>
      <c r="AH108" s="150">
        <f t="shared" si="23"/>
        <v>2.0400000000000014</v>
      </c>
      <c r="AI108" s="147">
        <v>0.3428395045397431</v>
      </c>
      <c r="AJ108" s="1">
        <f t="shared" si="18"/>
        <v>100926.40844659146</v>
      </c>
    </row>
    <row r="109" spans="15:36">
      <c r="O109" s="74">
        <f t="shared" si="20"/>
        <v>5.2999999999999972</v>
      </c>
      <c r="P109" s="122">
        <v>1.0623264250961153</v>
      </c>
      <c r="Q109" s="76">
        <v>2.4302460675324451E-2</v>
      </c>
      <c r="R109" s="1">
        <f t="shared" si="19"/>
        <v>43.712710383058059</v>
      </c>
      <c r="T109" s="140">
        <f t="shared" si="21"/>
        <v>-4.8499999999999837</v>
      </c>
      <c r="U109" s="140">
        <v>-0.18654338557265968</v>
      </c>
      <c r="V109" s="140">
        <v>-1.4848676892062918E-2</v>
      </c>
      <c r="W109" s="1">
        <f t="shared" si="12"/>
        <v>1.2559269135249455E-2</v>
      </c>
      <c r="X109" s="1">
        <f t="shared" si="14"/>
        <v>5.5299999999999807</v>
      </c>
      <c r="Y109" s="1">
        <f t="shared" si="15"/>
        <v>-0.18883279332947314</v>
      </c>
      <c r="Z109" s="1">
        <f t="shared" si="13"/>
        <v>1.2629033935013396E-2</v>
      </c>
      <c r="AA109" s="1">
        <f t="shared" si="16"/>
        <v>-14.952275391860592</v>
      </c>
      <c r="AC109" s="146">
        <f t="shared" si="22"/>
        <v>1.9399999999999982</v>
      </c>
      <c r="AD109" s="147">
        <v>3.6593961171765714E-2</v>
      </c>
      <c r="AE109" s="1">
        <f t="shared" si="17"/>
        <v>10772.670660747019</v>
      </c>
      <c r="AH109" s="150">
        <f t="shared" si="23"/>
        <v>2.0600000000000014</v>
      </c>
      <c r="AI109" s="147">
        <v>0.34506848512969007</v>
      </c>
      <c r="AJ109" s="1">
        <f t="shared" si="18"/>
        <v>101582.58430282053</v>
      </c>
    </row>
    <row r="110" spans="15:36">
      <c r="O110" s="74">
        <f t="shared" si="20"/>
        <v>5.3999999999999968</v>
      </c>
      <c r="P110" s="122">
        <v>1.0748087290296973</v>
      </c>
      <c r="Q110" s="76">
        <v>2.4644142448656814E-2</v>
      </c>
      <c r="R110" s="1">
        <f t="shared" si="19"/>
        <v>43.613151939408539</v>
      </c>
      <c r="T110" s="140">
        <f t="shared" si="21"/>
        <v>-4.7999999999999838</v>
      </c>
      <c r="U110" s="140">
        <v>-0.18097093409779227</v>
      </c>
      <c r="V110" s="140">
        <v>-1.4695597748845773E-2</v>
      </c>
      <c r="W110" s="1">
        <f t="shared" si="12"/>
        <v>1.178289538488983E-2</v>
      </c>
      <c r="X110" s="1">
        <f t="shared" si="14"/>
        <v>5.4399999999999809</v>
      </c>
      <c r="Y110" s="1">
        <f t="shared" si="15"/>
        <v>-0.18388363646174821</v>
      </c>
      <c r="Z110" s="1">
        <f t="shared" si="13"/>
        <v>1.2574955854819393E-2</v>
      </c>
      <c r="AA110" s="1">
        <f t="shared" si="16"/>
        <v>-14.623004532558594</v>
      </c>
      <c r="AC110" s="146">
        <f t="shared" si="22"/>
        <v>1.9199999999999982</v>
      </c>
      <c r="AD110" s="147">
        <v>3.6216703840098029E-2</v>
      </c>
      <c r="AE110" s="1">
        <f t="shared" si="17"/>
        <v>10661.612200326948</v>
      </c>
      <c r="AH110" s="150">
        <f t="shared" si="23"/>
        <v>2.0800000000000014</v>
      </c>
      <c r="AI110" s="147">
        <v>0.3472974657196371</v>
      </c>
      <c r="AJ110" s="1">
        <f t="shared" si="18"/>
        <v>102238.76015904959</v>
      </c>
    </row>
    <row r="111" spans="15:36">
      <c r="O111" s="74">
        <f t="shared" si="20"/>
        <v>5.4999999999999964</v>
      </c>
      <c r="P111" s="122">
        <v>1.0872910329632792</v>
      </c>
      <c r="Q111" s="76">
        <v>2.4990247059828111E-2</v>
      </c>
      <c r="R111" s="1">
        <f t="shared" si="19"/>
        <v>43.508614795213546</v>
      </c>
      <c r="T111" s="140">
        <f t="shared" si="21"/>
        <v>-4.749999999999984</v>
      </c>
      <c r="U111" s="140">
        <v>-0.17539848262292487</v>
      </c>
      <c r="V111" s="140">
        <v>-1.4542518605628631E-2</v>
      </c>
      <c r="W111" s="1">
        <f t="shared" si="12"/>
        <v>1.1006521634530206E-2</v>
      </c>
      <c r="X111" s="1">
        <f t="shared" si="14"/>
        <v>5.349999999999981</v>
      </c>
      <c r="Y111" s="1">
        <f t="shared" si="15"/>
        <v>-0.17893447959402331</v>
      </c>
      <c r="Z111" s="1">
        <f t="shared" si="13"/>
        <v>1.2521945584637548E-2</v>
      </c>
      <c r="AA111" s="1">
        <f t="shared" si="16"/>
        <v>-14.289670753205291</v>
      </c>
      <c r="AC111" s="146">
        <f t="shared" si="22"/>
        <v>1.8999999999999981</v>
      </c>
      <c r="AD111" s="147">
        <v>3.5839446508430343E-2</v>
      </c>
      <c r="AE111" s="1">
        <f t="shared" si="17"/>
        <v>10550.553739906876</v>
      </c>
      <c r="AH111" s="150">
        <f t="shared" si="23"/>
        <v>2.1000000000000014</v>
      </c>
      <c r="AI111" s="147">
        <v>0.34952644630958402</v>
      </c>
      <c r="AJ111" s="1">
        <f t="shared" si="18"/>
        <v>102894.93601527862</v>
      </c>
    </row>
    <row r="112" spans="15:36">
      <c r="O112" s="74">
        <f t="shared" si="20"/>
        <v>5.5999999999999961</v>
      </c>
      <c r="P112" s="122">
        <v>1.0997733368968612</v>
      </c>
      <c r="Q112" s="76">
        <v>2.5340774508838353E-2</v>
      </c>
      <c r="R112" s="1">
        <f t="shared" si="19"/>
        <v>43.399357683928812</v>
      </c>
      <c r="T112" s="140">
        <f t="shared" si="21"/>
        <v>-4.6999999999999842</v>
      </c>
      <c r="U112" s="140">
        <v>-0.16982603114805747</v>
      </c>
      <c r="V112" s="140">
        <v>-1.4389439462411488E-2</v>
      </c>
      <c r="W112" s="1">
        <f t="shared" si="12"/>
        <v>1.0230147884170584E-2</v>
      </c>
      <c r="X112" s="1">
        <f t="shared" si="14"/>
        <v>5.2599999999999811</v>
      </c>
      <c r="Y112" s="1">
        <f t="shared" si="15"/>
        <v>-0.17398532272629835</v>
      </c>
      <c r="Z112" s="1">
        <f t="shared" si="13"/>
        <v>1.2470003124467862E-2</v>
      </c>
      <c r="AA112" s="1">
        <f t="shared" si="16"/>
        <v>-13.952307869507683</v>
      </c>
      <c r="AC112" s="146">
        <f t="shared" si="22"/>
        <v>1.8799999999999981</v>
      </c>
      <c r="AD112" s="147">
        <v>3.5462189176762644E-2</v>
      </c>
      <c r="AE112" s="1">
        <f t="shared" si="17"/>
        <v>10439.4952794868</v>
      </c>
      <c r="AH112" s="150">
        <f t="shared" si="23"/>
        <v>2.1200000000000014</v>
      </c>
      <c r="AI112" s="147">
        <v>0.35175542689953099</v>
      </c>
      <c r="AJ112" s="1">
        <f t="shared" si="18"/>
        <v>103551.11187150769</v>
      </c>
    </row>
    <row r="113" spans="15:36">
      <c r="O113" s="74">
        <f t="shared" si="20"/>
        <v>5.6999999999999957</v>
      </c>
      <c r="P113" s="122">
        <v>1.1122556408304431</v>
      </c>
      <c r="Q113" s="76">
        <v>2.569572479568754E-2</v>
      </c>
      <c r="R113" s="1">
        <f t="shared" si="19"/>
        <v>43.28563018456326</v>
      </c>
      <c r="T113" s="140">
        <f t="shared" si="21"/>
        <v>-4.6499999999999844</v>
      </c>
      <c r="U113" s="140">
        <v>-0.1642535796731901</v>
      </c>
      <c r="V113" s="140">
        <v>-1.4236360319194343E-2</v>
      </c>
      <c r="W113" s="1">
        <f t="shared" si="12"/>
        <v>9.4537741338109622E-3</v>
      </c>
      <c r="X113" s="1">
        <f t="shared" si="14"/>
        <v>5.1699999999999813</v>
      </c>
      <c r="Y113" s="1">
        <f t="shared" si="15"/>
        <v>-0.16903616585857348</v>
      </c>
      <c r="Z113" s="1">
        <f t="shared" si="13"/>
        <v>1.2419128474310336E-2</v>
      </c>
      <c r="AA113" s="1">
        <f t="shared" si="16"/>
        <v>-13.61095234727898</v>
      </c>
      <c r="AC113" s="146">
        <f t="shared" si="22"/>
        <v>1.8599999999999981</v>
      </c>
      <c r="AD113" s="147">
        <v>3.5084931845094959E-2</v>
      </c>
      <c r="AE113" s="1">
        <f t="shared" si="17"/>
        <v>10328.436819066728</v>
      </c>
      <c r="AH113" s="150">
        <f t="shared" si="23"/>
        <v>2.1400000000000015</v>
      </c>
      <c r="AI113" s="147">
        <v>0.35398440748947796</v>
      </c>
      <c r="AJ113" s="1">
        <f t="shared" si="18"/>
        <v>104207.28772773674</v>
      </c>
    </row>
    <row r="114" spans="15:36">
      <c r="O114" s="74">
        <f t="shared" si="20"/>
        <v>5.7999999999999954</v>
      </c>
      <c r="P114" s="122">
        <v>1.1247379447640251</v>
      </c>
      <c r="Q114" s="76">
        <v>2.6055097920375671E-2</v>
      </c>
      <c r="R114" s="1">
        <f t="shared" si="19"/>
        <v>43.167672913808353</v>
      </c>
      <c r="T114" s="140">
        <f t="shared" si="21"/>
        <v>-4.5999999999999845</v>
      </c>
      <c r="U114" s="140">
        <v>-0.1586811281983227</v>
      </c>
      <c r="V114" s="140">
        <v>-1.4083281175977201E-2</v>
      </c>
      <c r="W114" s="1">
        <f t="shared" si="12"/>
        <v>8.6774003834513402E-3</v>
      </c>
      <c r="X114" s="1">
        <f t="shared" si="14"/>
        <v>5.0799999999999814</v>
      </c>
      <c r="Y114" s="1">
        <f t="shared" si="15"/>
        <v>-0.16408700899084858</v>
      </c>
      <c r="Z114" s="1">
        <f t="shared" si="13"/>
        <v>1.2369321634164966E-2</v>
      </c>
      <c r="AA114" s="1">
        <f t="shared" si="16"/>
        <v>-13.265643326601543</v>
      </c>
      <c r="AC114" s="146">
        <f t="shared" si="22"/>
        <v>1.8399999999999981</v>
      </c>
      <c r="AD114" s="147">
        <v>3.4707674513427274E-2</v>
      </c>
      <c r="AE114" s="1">
        <f t="shared" si="17"/>
        <v>10217.378358646656</v>
      </c>
      <c r="AH114" s="150">
        <f t="shared" si="23"/>
        <v>2.1600000000000015</v>
      </c>
      <c r="AI114" s="147">
        <v>0.35621338807942493</v>
      </c>
      <c r="AJ114" s="1">
        <f t="shared" si="18"/>
        <v>104863.46358396579</v>
      </c>
    </row>
    <row r="115" spans="15:36">
      <c r="O115" s="74">
        <f t="shared" si="20"/>
        <v>5.899999999999995</v>
      </c>
      <c r="P115" s="122">
        <v>1.1372202486976069</v>
      </c>
      <c r="Q115" s="76">
        <v>2.6418893882902732E-2</v>
      </c>
      <c r="R115" s="1">
        <f t="shared" si="19"/>
        <v>43.045717725281868</v>
      </c>
      <c r="T115" s="140">
        <f t="shared" si="21"/>
        <v>-4.5499999999999847</v>
      </c>
      <c r="U115" s="140">
        <v>-0.15310867672345529</v>
      </c>
      <c r="V115" s="140">
        <v>-1.3930202032760058E-2</v>
      </c>
      <c r="W115" s="1">
        <f t="shared" si="12"/>
        <v>7.9010266330917147E-3</v>
      </c>
      <c r="X115" s="1">
        <f t="shared" si="14"/>
        <v>4.9699999999999811</v>
      </c>
      <c r="Y115" s="1">
        <f t="shared" si="15"/>
        <v>-0.15913785212312362</v>
      </c>
      <c r="Z115" s="1">
        <f t="shared" si="13"/>
        <v>1.2320582604031753E-2</v>
      </c>
      <c r="AA115" s="1">
        <f t="shared" si="16"/>
        <v>-12.916422643118175</v>
      </c>
      <c r="AC115" s="146">
        <f t="shared" si="22"/>
        <v>1.8199999999999981</v>
      </c>
      <c r="AD115" s="147">
        <v>3.4330417181759589E-2</v>
      </c>
      <c r="AE115" s="1">
        <f t="shared" si="17"/>
        <v>10106.319898226586</v>
      </c>
      <c r="AH115" s="150">
        <f t="shared" si="23"/>
        <v>2.1800000000000015</v>
      </c>
      <c r="AI115" s="147">
        <v>0.3584423686693719</v>
      </c>
      <c r="AJ115" s="1">
        <f t="shared" si="18"/>
        <v>105519.63944019488</v>
      </c>
    </row>
    <row r="116" spans="15:36">
      <c r="O116" s="74">
        <f t="shared" si="20"/>
        <v>5.9999999999999947</v>
      </c>
      <c r="P116" s="122">
        <v>1.149702552631189</v>
      </c>
      <c r="Q116" s="76">
        <v>2.6787112683268752E-2</v>
      </c>
      <c r="R116" s="1">
        <f t="shared" si="19"/>
        <v>42.919987914535263</v>
      </c>
      <c r="T116" s="140">
        <f t="shared" si="21"/>
        <v>-4.4999999999999849</v>
      </c>
      <c r="U116" s="140">
        <v>-0.14753622524858787</v>
      </c>
      <c r="V116" s="140">
        <v>-1.3777122889542913E-2</v>
      </c>
      <c r="W116" s="1">
        <f t="shared" si="12"/>
        <v>7.1246528827320884E-3</v>
      </c>
      <c r="X116" s="1">
        <f t="shared" si="14"/>
        <v>4.8799999999999812</v>
      </c>
      <c r="Y116" s="1">
        <f t="shared" si="15"/>
        <v>-0.15418869525539869</v>
      </c>
      <c r="Z116" s="1">
        <f t="shared" si="13"/>
        <v>1.2272911383910699E-2</v>
      </c>
      <c r="AA116" s="1">
        <f t="shared" si="16"/>
        <v>-12.56333484632945</v>
      </c>
      <c r="AC116" s="146">
        <f t="shared" si="22"/>
        <v>1.799999999999998</v>
      </c>
      <c r="AD116" s="147">
        <v>3.3953159850091896E-2</v>
      </c>
      <c r="AE116" s="1">
        <f t="shared" si="17"/>
        <v>9995.2614378065118</v>
      </c>
      <c r="AH116" s="150">
        <f t="shared" si="23"/>
        <v>2.2000000000000015</v>
      </c>
      <c r="AI116" s="147">
        <v>0.36067134925931887</v>
      </c>
      <c r="AJ116" s="1">
        <f t="shared" si="18"/>
        <v>106175.81529642393</v>
      </c>
    </row>
    <row r="117" spans="15:36">
      <c r="O117" s="74">
        <f t="shared" si="20"/>
        <v>6.0999999999999943</v>
      </c>
      <c r="P117" s="122">
        <v>1.162184856564771</v>
      </c>
      <c r="Q117" s="76">
        <v>2.7159754321473707E-2</v>
      </c>
      <c r="R117" s="1">
        <f t="shared" si="19"/>
        <v>42.790698428589835</v>
      </c>
      <c r="T117" s="140">
        <f t="shared" si="21"/>
        <v>-4.4499999999999851</v>
      </c>
      <c r="U117" s="140">
        <v>-0.14196377377372049</v>
      </c>
      <c r="V117" s="140">
        <v>-1.3624043746325769E-2</v>
      </c>
      <c r="W117" s="1">
        <f t="shared" si="12"/>
        <v>6.3482791323724664E-3</v>
      </c>
      <c r="X117" s="1">
        <f t="shared" si="14"/>
        <v>4.7899999999999814</v>
      </c>
      <c r="Y117" s="1">
        <f t="shared" si="15"/>
        <v>-0.14923953838767381</v>
      </c>
      <c r="Z117" s="1">
        <f t="shared" si="13"/>
        <v>1.2226307973801802E-2</v>
      </c>
      <c r="AA117" s="1">
        <f t="shared" si="16"/>
        <v>-12.206427214778182</v>
      </c>
      <c r="AC117" s="146">
        <f t="shared" si="22"/>
        <v>1.779999999999998</v>
      </c>
      <c r="AD117" s="147">
        <v>3.3575902518424211E-2</v>
      </c>
      <c r="AE117" s="1">
        <f t="shared" si="17"/>
        <v>9884.2029773864397</v>
      </c>
      <c r="AH117" s="150">
        <f t="shared" si="23"/>
        <v>2.2200000000000015</v>
      </c>
      <c r="AI117" s="147">
        <v>0.36290032984926585</v>
      </c>
      <c r="AJ117" s="1">
        <f t="shared" si="18"/>
        <v>106831.99115265299</v>
      </c>
    </row>
    <row r="118" spans="15:36">
      <c r="O118" s="74">
        <f t="shared" si="20"/>
        <v>6.199999999999994</v>
      </c>
      <c r="P118" s="122">
        <v>1.1746671604983527</v>
      </c>
      <c r="Q118" s="76">
        <v>2.7536818797517598E-2</v>
      </c>
      <c r="R118" s="1">
        <f t="shared" si="19"/>
        <v>42.658056078876008</v>
      </c>
      <c r="T118" s="140">
        <f t="shared" si="21"/>
        <v>-4.3999999999999853</v>
      </c>
      <c r="U118" s="140">
        <v>-0.13639132229885309</v>
      </c>
      <c r="V118" s="140">
        <v>-1.3470964603108627E-2</v>
      </c>
      <c r="W118" s="1">
        <f t="shared" si="12"/>
        <v>5.5719053820128409E-3</v>
      </c>
      <c r="X118" s="1">
        <f t="shared" si="14"/>
        <v>4.6999999999999815</v>
      </c>
      <c r="Y118" s="1">
        <f t="shared" si="15"/>
        <v>-0.14429038151994886</v>
      </c>
      <c r="Z118" s="1">
        <f t="shared" si="13"/>
        <v>1.2180772373705066E-2</v>
      </c>
      <c r="AA118" s="1">
        <f t="shared" si="16"/>
        <v>-11.845749768005851</v>
      </c>
      <c r="AC118" s="146">
        <f t="shared" si="22"/>
        <v>1.759999999999998</v>
      </c>
      <c r="AD118" s="147">
        <v>3.3198645186756519E-2</v>
      </c>
      <c r="AE118" s="1">
        <f t="shared" si="17"/>
        <v>9773.1445169663657</v>
      </c>
      <c r="AH118" s="150">
        <f t="shared" si="23"/>
        <v>2.2400000000000015</v>
      </c>
      <c r="AI118" s="147">
        <v>0.36512931043921282</v>
      </c>
      <c r="AJ118" s="1">
        <f t="shared" si="18"/>
        <v>107488.16700888204</v>
      </c>
    </row>
    <row r="119" spans="15:36">
      <c r="O119" s="74">
        <f t="shared" si="20"/>
        <v>6.2999999999999936</v>
      </c>
      <c r="P119" s="122">
        <v>1.1871494644319345</v>
      </c>
      <c r="Q119" s="76">
        <v>2.7918306111400431E-2</v>
      </c>
      <c r="R119" s="1">
        <f t="shared" si="19"/>
        <v>42.522259756553154</v>
      </c>
      <c r="T119" s="140">
        <f t="shared" si="21"/>
        <v>-4.3499999999999854</v>
      </c>
      <c r="U119" s="140">
        <v>-0.13081887082398569</v>
      </c>
      <c r="V119" s="140">
        <v>-1.3317885459891482E-2</v>
      </c>
      <c r="W119" s="1">
        <f t="shared" si="12"/>
        <v>4.7955316316532189E-3</v>
      </c>
      <c r="X119" s="1">
        <f t="shared" si="14"/>
        <v>4.6099999999999817</v>
      </c>
      <c r="Y119" s="1">
        <f t="shared" si="15"/>
        <v>-0.13934122465222396</v>
      </c>
      <c r="Z119" s="1">
        <f t="shared" si="13"/>
        <v>1.2136304583620486E-2</v>
      </c>
      <c r="AA119" s="1">
        <f t="shared" si="16"/>
        <v>-11.48135527517025</v>
      </c>
      <c r="AC119" s="146">
        <f t="shared" si="22"/>
        <v>1.739999999999998</v>
      </c>
      <c r="AD119" s="147">
        <v>3.2821387855088834E-2</v>
      </c>
      <c r="AE119" s="1">
        <f t="shared" si="17"/>
        <v>9662.0860565462935</v>
      </c>
      <c r="AH119" s="150">
        <f t="shared" si="23"/>
        <v>2.2600000000000016</v>
      </c>
      <c r="AI119" s="147">
        <v>0.36735829102915979</v>
      </c>
      <c r="AJ119" s="1">
        <f t="shared" si="18"/>
        <v>108144.3428651111</v>
      </c>
    </row>
    <row r="120" spans="15:36">
      <c r="O120" s="74">
        <f t="shared" si="20"/>
        <v>6.3999999999999932</v>
      </c>
      <c r="P120" s="122">
        <v>1.1996317683655167</v>
      </c>
      <c r="Q120" s="76">
        <v>2.8304216263122215E-2</v>
      </c>
      <c r="R120" s="1">
        <f t="shared" si="19"/>
        <v>42.383500649284052</v>
      </c>
      <c r="T120" s="140">
        <f t="shared" si="21"/>
        <v>-4.2999999999999856</v>
      </c>
      <c r="U120" s="140">
        <v>-0.12524641934911829</v>
      </c>
      <c r="V120" s="140">
        <v>-1.3164806316674339E-2</v>
      </c>
      <c r="W120" s="1">
        <f t="shared" si="12"/>
        <v>4.0191578812935943E-3</v>
      </c>
      <c r="X120" s="1">
        <f t="shared" si="14"/>
        <v>4.5199999999999827</v>
      </c>
      <c r="Y120" s="1">
        <f t="shared" si="15"/>
        <v>-0.13439206778449903</v>
      </c>
      <c r="Z120" s="1">
        <f t="shared" si="13"/>
        <v>1.2092904603548064E-2</v>
      </c>
      <c r="AA120" s="1">
        <f t="shared" si="16"/>
        <v>-11.113299260218122</v>
      </c>
      <c r="AC120" s="146">
        <f t="shared" si="22"/>
        <v>1.719999999999998</v>
      </c>
      <c r="AD120" s="147">
        <v>3.2444130523421141E-2</v>
      </c>
      <c r="AE120" s="1">
        <f t="shared" si="17"/>
        <v>9551.0275961262196</v>
      </c>
      <c r="AH120" s="150">
        <f t="shared" si="23"/>
        <v>2.2800000000000016</v>
      </c>
      <c r="AI120" s="147">
        <v>0.36958727161910676</v>
      </c>
      <c r="AJ120" s="1">
        <f t="shared" si="18"/>
        <v>108800.51872134015</v>
      </c>
    </row>
    <row r="121" spans="15:36">
      <c r="O121" s="74">
        <f t="shared" si="20"/>
        <v>6.4999999999999929</v>
      </c>
      <c r="P121" s="122">
        <v>1.2121140722990984</v>
      </c>
      <c r="Q121" s="76">
        <v>2.8694549252682933E-2</v>
      </c>
      <c r="R121" s="1">
        <f t="shared" si="19"/>
        <v>42.241962458628478</v>
      </c>
      <c r="T121" s="140">
        <f t="shared" si="21"/>
        <v>-4.2499999999999858</v>
      </c>
      <c r="U121" s="140">
        <v>-0.11967396787425091</v>
      </c>
      <c r="V121" s="140">
        <v>-1.3011727173457197E-2</v>
      </c>
      <c r="W121" s="1">
        <f t="shared" si="12"/>
        <v>3.2427841309339753E-3</v>
      </c>
      <c r="X121" s="1">
        <f t="shared" si="14"/>
        <v>4.4299999999999828</v>
      </c>
      <c r="Y121" s="1">
        <f t="shared" si="15"/>
        <v>-0.12944291091677412</v>
      </c>
      <c r="Z121" s="1">
        <f t="shared" si="13"/>
        <v>1.2050572433487804E-2</v>
      </c>
      <c r="AA121" s="1">
        <f t="shared" si="16"/>
        <v>-10.741640003512215</v>
      </c>
      <c r="AC121" s="146">
        <f t="shared" si="22"/>
        <v>1.699999999999998</v>
      </c>
      <c r="AD121" s="147">
        <v>3.2066873191753456E-2</v>
      </c>
      <c r="AE121" s="1">
        <f t="shared" si="17"/>
        <v>9439.9691357061492</v>
      </c>
      <c r="AH121" s="150">
        <f t="shared" si="23"/>
        <v>2.3000000000000016</v>
      </c>
      <c r="AI121" s="147">
        <v>0.37181625220905368</v>
      </c>
      <c r="AJ121" s="1">
        <f t="shared" si="18"/>
        <v>109456.6945775692</v>
      </c>
    </row>
    <row r="122" spans="15:36">
      <c r="O122" s="74">
        <f t="shared" si="20"/>
        <v>6.5999999999999925</v>
      </c>
      <c r="P122" s="122">
        <v>1.2245963762326806</v>
      </c>
      <c r="Q122" s="76">
        <v>2.90893050800826E-2</v>
      </c>
      <c r="R122" s="1">
        <f t="shared" si="19"/>
        <v>42.097821617304973</v>
      </c>
      <c r="T122" s="140">
        <f t="shared" si="21"/>
        <v>-4.199999999999986</v>
      </c>
      <c r="U122" s="140">
        <v>-0.11410151639938351</v>
      </c>
      <c r="V122" s="140">
        <v>-1.2858648030240052E-2</v>
      </c>
      <c r="W122" s="1">
        <f t="shared" si="12"/>
        <v>2.4664103805743507E-3</v>
      </c>
      <c r="X122" s="1">
        <f t="shared" si="14"/>
        <v>4.339999999999983</v>
      </c>
      <c r="Y122" s="1">
        <f t="shared" si="15"/>
        <v>-0.12449375404904922</v>
      </c>
      <c r="Z122" s="1">
        <f t="shared" si="13"/>
        <v>1.2009308073439697E-2</v>
      </c>
      <c r="AA122" s="1">
        <f t="shared" si="16"/>
        <v>-10.366438539817707</v>
      </c>
      <c r="AC122" s="146">
        <f t="shared" si="22"/>
        <v>1.6799999999999979</v>
      </c>
      <c r="AD122" s="147">
        <v>3.1689615860085764E-2</v>
      </c>
      <c r="AE122" s="1">
        <f t="shared" si="17"/>
        <v>9328.9106752860753</v>
      </c>
      <c r="AH122" s="150">
        <f t="shared" si="23"/>
        <v>2.3200000000000016</v>
      </c>
      <c r="AI122" s="147">
        <v>0.3740452327990007</v>
      </c>
      <c r="AJ122" s="1">
        <f t="shared" si="18"/>
        <v>110112.87043379829</v>
      </c>
    </row>
    <row r="123" spans="15:36">
      <c r="O123" s="74">
        <f t="shared" si="20"/>
        <v>6.6999999999999922</v>
      </c>
      <c r="P123" s="122">
        <v>1.2370786801662625</v>
      </c>
      <c r="Q123" s="76">
        <v>2.9488483745321203E-2</v>
      </c>
      <c r="R123" s="1">
        <f t="shared" si="19"/>
        <v>41.951247505648503</v>
      </c>
      <c r="T123" s="140">
        <f t="shared" si="21"/>
        <v>-4.1499999999999861</v>
      </c>
      <c r="U123" s="140">
        <v>-0.10852906492451611</v>
      </c>
      <c r="V123" s="140">
        <v>-1.2705568887022909E-2</v>
      </c>
      <c r="W123" s="1">
        <f t="shared" si="12"/>
        <v>1.6900366302147289E-3</v>
      </c>
      <c r="X123" s="1">
        <f t="shared" si="14"/>
        <v>4.2499999999999831</v>
      </c>
      <c r="Y123" s="1">
        <f t="shared" si="15"/>
        <v>-0.11954459718132429</v>
      </c>
      <c r="Z123" s="1">
        <f t="shared" si="13"/>
        <v>1.196911152340375E-2</v>
      </c>
      <c r="AA123" s="1">
        <f t="shared" si="16"/>
        <v>-9.9877586525594051</v>
      </c>
      <c r="AC123" s="146">
        <f t="shared" si="22"/>
        <v>1.6599999999999979</v>
      </c>
      <c r="AD123" s="147">
        <v>3.1312358528418079E-2</v>
      </c>
      <c r="AE123" s="1">
        <f t="shared" si="17"/>
        <v>9217.8522148660031</v>
      </c>
      <c r="AH123" s="150">
        <f t="shared" si="23"/>
        <v>2.3400000000000016</v>
      </c>
      <c r="AI123" s="147">
        <v>0.37627421338894768</v>
      </c>
      <c r="AJ123" s="1">
        <f t="shared" si="18"/>
        <v>110769.04629002734</v>
      </c>
    </row>
    <row r="124" spans="15:36">
      <c r="O124" s="74">
        <f t="shared" si="20"/>
        <v>6.7999999999999918</v>
      </c>
      <c r="P124" s="122">
        <v>1.2495609840998447</v>
      </c>
      <c r="Q124" s="76">
        <v>2.9892085248398755E-2</v>
      </c>
      <c r="R124" s="1">
        <f t="shared" si="19"/>
        <v>41.802402666665103</v>
      </c>
      <c r="T124" s="140">
        <f t="shared" si="21"/>
        <v>-4.0999999999999863</v>
      </c>
      <c r="U124" s="140">
        <v>-0.1029566134496487</v>
      </c>
      <c r="V124" s="140">
        <v>-1.2552489743805767E-2</v>
      </c>
      <c r="W124" s="1">
        <f t="shared" si="12"/>
        <v>9.1366287985510141E-4</v>
      </c>
      <c r="X124" s="1">
        <f t="shared" si="14"/>
        <v>4.1599999999999833</v>
      </c>
      <c r="Y124" s="1">
        <f t="shared" si="15"/>
        <v>-0.11459544031359936</v>
      </c>
      <c r="Z124" s="1">
        <f t="shared" si="13"/>
        <v>1.1929982783379962E-2</v>
      </c>
      <c r="AA124" s="1">
        <f t="shared" si="16"/>
        <v>-9.605666864267894</v>
      </c>
      <c r="AC124" s="146">
        <f t="shared" si="22"/>
        <v>1.6399999999999979</v>
      </c>
      <c r="AD124" s="147">
        <v>3.093510119675039E-2</v>
      </c>
      <c r="AE124" s="1">
        <f t="shared" si="17"/>
        <v>9106.793754445931</v>
      </c>
      <c r="AH124" s="150">
        <f t="shared" si="23"/>
        <v>2.3600000000000017</v>
      </c>
      <c r="AI124" s="147">
        <v>0.37850319397889465</v>
      </c>
      <c r="AJ124" s="1">
        <f t="shared" si="18"/>
        <v>111425.2221462564</v>
      </c>
    </row>
    <row r="125" spans="15:36">
      <c r="O125" s="74">
        <f t="shared" si="20"/>
        <v>6.8999999999999915</v>
      </c>
      <c r="P125" s="122">
        <v>1.2620432880334262</v>
      </c>
      <c r="Q125" s="76">
        <v>3.0300109589315234E-2</v>
      </c>
      <c r="R125" s="1">
        <f t="shared" si="19"/>
        <v>41.651443019152055</v>
      </c>
      <c r="T125" s="140">
        <f t="shared" si="21"/>
        <v>-4.0499999999999865</v>
      </c>
      <c r="U125" s="140">
        <v>-9.7384161974781308E-2</v>
      </c>
      <c r="V125" s="140">
        <v>-1.2399410600588622E-2</v>
      </c>
      <c r="W125" s="1">
        <f t="shared" si="12"/>
        <v>1.3728912949547957E-4</v>
      </c>
      <c r="X125" s="1">
        <f t="shared" si="14"/>
        <v>4.0699999999999834</v>
      </c>
      <c r="Y125" s="1">
        <f t="shared" si="15"/>
        <v>-0.10964628344587445</v>
      </c>
      <c r="Z125" s="1">
        <f t="shared" si="13"/>
        <v>1.1891921853368331E-2</v>
      </c>
      <c r="AA125" s="1">
        <f t="shared" si="16"/>
        <v>-9.2202324231400539</v>
      </c>
      <c r="AC125" s="146">
        <f t="shared" si="22"/>
        <v>1.6199999999999979</v>
      </c>
      <c r="AD125" s="147">
        <v>3.0557843865082698E-2</v>
      </c>
      <c r="AE125" s="1">
        <f t="shared" si="17"/>
        <v>8995.735294025857</v>
      </c>
      <c r="AH125" s="150">
        <f t="shared" si="23"/>
        <v>2.3800000000000017</v>
      </c>
      <c r="AI125" s="147">
        <v>0.38073217456884156</v>
      </c>
      <c r="AJ125" s="1">
        <f t="shared" si="18"/>
        <v>112081.39800248545</v>
      </c>
    </row>
    <row r="126" spans="15:36">
      <c r="O126" s="74">
        <f t="shared" si="20"/>
        <v>6.9999999999999911</v>
      </c>
      <c r="P126" s="122">
        <v>1.2745255919670082</v>
      </c>
      <c r="Q126" s="76">
        <v>3.0712556768070668E-2</v>
      </c>
      <c r="R126" s="1">
        <f t="shared" si="19"/>
        <v>41.498518068415201</v>
      </c>
      <c r="T126" s="140">
        <f t="shared" si="21"/>
        <v>-3.9999999999999867</v>
      </c>
      <c r="U126" s="140">
        <v>-9.1811710499913921E-2</v>
      </c>
      <c r="V126" s="140">
        <v>-1.2246331457371478E-2</v>
      </c>
      <c r="W126" s="1">
        <f t="shared" si="12"/>
        <v>-6.3908462086414227E-4</v>
      </c>
      <c r="X126" s="1">
        <f t="shared" si="14"/>
        <v>3.9799999999999836</v>
      </c>
      <c r="Y126" s="1">
        <f t="shared" si="15"/>
        <v>-0.10469712657814953</v>
      </c>
      <c r="Z126" s="1">
        <f t="shared" si="13"/>
        <v>1.1854928733368858E-2</v>
      </c>
      <c r="AA126" s="1">
        <f t="shared" si="16"/>
        <v>-8.8315272856471552</v>
      </c>
      <c r="AC126" s="146">
        <f t="shared" si="22"/>
        <v>1.5999999999999979</v>
      </c>
      <c r="AD126" s="147">
        <v>3.0180586533415012E-2</v>
      </c>
      <c r="AE126" s="1">
        <f t="shared" si="17"/>
        <v>8884.6768336057849</v>
      </c>
      <c r="AH126" s="150">
        <f t="shared" si="23"/>
        <v>2.4000000000000017</v>
      </c>
      <c r="AI126" s="147">
        <v>0.38296115515878854</v>
      </c>
      <c r="AJ126" s="1">
        <f t="shared" si="18"/>
        <v>112737.57385871452</v>
      </c>
    </row>
    <row r="127" spans="15:36">
      <c r="O127" s="74">
        <f t="shared" si="20"/>
        <v>7.0999999999999908</v>
      </c>
      <c r="P127" s="122">
        <v>1.2870078959005899</v>
      </c>
      <c r="Q127" s="76">
        <v>3.112942678466504E-2</v>
      </c>
      <c r="R127" s="1">
        <f t="shared" si="19"/>
        <v>41.343771114172746</v>
      </c>
      <c r="T127" s="140">
        <f t="shared" si="21"/>
        <v>-3.9499999999999869</v>
      </c>
      <c r="U127" s="140">
        <v>-8.6239259025046519E-2</v>
      </c>
      <c r="V127" s="140">
        <v>-1.2093252314154337E-2</v>
      </c>
      <c r="W127" s="1">
        <f t="shared" si="12"/>
        <v>-1.4154583712237656E-3</v>
      </c>
      <c r="X127" s="1">
        <f t="shared" si="14"/>
        <v>3.8899999999999837</v>
      </c>
      <c r="Y127" s="1">
        <f t="shared" si="15"/>
        <v>-9.9747969710424628E-2</v>
      </c>
      <c r="Z127" s="1">
        <f t="shared" si="13"/>
        <v>1.1819003423381545E-2</v>
      </c>
      <c r="AA127" s="1">
        <f t="shared" si="16"/>
        <v>-8.4396260951319402</v>
      </c>
      <c r="AC127" s="146">
        <f t="shared" si="22"/>
        <v>1.5799999999999979</v>
      </c>
      <c r="AD127" s="147">
        <v>2.9803329201747324E-2</v>
      </c>
      <c r="AE127" s="1">
        <f t="shared" si="17"/>
        <v>8773.6183731857145</v>
      </c>
      <c r="AH127" s="150">
        <f t="shared" si="23"/>
        <v>2.4200000000000017</v>
      </c>
      <c r="AI127" s="147">
        <v>0.38519013574873551</v>
      </c>
      <c r="AJ127" s="1">
        <f t="shared" si="18"/>
        <v>113393.74971494357</v>
      </c>
    </row>
    <row r="128" spans="15:36">
      <c r="O128" s="74">
        <f t="shared" si="20"/>
        <v>7.1999999999999904</v>
      </c>
      <c r="P128" s="122">
        <v>1.2994901998341721</v>
      </c>
      <c r="Q128" s="76">
        <v>3.1550719639098362E-2</v>
      </c>
      <c r="R128" s="1">
        <f t="shared" si="19"/>
        <v>41.187339455288196</v>
      </c>
      <c r="T128" s="140">
        <f t="shared" si="21"/>
        <v>-3.899999999999987</v>
      </c>
      <c r="U128" s="140">
        <v>-8.0666807550179118E-2</v>
      </c>
      <c r="V128" s="140">
        <v>-1.1940173170937192E-2</v>
      </c>
      <c r="W128" s="1">
        <f t="shared" si="12"/>
        <v>-2.19183212158339E-3</v>
      </c>
      <c r="X128" s="1">
        <f t="shared" si="14"/>
        <v>3.7999999999999838</v>
      </c>
      <c r="Y128" s="1">
        <f t="shared" si="15"/>
        <v>-9.4798812842699698E-2</v>
      </c>
      <c r="Z128" s="1">
        <f t="shared" si="13"/>
        <v>1.1784145923406387E-2</v>
      </c>
      <c r="AA128" s="1">
        <f t="shared" si="16"/>
        <v>-8.0446061563447326</v>
      </c>
      <c r="AC128" s="146">
        <f t="shared" si="22"/>
        <v>1.5599999999999978</v>
      </c>
      <c r="AD128" s="147">
        <v>2.9426071870079635E-2</v>
      </c>
      <c r="AE128" s="1">
        <f t="shared" si="17"/>
        <v>8662.5599127656405</v>
      </c>
      <c r="AH128" s="150">
        <f t="shared" si="23"/>
        <v>2.4400000000000017</v>
      </c>
      <c r="AI128" s="147">
        <v>0.38741911633868253</v>
      </c>
      <c r="AJ128" s="1">
        <f t="shared" si="18"/>
        <v>114049.92557117266</v>
      </c>
    </row>
    <row r="129" spans="15:36">
      <c r="O129" s="74">
        <f t="shared" si="20"/>
        <v>7.2999999999999901</v>
      </c>
      <c r="P129" s="122">
        <v>1.3119725037677539</v>
      </c>
      <c r="Q129" s="76">
        <v>3.1976435331370609E-2</v>
      </c>
      <c r="R129" s="1">
        <f t="shared" si="19"/>
        <v>41.029354591024038</v>
      </c>
      <c r="T129" s="140">
        <f t="shared" si="21"/>
        <v>-3.8499999999999872</v>
      </c>
      <c r="U129" s="140">
        <v>-7.5094356075311716E-2</v>
      </c>
      <c r="V129" s="140">
        <v>-1.1787094027720048E-2</v>
      </c>
      <c r="W129" s="1">
        <f t="shared" si="12"/>
        <v>-2.9682058719430133E-3</v>
      </c>
      <c r="X129" s="1">
        <f t="shared" si="14"/>
        <v>3.709999999999984</v>
      </c>
      <c r="Y129" s="1">
        <f t="shared" si="15"/>
        <v>-8.9849655974974782E-2</v>
      </c>
      <c r="Z129" s="1">
        <f t="shared" si="13"/>
        <v>1.175035623344339E-2</v>
      </c>
      <c r="AA129" s="1">
        <f t="shared" si="16"/>
        <v>-7.6465474058776461</v>
      </c>
      <c r="AC129" s="146">
        <f t="shared" si="22"/>
        <v>1.5399999999999978</v>
      </c>
      <c r="AD129" s="147">
        <v>2.9048814538411946E-2</v>
      </c>
      <c r="AE129" s="1">
        <f t="shared" si="17"/>
        <v>8551.5014523455666</v>
      </c>
      <c r="AH129" s="150">
        <f t="shared" si="23"/>
        <v>2.4600000000000017</v>
      </c>
      <c r="AI129" s="147">
        <v>0.38964809692862945</v>
      </c>
      <c r="AJ129" s="1">
        <f t="shared" si="18"/>
        <v>114706.10142740168</v>
      </c>
    </row>
    <row r="130" spans="15:36">
      <c r="O130" s="74">
        <f t="shared" si="20"/>
        <v>7.3999999999999897</v>
      </c>
      <c r="P130" s="122">
        <v>1.3244548077013361</v>
      </c>
      <c r="Q130" s="76">
        <v>3.2406573861481811E-2</v>
      </c>
      <c r="R130" s="1">
        <f t="shared" si="19"/>
        <v>40.869942418552682</v>
      </c>
      <c r="T130" s="140">
        <f t="shared" si="21"/>
        <v>-3.7999999999999874</v>
      </c>
      <c r="U130" s="140">
        <v>-6.9521904600444329E-2</v>
      </c>
      <c r="V130" s="140">
        <v>-1.1634014884502903E-2</v>
      </c>
      <c r="W130" s="1">
        <f t="shared" si="12"/>
        <v>-3.7445796223026353E-3</v>
      </c>
      <c r="X130" s="1">
        <f t="shared" si="14"/>
        <v>3.6199999999999841</v>
      </c>
      <c r="Y130" s="1">
        <f t="shared" si="15"/>
        <v>-8.4900499107249866E-2</v>
      </c>
      <c r="Z130" s="1">
        <f t="shared" si="13"/>
        <v>1.1717634353492549E-2</v>
      </c>
      <c r="AA130" s="1">
        <f t="shared" si="16"/>
        <v>-7.2455323784654952</v>
      </c>
      <c r="AC130" s="146">
        <f t="shared" si="22"/>
        <v>1.5199999999999978</v>
      </c>
      <c r="AD130" s="147">
        <v>2.8671557206744261E-2</v>
      </c>
      <c r="AE130" s="1">
        <f t="shared" si="17"/>
        <v>8440.4429919254962</v>
      </c>
      <c r="AH130" s="150">
        <f t="shared" si="23"/>
        <v>2.4800000000000018</v>
      </c>
      <c r="AI130" s="147">
        <v>0.39187707751857642</v>
      </c>
      <c r="AJ130" s="1">
        <f t="shared" si="18"/>
        <v>115362.27728363073</v>
      </c>
    </row>
    <row r="131" spans="15:36">
      <c r="O131" s="74">
        <f t="shared" si="20"/>
        <v>7.4999999999999893</v>
      </c>
      <c r="P131" s="122">
        <v>1.3369371116349178</v>
      </c>
      <c r="Q131" s="76">
        <v>3.2841135229431946E-2</v>
      </c>
      <c r="R131" s="1">
        <f t="shared" si="19"/>
        <v>40.709223426502206</v>
      </c>
      <c r="T131" s="140">
        <f t="shared" si="21"/>
        <v>-3.7499999999999876</v>
      </c>
      <c r="U131" s="140">
        <v>-6.3949453125576927E-2</v>
      </c>
      <c r="V131" s="140">
        <v>-1.1480935741285761E-2</v>
      </c>
      <c r="W131" s="1">
        <f t="shared" si="12"/>
        <v>-4.5209533726622581E-3</v>
      </c>
      <c r="X131" s="1">
        <f t="shared" si="14"/>
        <v>3.5299999999999843</v>
      </c>
      <c r="Y131" s="1">
        <f t="shared" si="15"/>
        <v>-7.995134223952495E-2</v>
      </c>
      <c r="Z131" s="1">
        <f t="shared" si="13"/>
        <v>1.1685980283553868E-2</v>
      </c>
      <c r="AA131" s="1">
        <f t="shared" si="16"/>
        <v>-6.8416461691317041</v>
      </c>
      <c r="AC131" s="146">
        <f t="shared" si="22"/>
        <v>1.4999999999999978</v>
      </c>
      <c r="AD131" s="147">
        <v>2.8294299875076569E-2</v>
      </c>
      <c r="AE131" s="1">
        <f t="shared" si="17"/>
        <v>8329.3845315054223</v>
      </c>
      <c r="AH131" s="150">
        <f t="shared" si="23"/>
        <v>2.5000000000000018</v>
      </c>
      <c r="AI131" s="147">
        <v>0.39410605810852339</v>
      </c>
      <c r="AJ131" s="1">
        <f t="shared" si="18"/>
        <v>116018.4531398598</v>
      </c>
    </row>
    <row r="132" spans="15:36">
      <c r="O132" s="74">
        <f t="shared" si="20"/>
        <v>7.599999999999989</v>
      </c>
      <c r="P132" s="122">
        <v>1.3494194155685</v>
      </c>
      <c r="Q132" s="76">
        <v>3.3280119435221037E-2</v>
      </c>
      <c r="R132" s="1">
        <f t="shared" si="19"/>
        <v>40.547312884351662</v>
      </c>
      <c r="T132" s="140">
        <f t="shared" si="21"/>
        <v>-3.6999999999999877</v>
      </c>
      <c r="U132" s="140">
        <v>-5.8377001650709533E-2</v>
      </c>
      <c r="V132" s="140">
        <v>-1.1327856598068618E-2</v>
      </c>
      <c r="W132" s="1">
        <f t="shared" si="12"/>
        <v>-5.2973271230218819E-3</v>
      </c>
      <c r="X132" s="1">
        <f t="shared" si="14"/>
        <v>3.4199999999999844</v>
      </c>
      <c r="Y132" s="1">
        <f t="shared" si="15"/>
        <v>-7.5002185371800034E-2</v>
      </c>
      <c r="Z132" s="1">
        <f t="shared" si="13"/>
        <v>1.1655394023627343E-2</v>
      </c>
      <c r="AA132" s="1">
        <f t="shared" si="16"/>
        <v>-6.4349763911677842</v>
      </c>
      <c r="AC132" s="146">
        <f t="shared" si="22"/>
        <v>1.4799999999999978</v>
      </c>
      <c r="AD132" s="147">
        <v>2.791704254340888E-2</v>
      </c>
      <c r="AE132" s="1">
        <f t="shared" si="17"/>
        <v>8218.3260710853483</v>
      </c>
      <c r="AH132" s="150">
        <f t="shared" si="23"/>
        <v>2.5200000000000018</v>
      </c>
      <c r="AI132" s="147">
        <v>0.39633503869847037</v>
      </c>
      <c r="AJ132" s="1">
        <f t="shared" si="18"/>
        <v>116674.62899608887</v>
      </c>
    </row>
    <row r="133" spans="15:36">
      <c r="O133" s="74">
        <f t="shared" si="20"/>
        <v>7.6999999999999886</v>
      </c>
      <c r="P133" s="122">
        <v>1.3619017195020815</v>
      </c>
      <c r="Q133" s="76">
        <v>3.3723526478849047E-2</v>
      </c>
      <c r="R133" s="1">
        <f t="shared" si="19"/>
        <v>40.384321027525054</v>
      </c>
      <c r="T133" s="140">
        <f t="shared" si="21"/>
        <v>-3.6499999999999879</v>
      </c>
      <c r="U133" s="140">
        <v>-5.2804550175842131E-2</v>
      </c>
      <c r="V133" s="140">
        <v>-1.1174777454851473E-2</v>
      </c>
      <c r="W133" s="1">
        <f t="shared" ref="W133:W196" si="24">((V133*(x_cdg_avion-x_foyer_fus))-(U133*(-x_foyer_voil+x_cdg_avion))+(Cm_voil*CMA_voil)-((N*FUtile*(DFus+DMoteur)/2)/(0.5*rho*V^2*SRef)))/(x_foyer_emp-x_cdg_avion)</f>
        <v>-6.0737008733815047E-3</v>
      </c>
      <c r="X133" s="1">
        <f t="shared" si="14"/>
        <v>3.3299999999999845</v>
      </c>
      <c r="Y133" s="1">
        <f t="shared" si="15"/>
        <v>-7.0053028504075118E-2</v>
      </c>
      <c r="Z133" s="1">
        <f t="shared" ref="Z133:Z196" si="25">Cx0_avion+((U133)^2/(PI()*all_voil))*Sext_voil/SRef+2*LFus*Czalpha_fus^2*(RADIANS(T133)^2)/(PI()*DFus)+(W133)^2/(PI()*all_emp)*Sext_emp/SRef</f>
        <v>1.1625875573712977E-2</v>
      </c>
      <c r="AA133" s="1">
        <f t="shared" si="16"/>
        <v>-6.0256131299452873</v>
      </c>
      <c r="AC133" s="146">
        <f t="shared" si="22"/>
        <v>1.4599999999999977</v>
      </c>
      <c r="AD133" s="147">
        <v>2.7539785211741195E-2</v>
      </c>
      <c r="AE133" s="1">
        <f t="shared" si="17"/>
        <v>8107.2676106652771</v>
      </c>
      <c r="AH133" s="150">
        <f t="shared" si="23"/>
        <v>2.5400000000000018</v>
      </c>
      <c r="AI133" s="147">
        <v>0.39856401928841734</v>
      </c>
      <c r="AJ133" s="1">
        <f t="shared" si="18"/>
        <v>117330.80485231792</v>
      </c>
    </row>
    <row r="134" spans="15:36">
      <c r="O134" s="74">
        <f t="shared" si="20"/>
        <v>7.7999999999999883</v>
      </c>
      <c r="P134" s="122">
        <v>1.3743840234356635</v>
      </c>
      <c r="Q134" s="76">
        <v>3.4171356360316027E-2</v>
      </c>
      <c r="R134" s="1">
        <f t="shared" si="19"/>
        <v>40.220353238063645</v>
      </c>
      <c r="T134" s="140">
        <f t="shared" si="21"/>
        <v>-3.5999999999999881</v>
      </c>
      <c r="U134" s="140">
        <v>-4.7232098700974737E-2</v>
      </c>
      <c r="V134" s="140">
        <v>-1.1021698311634331E-2</v>
      </c>
      <c r="W134" s="1">
        <f t="shared" si="24"/>
        <v>-6.8500746237411276E-3</v>
      </c>
      <c r="X134" s="1">
        <f t="shared" ref="X134:X197" si="26">INDEX($AC$6:$AC$1006,MATCH(W134,$AD$6:$AD$1006,-1))-T134</f>
        <v>3.2399999999999847</v>
      </c>
      <c r="Y134" s="1">
        <f t="shared" ref="Y134:Y197" si="27">U134+V134+W134</f>
        <v>-6.5103871636350202E-2</v>
      </c>
      <c r="Z134" s="1">
        <f t="shared" si="25"/>
        <v>1.1597424933810769E-2</v>
      </c>
      <c r="AA134" s="1">
        <f t="shared" ref="AA134:AA197" si="28">Y134/Z134</f>
        <v>-5.6136488925699721</v>
      </c>
      <c r="AC134" s="146">
        <f t="shared" si="22"/>
        <v>1.4399999999999977</v>
      </c>
      <c r="AD134" s="147">
        <v>2.7162527880073502E-2</v>
      </c>
      <c r="AE134" s="1">
        <f t="shared" ref="AE134:AE197" si="29">AD134*0.5*rho*V^2*SRef</f>
        <v>7996.2091502452049</v>
      </c>
      <c r="AH134" s="150">
        <f t="shared" si="23"/>
        <v>2.5600000000000018</v>
      </c>
      <c r="AI134" s="147">
        <v>0.40079299987836425</v>
      </c>
      <c r="AJ134" s="1">
        <f t="shared" ref="AJ134:AJ197" si="30">AI134*0.5*rho*V^2*SRef</f>
        <v>117986.98070854697</v>
      </c>
    </row>
    <row r="135" spans="15:36">
      <c r="O135" s="74">
        <f t="shared" si="20"/>
        <v>7.8999999999999879</v>
      </c>
      <c r="P135" s="122">
        <v>1.3868663273692454</v>
      </c>
      <c r="Q135" s="76">
        <v>3.462360907962192E-2</v>
      </c>
      <c r="R135" s="1">
        <f t="shared" ref="R135:R198" si="31">P135/Q135</f>
        <v>40.055510220784576</v>
      </c>
      <c r="T135" s="140">
        <f t="shared" si="21"/>
        <v>-3.5499999999999883</v>
      </c>
      <c r="U135" s="140">
        <v>-4.1659647226107335E-2</v>
      </c>
      <c r="V135" s="140">
        <v>-1.0868619168417188E-2</v>
      </c>
      <c r="W135" s="1">
        <f t="shared" si="24"/>
        <v>-7.6264483741007522E-3</v>
      </c>
      <c r="X135" s="1">
        <f t="shared" si="26"/>
        <v>3.1499999999999848</v>
      </c>
      <c r="Y135" s="1">
        <f t="shared" si="27"/>
        <v>-6.0154714768625273E-2</v>
      </c>
      <c r="Z135" s="1">
        <f t="shared" si="25"/>
        <v>1.157004210392072E-2</v>
      </c>
      <c r="AA135" s="1">
        <f t="shared" si="28"/>
        <v>-5.1991785533987596</v>
      </c>
      <c r="AC135" s="146">
        <f t="shared" si="22"/>
        <v>1.4199999999999977</v>
      </c>
      <c r="AD135" s="147">
        <v>2.6785270548405817E-2</v>
      </c>
      <c r="AE135" s="1">
        <f t="shared" si="29"/>
        <v>7885.1506898251328</v>
      </c>
      <c r="AH135" s="150">
        <f t="shared" si="23"/>
        <v>2.5800000000000018</v>
      </c>
      <c r="AI135" s="147">
        <v>0.40302198046831128</v>
      </c>
      <c r="AJ135" s="1">
        <f t="shared" si="30"/>
        <v>118643.15656477603</v>
      </c>
    </row>
    <row r="136" spans="15:36">
      <c r="O136" s="74">
        <f t="shared" ref="O136:O199" si="32">O135+0.1</f>
        <v>7.9999999999999876</v>
      </c>
      <c r="P136" s="122">
        <v>1.3993486313028276</v>
      </c>
      <c r="Q136" s="76">
        <v>3.5080284636766781E-2</v>
      </c>
      <c r="R136" s="1">
        <f t="shared" si="31"/>
        <v>39.889888174858328</v>
      </c>
      <c r="T136" s="140">
        <f t="shared" ref="T136:T199" si="33">T135+$V$2</f>
        <v>-3.4999999999999885</v>
      </c>
      <c r="U136" s="140">
        <v>-3.6087195751239941E-2</v>
      </c>
      <c r="V136" s="140">
        <v>-1.0715540025200044E-2</v>
      </c>
      <c r="W136" s="1">
        <f t="shared" si="24"/>
        <v>-8.4028221244603751E-3</v>
      </c>
      <c r="X136" s="1">
        <f t="shared" si="26"/>
        <v>3.059999999999985</v>
      </c>
      <c r="Y136" s="1">
        <f t="shared" si="27"/>
        <v>-5.5205557900900364E-2</v>
      </c>
      <c r="Z136" s="1">
        <f t="shared" si="25"/>
        <v>1.1543727084042828E-2</v>
      </c>
      <c r="AA136" s="1">
        <f t="shared" si="28"/>
        <v>-4.7822992954513222</v>
      </c>
      <c r="AC136" s="146">
        <f t="shared" ref="AC136:AC199" si="34">AC135-$AD$2</f>
        <v>1.3999999999999977</v>
      </c>
      <c r="AD136" s="147">
        <v>2.6408013216738128E-2</v>
      </c>
      <c r="AE136" s="1">
        <f t="shared" si="29"/>
        <v>7774.0922294050597</v>
      </c>
      <c r="AH136" s="150">
        <f t="shared" ref="AH136:AH199" si="35">AH135+$AI$2</f>
        <v>2.6000000000000019</v>
      </c>
      <c r="AI136" s="147">
        <v>0.40525096105825831</v>
      </c>
      <c r="AJ136" s="1">
        <f t="shared" si="30"/>
        <v>119299.33242100512</v>
      </c>
    </row>
    <row r="137" spans="15:36">
      <c r="O137" s="74">
        <f t="shared" si="32"/>
        <v>8.0999999999999872</v>
      </c>
      <c r="P137" s="122">
        <v>1.4118309352364091</v>
      </c>
      <c r="Q137" s="76">
        <v>3.5541383031750563E-2</v>
      </c>
      <c r="R137" s="1">
        <f t="shared" si="31"/>
        <v>39.723578960761408</v>
      </c>
      <c r="T137" s="140">
        <f t="shared" si="33"/>
        <v>-3.4499999999999886</v>
      </c>
      <c r="U137" s="140">
        <v>-3.0514744276372543E-2</v>
      </c>
      <c r="V137" s="140">
        <v>-1.0562460881982901E-2</v>
      </c>
      <c r="W137" s="1">
        <f t="shared" si="24"/>
        <v>-9.1791958748199988E-3</v>
      </c>
      <c r="X137" s="1">
        <f t="shared" si="26"/>
        <v>2.9699999999999851</v>
      </c>
      <c r="Y137" s="1">
        <f t="shared" si="27"/>
        <v>-5.0256401033175441E-2</v>
      </c>
      <c r="Z137" s="1">
        <f t="shared" si="25"/>
        <v>1.1518479874177095E-2</v>
      </c>
      <c r="AA137" s="1">
        <f t="shared" si="28"/>
        <v>-4.3631105477593124</v>
      </c>
      <c r="AC137" s="146">
        <f t="shared" si="34"/>
        <v>1.3799999999999977</v>
      </c>
      <c r="AD137" s="147">
        <v>2.6030755885070436E-2</v>
      </c>
      <c r="AE137" s="1">
        <f t="shared" si="29"/>
        <v>7663.0337689849875</v>
      </c>
      <c r="AH137" s="150">
        <f t="shared" si="35"/>
        <v>2.6200000000000019</v>
      </c>
      <c r="AI137" s="147">
        <v>0.40747994164820522</v>
      </c>
      <c r="AJ137" s="1">
        <f t="shared" si="30"/>
        <v>119955.50827723416</v>
      </c>
    </row>
    <row r="138" spans="15:36">
      <c r="O138" s="74">
        <f t="shared" si="32"/>
        <v>8.1999999999999869</v>
      </c>
      <c r="P138" s="122">
        <v>1.4243132391699913</v>
      </c>
      <c r="Q138" s="76">
        <v>3.60069042645733E-2</v>
      </c>
      <c r="R138" s="1">
        <f t="shared" si="31"/>
        <v>39.556670262579438</v>
      </c>
      <c r="T138" s="140">
        <f t="shared" si="33"/>
        <v>-3.3999999999999888</v>
      </c>
      <c r="U138" s="140">
        <v>-2.4942292801505148E-2</v>
      </c>
      <c r="V138" s="140">
        <v>-1.0409381738765757E-2</v>
      </c>
      <c r="W138" s="1">
        <f t="shared" si="24"/>
        <v>-9.9555696251796208E-3</v>
      </c>
      <c r="X138" s="1">
        <f t="shared" si="26"/>
        <v>2.8799999999999852</v>
      </c>
      <c r="Y138" s="1">
        <f t="shared" si="27"/>
        <v>-4.5307244165450525E-2</v>
      </c>
      <c r="Z138" s="1">
        <f t="shared" si="25"/>
        <v>1.1494300474323519E-2</v>
      </c>
      <c r="AA138" s="1">
        <f t="shared" si="28"/>
        <v>-3.9417139187077863</v>
      </c>
      <c r="AC138" s="146">
        <f t="shared" si="34"/>
        <v>1.3599999999999977</v>
      </c>
      <c r="AD138" s="147">
        <v>2.5653498553402751E-2</v>
      </c>
      <c r="AE138" s="1">
        <f t="shared" si="29"/>
        <v>7551.9753085649154</v>
      </c>
      <c r="AH138" s="150">
        <f t="shared" si="35"/>
        <v>2.6400000000000019</v>
      </c>
      <c r="AI138" s="147">
        <v>0.4097089222381522</v>
      </c>
      <c r="AJ138" s="1">
        <f t="shared" si="30"/>
        <v>120611.68413346323</v>
      </c>
    </row>
    <row r="139" spans="15:36">
      <c r="O139" s="74">
        <f t="shared" si="32"/>
        <v>8.2999999999999865</v>
      </c>
      <c r="P139" s="122">
        <v>1.4367955431035733</v>
      </c>
      <c r="Q139" s="76">
        <v>3.6476848335234978E-2</v>
      </c>
      <c r="R139" s="1">
        <f t="shared" si="31"/>
        <v>39.389245745655444</v>
      </c>
      <c r="T139" s="140">
        <f t="shared" si="33"/>
        <v>-3.349999999999989</v>
      </c>
      <c r="U139" s="140">
        <v>-1.936984132663775E-2</v>
      </c>
      <c r="V139" s="140">
        <v>-1.0256302595548614E-2</v>
      </c>
      <c r="W139" s="1">
        <f t="shared" si="24"/>
        <v>-1.0731943375539245E-2</v>
      </c>
      <c r="X139" s="1">
        <f t="shared" si="26"/>
        <v>2.7899999999999854</v>
      </c>
      <c r="Y139" s="1">
        <f t="shared" si="27"/>
        <v>-4.0358087297725609E-2</v>
      </c>
      <c r="Z139" s="1">
        <f t="shared" si="25"/>
        <v>1.1471188884482102E-2</v>
      </c>
      <c r="AA139" s="1">
        <f t="shared" si="28"/>
        <v>-3.5182131254347038</v>
      </c>
      <c r="AC139" s="146">
        <f t="shared" si="34"/>
        <v>1.3399999999999976</v>
      </c>
      <c r="AD139" s="147">
        <v>2.5276241221735062E-2</v>
      </c>
      <c r="AE139" s="1">
        <f t="shared" si="29"/>
        <v>7440.9168481448414</v>
      </c>
      <c r="AH139" s="150">
        <f t="shared" si="35"/>
        <v>2.6600000000000019</v>
      </c>
      <c r="AI139" s="147">
        <v>0.41193790282809911</v>
      </c>
      <c r="AJ139" s="1">
        <f t="shared" si="30"/>
        <v>121267.85998969227</v>
      </c>
    </row>
    <row r="140" spans="15:36">
      <c r="O140" s="74">
        <f t="shared" si="32"/>
        <v>8.3999999999999861</v>
      </c>
      <c r="P140" s="122">
        <v>1.4492778470371555</v>
      </c>
      <c r="Q140" s="76">
        <v>3.6951215243735604E-2</v>
      </c>
      <c r="R140" s="1">
        <f t="shared" si="31"/>
        <v>39.221385209593443</v>
      </c>
      <c r="T140" s="140">
        <f t="shared" si="33"/>
        <v>-3.2999999999999892</v>
      </c>
      <c r="U140" s="140">
        <v>-1.3797389851770352E-2</v>
      </c>
      <c r="V140" s="140">
        <v>-1.0103223452331471E-2</v>
      </c>
      <c r="W140" s="1">
        <f t="shared" si="24"/>
        <v>-1.1508317125898867E-2</v>
      </c>
      <c r="X140" s="1">
        <f t="shared" si="26"/>
        <v>2.6999999999999855</v>
      </c>
      <c r="Y140" s="1">
        <f t="shared" si="27"/>
        <v>-3.5408930430000686E-2</v>
      </c>
      <c r="Z140" s="1">
        <f t="shared" si="25"/>
        <v>1.1449145104652843E-2</v>
      </c>
      <c r="AA140" s="1">
        <f t="shared" si="28"/>
        <v>-3.0927139193659774</v>
      </c>
      <c r="AC140" s="146">
        <f t="shared" si="34"/>
        <v>1.3199999999999976</v>
      </c>
      <c r="AD140" s="147">
        <v>2.4898983890067374E-2</v>
      </c>
      <c r="AE140" s="1">
        <f t="shared" si="29"/>
        <v>7329.8583877247693</v>
      </c>
      <c r="AH140" s="150">
        <f t="shared" si="35"/>
        <v>2.6800000000000019</v>
      </c>
      <c r="AI140" s="147">
        <v>0.41416688341804614</v>
      </c>
      <c r="AJ140" s="1">
        <f t="shared" si="30"/>
        <v>121924.03584592133</v>
      </c>
    </row>
    <row r="141" spans="15:36">
      <c r="O141" s="74">
        <f t="shared" si="32"/>
        <v>8.4999999999999858</v>
      </c>
      <c r="P141" s="122">
        <v>1.4617601509707372</v>
      </c>
      <c r="Q141" s="76">
        <v>3.7430004990075157E-2</v>
      </c>
      <c r="R141" s="1">
        <f t="shared" si="31"/>
        <v>39.053164736642003</v>
      </c>
      <c r="T141" s="140">
        <f t="shared" si="33"/>
        <v>-3.2499999999999893</v>
      </c>
      <c r="U141" s="140">
        <v>-8.2249383769029561E-3</v>
      </c>
      <c r="V141" s="140">
        <v>-9.9501443091143272E-3</v>
      </c>
      <c r="W141" s="1">
        <f t="shared" si="24"/>
        <v>-1.2284690876258492E-2</v>
      </c>
      <c r="X141" s="1">
        <f t="shared" si="26"/>
        <v>2.6099999999999857</v>
      </c>
      <c r="Y141" s="1">
        <f t="shared" si="27"/>
        <v>-3.0459773562275777E-2</v>
      </c>
      <c r="Z141" s="1">
        <f t="shared" si="25"/>
        <v>1.1428169134835742E-2</v>
      </c>
      <c r="AA141" s="1">
        <f t="shared" si="28"/>
        <v>-2.6653240079749292</v>
      </c>
      <c r="AC141" s="146">
        <f t="shared" si="34"/>
        <v>1.2999999999999976</v>
      </c>
      <c r="AD141" s="147">
        <v>2.4521726558399685E-2</v>
      </c>
      <c r="AE141" s="1">
        <f t="shared" si="29"/>
        <v>7218.7999273046971</v>
      </c>
      <c r="AH141" s="150">
        <f t="shared" si="35"/>
        <v>2.700000000000002</v>
      </c>
      <c r="AI141" s="147">
        <v>0.41639586400799306</v>
      </c>
      <c r="AJ141" s="1">
        <f t="shared" si="30"/>
        <v>122580.21170215038</v>
      </c>
    </row>
    <row r="142" spans="15:36">
      <c r="O142" s="74">
        <f t="shared" si="32"/>
        <v>8.5999999999999854</v>
      </c>
      <c r="P142" s="122">
        <v>1.4742424549043192</v>
      </c>
      <c r="Q142" s="76">
        <v>3.7913217574253665E-2</v>
      </c>
      <c r="R142" s="1">
        <f t="shared" si="31"/>
        <v>38.884656835495193</v>
      </c>
      <c r="T142" s="140">
        <f t="shared" si="33"/>
        <v>-3.1999999999999895</v>
      </c>
      <c r="U142" s="140">
        <v>-2.652486902035559E-3</v>
      </c>
      <c r="V142" s="140">
        <v>-9.7970651658971838E-3</v>
      </c>
      <c r="W142" s="1">
        <f t="shared" si="24"/>
        <v>-1.3061064626618114E-2</v>
      </c>
      <c r="X142" s="1">
        <f t="shared" si="26"/>
        <v>2.5199999999999858</v>
      </c>
      <c r="Y142" s="1">
        <f t="shared" si="27"/>
        <v>-2.5510616694550854E-2</v>
      </c>
      <c r="Z142" s="1">
        <f t="shared" si="25"/>
        <v>1.1408260975030801E-2</v>
      </c>
      <c r="AA142" s="1">
        <f t="shared" si="28"/>
        <v>-2.2361529728663996</v>
      </c>
      <c r="AC142" s="146">
        <f t="shared" si="34"/>
        <v>1.2799999999999976</v>
      </c>
      <c r="AD142" s="147">
        <v>2.4144469226731996E-2</v>
      </c>
      <c r="AE142" s="1">
        <f t="shared" si="29"/>
        <v>7107.741466884625</v>
      </c>
      <c r="AH142" s="150">
        <f t="shared" si="35"/>
        <v>2.720000000000002</v>
      </c>
      <c r="AI142" s="147">
        <v>0.41862484459794008</v>
      </c>
      <c r="AJ142" s="1">
        <f t="shared" si="30"/>
        <v>123236.38755837944</v>
      </c>
    </row>
    <row r="143" spans="15:36">
      <c r="O143" s="74">
        <f t="shared" si="32"/>
        <v>8.6999999999999851</v>
      </c>
      <c r="P143" s="122">
        <v>1.4867247588379009</v>
      </c>
      <c r="Q143" s="76">
        <v>3.84008529962711E-2</v>
      </c>
      <c r="R143" s="1">
        <f t="shared" si="31"/>
        <v>38.715930580559466</v>
      </c>
      <c r="T143" s="140">
        <f t="shared" si="33"/>
        <v>-3.1499999999999897</v>
      </c>
      <c r="U143" s="140">
        <v>2.9199645728318381E-3</v>
      </c>
      <c r="V143" s="140">
        <v>-9.6439860226800404E-3</v>
      </c>
      <c r="W143" s="1">
        <f t="shared" si="24"/>
        <v>-1.3837438376977738E-2</v>
      </c>
      <c r="X143" s="1">
        <f t="shared" si="26"/>
        <v>2.4299999999999859</v>
      </c>
      <c r="Y143" s="1">
        <f t="shared" si="27"/>
        <v>-2.0561459826825938E-2</v>
      </c>
      <c r="Z143" s="1">
        <f t="shared" si="25"/>
        <v>1.1389420625238015E-2</v>
      </c>
      <c r="AA143" s="1">
        <f t="shared" si="28"/>
        <v>-1.805312184297017</v>
      </c>
      <c r="AC143" s="146">
        <f t="shared" si="34"/>
        <v>1.2599999999999976</v>
      </c>
      <c r="AD143" s="147">
        <v>2.3767211895064307E-2</v>
      </c>
      <c r="AE143" s="1">
        <f t="shared" si="29"/>
        <v>6996.6830064645519</v>
      </c>
      <c r="AH143" s="150">
        <f t="shared" si="35"/>
        <v>2.740000000000002</v>
      </c>
      <c r="AI143" s="147">
        <v>0.42085382518788705</v>
      </c>
      <c r="AJ143" s="1">
        <f t="shared" si="30"/>
        <v>123892.56341460849</v>
      </c>
    </row>
    <row r="144" spans="15:36">
      <c r="O144" s="74">
        <f t="shared" si="32"/>
        <v>8.7999999999999847</v>
      </c>
      <c r="P144" s="122">
        <v>1.4992070627714829</v>
      </c>
      <c r="Q144" s="76">
        <v>3.8892911256127496E-2</v>
      </c>
      <c r="R144" s="1">
        <f t="shared" si="31"/>
        <v>38.547051746744359</v>
      </c>
      <c r="T144" s="140">
        <f t="shared" si="33"/>
        <v>-3.0999999999999899</v>
      </c>
      <c r="U144" s="140">
        <v>8.4924160476992361E-3</v>
      </c>
      <c r="V144" s="140">
        <v>-9.4909068794628969E-3</v>
      </c>
      <c r="W144" s="1">
        <f t="shared" si="24"/>
        <v>-1.461381212733736E-2</v>
      </c>
      <c r="X144" s="1">
        <f t="shared" si="26"/>
        <v>2.3399999999999861</v>
      </c>
      <c r="Y144" s="1">
        <f t="shared" si="27"/>
        <v>-1.5612302959101021E-2</v>
      </c>
      <c r="Z144" s="1">
        <f t="shared" si="25"/>
        <v>1.1371648085457388E-2</v>
      </c>
      <c r="AA144" s="1">
        <f t="shared" si="28"/>
        <v>-1.3729147122541356</v>
      </c>
      <c r="AC144" s="146">
        <f t="shared" si="34"/>
        <v>1.2399999999999975</v>
      </c>
      <c r="AD144" s="147">
        <v>2.3389954563396619E-2</v>
      </c>
      <c r="AE144" s="1">
        <f t="shared" si="29"/>
        <v>6885.6245460444798</v>
      </c>
      <c r="AH144" s="150">
        <f t="shared" si="35"/>
        <v>2.760000000000002</v>
      </c>
      <c r="AI144" s="147">
        <v>0.42308280577783397</v>
      </c>
      <c r="AJ144" s="1">
        <f t="shared" si="30"/>
        <v>124548.73927083757</v>
      </c>
    </row>
    <row r="145" spans="15:36">
      <c r="O145" s="74">
        <f t="shared" si="32"/>
        <v>8.8999999999999844</v>
      </c>
      <c r="P145" s="122">
        <v>1.5116893667050648</v>
      </c>
      <c r="Q145" s="76">
        <v>3.9389392353822814E-2</v>
      </c>
      <c r="R145" s="1">
        <f t="shared" si="31"/>
        <v>38.378082939843893</v>
      </c>
      <c r="T145" s="140">
        <f t="shared" si="33"/>
        <v>-3.0499999999999901</v>
      </c>
      <c r="U145" s="140">
        <v>1.4064867522566634E-2</v>
      </c>
      <c r="V145" s="140">
        <v>-9.3378277362457535E-3</v>
      </c>
      <c r="W145" s="1">
        <f t="shared" si="24"/>
        <v>-1.5390185877696985E-2</v>
      </c>
      <c r="X145" s="1">
        <f t="shared" si="26"/>
        <v>2.2499999999999862</v>
      </c>
      <c r="Y145" s="1">
        <f t="shared" si="27"/>
        <v>-1.0663146091376105E-2</v>
      </c>
      <c r="Z145" s="1">
        <f t="shared" si="25"/>
        <v>1.135494335568892E-2</v>
      </c>
      <c r="AA145" s="1">
        <f t="shared" si="28"/>
        <v>-0.9390752342268428</v>
      </c>
      <c r="AC145" s="146">
        <f t="shared" si="34"/>
        <v>1.2199999999999975</v>
      </c>
      <c r="AD145" s="147">
        <v>2.301269723172893E-2</v>
      </c>
      <c r="AE145" s="1">
        <f t="shared" si="29"/>
        <v>6774.5660856244067</v>
      </c>
      <c r="AH145" s="150">
        <f t="shared" si="35"/>
        <v>2.780000000000002</v>
      </c>
      <c r="AI145" s="147">
        <v>0.425311786367781</v>
      </c>
      <c r="AJ145" s="1">
        <f t="shared" si="30"/>
        <v>125204.91512706663</v>
      </c>
    </row>
    <row r="146" spans="15:36">
      <c r="O146" s="74">
        <f t="shared" si="32"/>
        <v>8.999999999999984</v>
      </c>
      <c r="P146" s="122">
        <v>1.524171670638647</v>
      </c>
      <c r="Q146" s="76">
        <v>3.9890296289357099E-2</v>
      </c>
      <c r="R146" s="1">
        <f t="shared" si="31"/>
        <v>38.209083722581987</v>
      </c>
      <c r="T146" s="140">
        <f t="shared" si="33"/>
        <v>-2.9999999999999902</v>
      </c>
      <c r="U146" s="140">
        <v>1.9637318997434032E-2</v>
      </c>
      <c r="V146" s="140">
        <v>-9.1847485930286101E-3</v>
      </c>
      <c r="W146" s="1">
        <f t="shared" si="24"/>
        <v>-1.6166559628056607E-2</v>
      </c>
      <c r="X146" s="1">
        <f t="shared" si="26"/>
        <v>2.1599999999999864</v>
      </c>
      <c r="Y146" s="1">
        <f t="shared" si="27"/>
        <v>-5.7139892236511853E-3</v>
      </c>
      <c r="Z146" s="1">
        <f t="shared" si="25"/>
        <v>1.1339306435932612E-2</v>
      </c>
      <c r="AA146" s="1">
        <f t="shared" si="28"/>
        <v>-0.5039099398129312</v>
      </c>
      <c r="AC146" s="146">
        <f t="shared" si="34"/>
        <v>1.1999999999999975</v>
      </c>
      <c r="AD146" s="147">
        <v>2.2635439900061241E-2</v>
      </c>
      <c r="AE146" s="1">
        <f t="shared" si="29"/>
        <v>6663.5076252043336</v>
      </c>
      <c r="AH146" s="150">
        <f t="shared" si="35"/>
        <v>2.800000000000002</v>
      </c>
      <c r="AI146" s="147">
        <v>0.42754076695772791</v>
      </c>
      <c r="AJ146" s="1">
        <f t="shared" si="30"/>
        <v>125861.09098329568</v>
      </c>
    </row>
    <row r="147" spans="15:36">
      <c r="O147" s="74">
        <f t="shared" si="32"/>
        <v>9.0999999999999837</v>
      </c>
      <c r="P147" s="122">
        <v>1.5366539745722285</v>
      </c>
      <c r="Q147" s="76">
        <v>4.0395623062730285E-2</v>
      </c>
      <c r="R147" s="1">
        <f t="shared" si="31"/>
        <v>38.040110736402347</v>
      </c>
      <c r="T147" s="140">
        <f t="shared" si="33"/>
        <v>-2.9499999999999904</v>
      </c>
      <c r="U147" s="140">
        <v>2.5209770472301427E-2</v>
      </c>
      <c r="V147" s="140">
        <v>-9.0316694498114667E-3</v>
      </c>
      <c r="W147" s="1">
        <f t="shared" si="24"/>
        <v>-1.6942933378416229E-2</v>
      </c>
      <c r="X147" s="1">
        <f t="shared" si="26"/>
        <v>2.0699999999999865</v>
      </c>
      <c r="Y147" s="1">
        <f t="shared" si="27"/>
        <v>-7.6483235592626764E-4</v>
      </c>
      <c r="Z147" s="1">
        <f t="shared" si="25"/>
        <v>1.1324737326188458E-2</v>
      </c>
      <c r="AA147" s="1">
        <f t="shared" si="28"/>
        <v>-6.753643231597016E-2</v>
      </c>
      <c r="AC147" s="146">
        <f t="shared" si="34"/>
        <v>1.1799999999999975</v>
      </c>
      <c r="AD147" s="147">
        <v>2.2258182568393556E-2</v>
      </c>
      <c r="AE147" s="1">
        <f t="shared" si="29"/>
        <v>6552.4491647842615</v>
      </c>
      <c r="AH147" s="150">
        <f t="shared" si="35"/>
        <v>2.8200000000000021</v>
      </c>
      <c r="AI147" s="147">
        <v>0.42976974754767489</v>
      </c>
      <c r="AJ147" s="1">
        <f t="shared" si="30"/>
        <v>126517.26683952473</v>
      </c>
    </row>
    <row r="148" spans="15:36">
      <c r="O148" s="74">
        <f t="shared" si="32"/>
        <v>9.1999999999999833</v>
      </c>
      <c r="P148" s="122">
        <v>1.5491362785058107</v>
      </c>
      <c r="Q148" s="76">
        <v>4.0905372673942453E-2</v>
      </c>
      <c r="R148" s="1">
        <f t="shared" si="31"/>
        <v>37.871217819087164</v>
      </c>
      <c r="T148" s="140">
        <f t="shared" si="33"/>
        <v>-2.8999999999999906</v>
      </c>
      <c r="U148" s="140">
        <v>3.0782221947168825E-2</v>
      </c>
      <c r="V148" s="140">
        <v>-8.8785903065943233E-3</v>
      </c>
      <c r="W148" s="1">
        <f t="shared" si="24"/>
        <v>-1.7719307128775851E-2</v>
      </c>
      <c r="X148" s="1">
        <f t="shared" si="26"/>
        <v>1.9799999999999867</v>
      </c>
      <c r="Y148" s="1">
        <f t="shared" si="27"/>
        <v>4.1843245117986518E-3</v>
      </c>
      <c r="Z148" s="1">
        <f t="shared" si="25"/>
        <v>1.1311236026456463E-2</v>
      </c>
      <c r="AA148" s="1">
        <f t="shared" si="28"/>
        <v>0.36992637250356269</v>
      </c>
      <c r="AC148" s="146">
        <f t="shared" si="34"/>
        <v>1.1599999999999975</v>
      </c>
      <c r="AD148" s="147">
        <v>2.1880925236725864E-2</v>
      </c>
      <c r="AE148" s="1">
        <f t="shared" si="29"/>
        <v>6441.3907043641893</v>
      </c>
      <c r="AH148" s="150">
        <f t="shared" si="35"/>
        <v>2.8400000000000021</v>
      </c>
      <c r="AI148" s="147">
        <v>0.43199872813762191</v>
      </c>
      <c r="AJ148" s="1">
        <f t="shared" si="30"/>
        <v>127173.44269575381</v>
      </c>
    </row>
    <row r="149" spans="15:36">
      <c r="O149" s="74">
        <f t="shared" si="32"/>
        <v>9.2999999999999829</v>
      </c>
      <c r="P149" s="122">
        <v>1.5616185824393927</v>
      </c>
      <c r="Q149" s="76">
        <v>4.1419545122993548E-2</v>
      </c>
      <c r="R149" s="1">
        <f t="shared" si="31"/>
        <v>37.702456118294727</v>
      </c>
      <c r="T149" s="140">
        <f t="shared" si="33"/>
        <v>-2.8499999999999908</v>
      </c>
      <c r="U149" s="140">
        <v>3.6354673422036222E-2</v>
      </c>
      <c r="V149" s="140">
        <v>-8.7255111633771799E-3</v>
      </c>
      <c r="W149" s="1">
        <f t="shared" si="24"/>
        <v>-1.8495680879135473E-2</v>
      </c>
      <c r="X149" s="1">
        <f t="shared" si="26"/>
        <v>1.8699999999999868</v>
      </c>
      <c r="Y149" s="1">
        <f t="shared" si="27"/>
        <v>9.1334813795235711E-3</v>
      </c>
      <c r="Z149" s="1">
        <f t="shared" si="25"/>
        <v>1.1298802536736628E-2</v>
      </c>
      <c r="AA149" s="1">
        <f t="shared" si="28"/>
        <v>0.80835835034971282</v>
      </c>
      <c r="AC149" s="146">
        <f t="shared" si="34"/>
        <v>1.1399999999999975</v>
      </c>
      <c r="AD149" s="147">
        <v>2.1503667905058178E-2</v>
      </c>
      <c r="AE149" s="1">
        <f t="shared" si="29"/>
        <v>6330.3322439441172</v>
      </c>
      <c r="AH149" s="150">
        <f t="shared" si="35"/>
        <v>2.8600000000000021</v>
      </c>
      <c r="AI149" s="147">
        <v>0.43422770872756883</v>
      </c>
      <c r="AJ149" s="1">
        <f t="shared" si="30"/>
        <v>127829.61855198286</v>
      </c>
    </row>
    <row r="150" spans="15:36">
      <c r="O150" s="74">
        <f t="shared" si="32"/>
        <v>9.3999999999999826</v>
      </c>
      <c r="P150" s="122">
        <v>1.5741008863729746</v>
      </c>
      <c r="Q150" s="76">
        <v>4.1938140409883584E-2</v>
      </c>
      <c r="R150" s="1">
        <f t="shared" si="31"/>
        <v>37.533874201108006</v>
      </c>
      <c r="T150" s="140">
        <f t="shared" si="33"/>
        <v>-2.7999999999999909</v>
      </c>
      <c r="U150" s="140">
        <v>4.1927124896903617E-2</v>
      </c>
      <c r="V150" s="140">
        <v>-8.5724320201600347E-3</v>
      </c>
      <c r="W150" s="1">
        <f t="shared" si="24"/>
        <v>-1.9272054629495099E-2</v>
      </c>
      <c r="X150" s="1">
        <f t="shared" si="26"/>
        <v>1.7799999999999871</v>
      </c>
      <c r="Y150" s="1">
        <f t="shared" si="27"/>
        <v>1.4082638247248487E-2</v>
      </c>
      <c r="Z150" s="1">
        <f t="shared" si="25"/>
        <v>1.1287436857028951E-2</v>
      </c>
      <c r="AA150" s="1">
        <f t="shared" si="28"/>
        <v>1.2476382748027421</v>
      </c>
      <c r="AC150" s="146">
        <f t="shared" si="34"/>
        <v>1.1199999999999974</v>
      </c>
      <c r="AD150" s="147">
        <v>2.112641057339049E-2</v>
      </c>
      <c r="AE150" s="1">
        <f t="shared" si="29"/>
        <v>6219.2737835240441</v>
      </c>
      <c r="AH150" s="150">
        <f t="shared" si="35"/>
        <v>2.8800000000000021</v>
      </c>
      <c r="AI150" s="147">
        <v>0.43645668931751586</v>
      </c>
      <c r="AJ150" s="1">
        <f t="shared" si="30"/>
        <v>128485.79440821195</v>
      </c>
    </row>
    <row r="151" spans="15:36">
      <c r="O151" s="74">
        <f t="shared" si="32"/>
        <v>9.4999999999999822</v>
      </c>
      <c r="P151" s="122">
        <v>1.5865831903065564</v>
      </c>
      <c r="Q151" s="76">
        <v>4.2461158534612561E-2</v>
      </c>
      <c r="R151" s="1">
        <f t="shared" si="31"/>
        <v>37.365518159690346</v>
      </c>
      <c r="T151" s="140">
        <f t="shared" si="33"/>
        <v>-2.7499999999999911</v>
      </c>
      <c r="U151" s="140">
        <v>4.7499576371771018E-2</v>
      </c>
      <c r="V151" s="140">
        <v>-8.419352876942893E-3</v>
      </c>
      <c r="W151" s="1">
        <f t="shared" si="24"/>
        <v>-2.0048428379854724E-2</v>
      </c>
      <c r="X151" s="1">
        <f t="shared" si="26"/>
        <v>1.6899999999999873</v>
      </c>
      <c r="Y151" s="1">
        <f t="shared" si="27"/>
        <v>1.9031795114973403E-2</v>
      </c>
      <c r="Z151" s="1">
        <f t="shared" si="25"/>
        <v>1.1277138987333429E-2</v>
      </c>
      <c r="AA151" s="1">
        <f t="shared" si="28"/>
        <v>1.687643926030358</v>
      </c>
      <c r="AC151" s="146">
        <f t="shared" si="34"/>
        <v>1.0999999999999974</v>
      </c>
      <c r="AD151" s="147">
        <v>2.0749153241722797E-2</v>
      </c>
      <c r="AE151" s="1">
        <f t="shared" si="29"/>
        <v>6108.2153231039711</v>
      </c>
      <c r="AH151" s="150">
        <f t="shared" si="35"/>
        <v>2.9000000000000021</v>
      </c>
      <c r="AI151" s="147">
        <v>0.43868566990746277</v>
      </c>
      <c r="AJ151" s="1">
        <f t="shared" si="30"/>
        <v>129141.97026444098</v>
      </c>
    </row>
    <row r="152" spans="15:36">
      <c r="O152" s="74">
        <f t="shared" si="32"/>
        <v>9.5999999999999819</v>
      </c>
      <c r="P152" s="122">
        <v>1.5990654942401383</v>
      </c>
      <c r="Q152" s="76">
        <v>4.298859949718048E-2</v>
      </c>
      <c r="R152" s="1">
        <f t="shared" si="31"/>
        <v>37.197431713145647</v>
      </c>
      <c r="T152" s="140">
        <f t="shared" si="33"/>
        <v>-2.6999999999999913</v>
      </c>
      <c r="U152" s="140">
        <v>5.307202784663842E-2</v>
      </c>
      <c r="V152" s="140">
        <v>-8.2662737337257496E-3</v>
      </c>
      <c r="W152" s="1">
        <f t="shared" si="24"/>
        <v>-2.082480213021435E-2</v>
      </c>
      <c r="X152" s="1">
        <f t="shared" si="26"/>
        <v>1.5999999999999874</v>
      </c>
      <c r="Y152" s="1">
        <f t="shared" si="27"/>
        <v>2.3980951982698319E-2</v>
      </c>
      <c r="Z152" s="1">
        <f t="shared" si="25"/>
        <v>1.1267908927650068E-2</v>
      </c>
      <c r="AA152" s="1">
        <f t="shared" si="28"/>
        <v>2.1282522015998904</v>
      </c>
      <c r="AC152" s="146">
        <f t="shared" si="34"/>
        <v>1.0799999999999974</v>
      </c>
      <c r="AD152" s="147">
        <v>2.0371895910055112E-2</v>
      </c>
      <c r="AE152" s="1">
        <f t="shared" si="29"/>
        <v>5997.1568626838989</v>
      </c>
      <c r="AH152" s="150">
        <f t="shared" si="35"/>
        <v>2.9200000000000021</v>
      </c>
      <c r="AI152" s="147">
        <v>0.44091465049740974</v>
      </c>
      <c r="AJ152" s="1">
        <f t="shared" si="30"/>
        <v>129798.14612067003</v>
      </c>
    </row>
    <row r="153" spans="15:36">
      <c r="O153" s="74">
        <f t="shared" si="32"/>
        <v>9.6999999999999815</v>
      </c>
      <c r="P153" s="122">
        <v>1.6115477981737201</v>
      </c>
      <c r="Q153" s="76">
        <v>4.3520463297587339E-2</v>
      </c>
      <c r="R153" s="1">
        <f t="shared" si="31"/>
        <v>37.029656305682302</v>
      </c>
      <c r="T153" s="140">
        <f t="shared" si="33"/>
        <v>-2.6499999999999915</v>
      </c>
      <c r="U153" s="140">
        <v>5.8644479321505807E-2</v>
      </c>
      <c r="V153" s="140">
        <v>-8.1131945905086045E-3</v>
      </c>
      <c r="W153" s="1">
        <f t="shared" si="24"/>
        <v>-2.1601175880573968E-2</v>
      </c>
      <c r="X153" s="1">
        <f t="shared" si="26"/>
        <v>1.5099999999999876</v>
      </c>
      <c r="Y153" s="1">
        <f t="shared" si="27"/>
        <v>2.8930108850423235E-2</v>
      </c>
      <c r="Z153" s="1">
        <f t="shared" si="25"/>
        <v>1.1259746677978865E-2</v>
      </c>
      <c r="AA153" s="1">
        <f t="shared" si="28"/>
        <v>2.5693392291855908</v>
      </c>
      <c r="AC153" s="146">
        <f t="shared" si="34"/>
        <v>1.0599999999999974</v>
      </c>
      <c r="AD153" s="147">
        <v>1.9994638578387423E-2</v>
      </c>
      <c r="AE153" s="1">
        <f t="shared" si="29"/>
        <v>5886.0984022638258</v>
      </c>
      <c r="AH153" s="150">
        <f t="shared" si="35"/>
        <v>2.9400000000000022</v>
      </c>
      <c r="AI153" s="147">
        <v>0.44314363108735677</v>
      </c>
      <c r="AJ153" s="1">
        <f t="shared" si="30"/>
        <v>130454.32197689911</v>
      </c>
    </row>
    <row r="154" spans="15:36">
      <c r="O154" s="74">
        <f t="shared" si="32"/>
        <v>9.7999999999999812</v>
      </c>
      <c r="P154" s="122">
        <v>1.6240301021073023</v>
      </c>
      <c r="Q154" s="76">
        <v>4.4056749935833153E-2</v>
      </c>
      <c r="R154" s="1">
        <f t="shared" si="31"/>
        <v>36.862231201181096</v>
      </c>
      <c r="T154" s="140">
        <f t="shared" si="33"/>
        <v>-2.5999999999999917</v>
      </c>
      <c r="U154" s="140">
        <v>6.4216930796373209E-2</v>
      </c>
      <c r="V154" s="140">
        <v>-7.9601154472914628E-3</v>
      </c>
      <c r="W154" s="1">
        <f t="shared" si="24"/>
        <v>-2.2377549630933594E-2</v>
      </c>
      <c r="X154" s="1">
        <f t="shared" si="26"/>
        <v>1.4199999999999877</v>
      </c>
      <c r="Y154" s="1">
        <f t="shared" si="27"/>
        <v>3.3879265718148151E-2</v>
      </c>
      <c r="Z154" s="1">
        <f t="shared" si="25"/>
        <v>1.1252652238319819E-2</v>
      </c>
      <c r="AA154" s="1">
        <f t="shared" si="28"/>
        <v>3.010780480958577</v>
      </c>
      <c r="AC154" s="146">
        <f t="shared" si="34"/>
        <v>1.0399999999999974</v>
      </c>
      <c r="AD154" s="147">
        <v>1.9617381246719735E-2</v>
      </c>
      <c r="AE154" s="1">
        <f t="shared" si="29"/>
        <v>5775.0399418437546</v>
      </c>
      <c r="AH154" s="150">
        <f t="shared" si="35"/>
        <v>2.9600000000000022</v>
      </c>
      <c r="AI154" s="147">
        <v>0.44537261167730369</v>
      </c>
      <c r="AJ154" s="1">
        <f t="shared" si="30"/>
        <v>131110.49783312815</v>
      </c>
    </row>
    <row r="155" spans="15:36">
      <c r="O155" s="74">
        <f t="shared" si="32"/>
        <v>9.8999999999999808</v>
      </c>
      <c r="P155" s="122">
        <v>1.636512406040884</v>
      </c>
      <c r="Q155" s="76">
        <v>4.4597459411917895E-2</v>
      </c>
      <c r="R155" s="1">
        <f t="shared" si="31"/>
        <v>36.695193574267925</v>
      </c>
      <c r="T155" s="140">
        <f t="shared" si="33"/>
        <v>-2.5499999999999918</v>
      </c>
      <c r="U155" s="140">
        <v>6.978938227124061E-2</v>
      </c>
      <c r="V155" s="140">
        <v>-7.8070363040743194E-3</v>
      </c>
      <c r="W155" s="1">
        <f t="shared" si="24"/>
        <v>-2.3153923381293216E-2</v>
      </c>
      <c r="X155" s="1">
        <f t="shared" si="26"/>
        <v>1.3299999999999879</v>
      </c>
      <c r="Y155" s="1">
        <f t="shared" si="27"/>
        <v>3.8828422585873074E-2</v>
      </c>
      <c r="Z155" s="1">
        <f t="shared" si="25"/>
        <v>1.1246625608672933E-2</v>
      </c>
      <c r="AA155" s="1">
        <f t="shared" si="28"/>
        <v>3.4524508894410246</v>
      </c>
      <c r="AC155" s="146">
        <f t="shared" si="34"/>
        <v>1.0199999999999974</v>
      </c>
      <c r="AD155" s="147">
        <v>1.9240123915052046E-2</v>
      </c>
      <c r="AE155" s="1">
        <f t="shared" si="29"/>
        <v>5663.9814814236806</v>
      </c>
      <c r="AH155" s="150">
        <f t="shared" si="35"/>
        <v>2.9800000000000022</v>
      </c>
      <c r="AI155" s="147">
        <v>0.44760159226725066</v>
      </c>
      <c r="AJ155" s="1">
        <f t="shared" si="30"/>
        <v>131766.67368935721</v>
      </c>
    </row>
    <row r="156" spans="15:36">
      <c r="O156" s="74">
        <f t="shared" si="32"/>
        <v>9.9999999999999805</v>
      </c>
      <c r="P156" s="122">
        <v>1.6489947099744662</v>
      </c>
      <c r="Q156" s="76">
        <v>4.5142591725841591E-2</v>
      </c>
      <c r="R156" s="1">
        <f t="shared" si="31"/>
        <v>36.528578597991959</v>
      </c>
      <c r="T156" s="140">
        <f t="shared" si="33"/>
        <v>-2.499999999999992</v>
      </c>
      <c r="U156" s="140">
        <v>7.5361833746108012E-2</v>
      </c>
      <c r="V156" s="140">
        <v>-7.6539571608571751E-3</v>
      </c>
      <c r="W156" s="1">
        <f t="shared" si="24"/>
        <v>-2.3930297131652841E-2</v>
      </c>
      <c r="X156" s="1">
        <f t="shared" si="26"/>
        <v>1.239999999999988</v>
      </c>
      <c r="Y156" s="1">
        <f t="shared" si="27"/>
        <v>4.377757945359799E-2</v>
      </c>
      <c r="Z156" s="1">
        <f t="shared" si="25"/>
        <v>1.1241666789038204E-2</v>
      </c>
      <c r="AA156" s="1">
        <f t="shared" si="28"/>
        <v>3.8942249646009515</v>
      </c>
      <c r="AC156" s="146">
        <f t="shared" si="34"/>
        <v>0.99999999999999734</v>
      </c>
      <c r="AD156" s="147">
        <v>1.8862866583384361E-2</v>
      </c>
      <c r="AE156" s="1">
        <f t="shared" si="29"/>
        <v>5552.9230210036094</v>
      </c>
      <c r="AH156" s="150">
        <f t="shared" si="35"/>
        <v>3.0000000000000022</v>
      </c>
      <c r="AI156" s="147">
        <v>0.44983057285719769</v>
      </c>
      <c r="AJ156" s="1">
        <f t="shared" si="30"/>
        <v>132422.8495455863</v>
      </c>
    </row>
    <row r="157" spans="15:36">
      <c r="O157" s="74">
        <f t="shared" si="32"/>
        <v>10.09999999999998</v>
      </c>
      <c r="P157" s="122">
        <v>1.6614770139080479</v>
      </c>
      <c r="Q157" s="76">
        <v>4.5692146877604214E-2</v>
      </c>
      <c r="R157" s="1">
        <f t="shared" si="31"/>
        <v>36.362419528210282</v>
      </c>
      <c r="T157" s="140">
        <f t="shared" si="33"/>
        <v>-2.4499999999999922</v>
      </c>
      <c r="U157" s="140">
        <v>8.0934285220975399E-2</v>
      </c>
      <c r="V157" s="140">
        <v>-7.5008780176400317E-3</v>
      </c>
      <c r="W157" s="1">
        <f t="shared" si="24"/>
        <v>-2.470667088201246E-2</v>
      </c>
      <c r="X157" s="1">
        <f t="shared" si="26"/>
        <v>1.1499999999999881</v>
      </c>
      <c r="Y157" s="1">
        <f t="shared" si="27"/>
        <v>4.8726736321322905E-2</v>
      </c>
      <c r="Z157" s="1">
        <f t="shared" si="25"/>
        <v>1.1237775779415633E-2</v>
      </c>
      <c r="AA157" s="1">
        <f t="shared" si="28"/>
        <v>4.3359769119594151</v>
      </c>
      <c r="AC157" s="146">
        <f t="shared" si="34"/>
        <v>0.97999999999999732</v>
      </c>
      <c r="AD157" s="147">
        <v>1.8485609251716668E-2</v>
      </c>
      <c r="AE157" s="1">
        <f t="shared" si="29"/>
        <v>5441.8645605835354</v>
      </c>
      <c r="AH157" s="150">
        <f t="shared" si="35"/>
        <v>3.0200000000000022</v>
      </c>
      <c r="AI157" s="147">
        <v>0.4520595534471446</v>
      </c>
      <c r="AJ157" s="1">
        <f t="shared" si="30"/>
        <v>133079.02540181534</v>
      </c>
    </row>
    <row r="158" spans="15:36">
      <c r="O158" s="74">
        <f t="shared" si="32"/>
        <v>10.19999999999998</v>
      </c>
      <c r="P158" s="122">
        <v>1.6739593178416299</v>
      </c>
      <c r="Q158" s="76">
        <v>4.6246124867205793E-2</v>
      </c>
      <c r="R158" s="1">
        <f t="shared" si="31"/>
        <v>36.196747784778687</v>
      </c>
      <c r="T158" s="140">
        <f t="shared" si="33"/>
        <v>-2.3999999999999924</v>
      </c>
      <c r="U158" s="140">
        <v>8.6506736695842801E-2</v>
      </c>
      <c r="V158" s="140">
        <v>-7.3477988744228883E-3</v>
      </c>
      <c r="W158" s="1">
        <f t="shared" si="24"/>
        <v>-2.5483044632372089E-2</v>
      </c>
      <c r="X158" s="1">
        <f t="shared" si="26"/>
        <v>1.0599999999999883</v>
      </c>
      <c r="Y158" s="1">
        <f t="shared" si="27"/>
        <v>5.3675893189047828E-2</v>
      </c>
      <c r="Z158" s="1">
        <f t="shared" si="25"/>
        <v>1.1234952579805219E-2</v>
      </c>
      <c r="AA158" s="1">
        <f t="shared" si="28"/>
        <v>4.7775807514782063</v>
      </c>
      <c r="AC158" s="146">
        <f t="shared" si="34"/>
        <v>0.9599999999999973</v>
      </c>
      <c r="AD158" s="147">
        <v>1.810835192004898E-2</v>
      </c>
      <c r="AE158" s="1">
        <f t="shared" si="29"/>
        <v>5330.8061001634633</v>
      </c>
      <c r="AH158" s="150">
        <f t="shared" si="35"/>
        <v>3.0400000000000023</v>
      </c>
      <c r="AI158" s="147">
        <v>0.45428853403709152</v>
      </c>
      <c r="AJ158" s="1">
        <f t="shared" si="30"/>
        <v>133735.20125804437</v>
      </c>
    </row>
    <row r="159" spans="15:36">
      <c r="O159" s="74">
        <f t="shared" si="32"/>
        <v>10.299999999999979</v>
      </c>
      <c r="P159" s="122">
        <v>1.6864416217752116</v>
      </c>
      <c r="Q159" s="76">
        <v>4.6804525694646298E-2</v>
      </c>
      <c r="R159" s="1">
        <f t="shared" si="31"/>
        <v>36.031593029648285</v>
      </c>
      <c r="T159" s="140">
        <f t="shared" si="33"/>
        <v>-2.3499999999999925</v>
      </c>
      <c r="U159" s="140">
        <v>9.2079188170710188E-2</v>
      </c>
      <c r="V159" s="140">
        <v>-7.1947197312057449E-3</v>
      </c>
      <c r="W159" s="1">
        <f t="shared" si="24"/>
        <v>-2.6259418382731714E-2</v>
      </c>
      <c r="X159" s="1">
        <f t="shared" si="26"/>
        <v>0.96999999999998843</v>
      </c>
      <c r="Y159" s="1">
        <f t="shared" si="27"/>
        <v>5.8625050056772723E-2</v>
      </c>
      <c r="Z159" s="1">
        <f t="shared" si="25"/>
        <v>1.1233197190206963E-2</v>
      </c>
      <c r="AA159" s="1">
        <f t="shared" si="28"/>
        <v>5.2189104369931032</v>
      </c>
      <c r="AC159" s="146">
        <f t="shared" si="34"/>
        <v>0.93999999999999728</v>
      </c>
      <c r="AD159" s="147">
        <v>1.7731094588381294E-2</v>
      </c>
      <c r="AE159" s="1">
        <f t="shared" si="29"/>
        <v>5219.747639743392</v>
      </c>
      <c r="AH159" s="150">
        <f t="shared" si="35"/>
        <v>3.0600000000000023</v>
      </c>
      <c r="AI159" s="147">
        <v>0.45651751462703855</v>
      </c>
      <c r="AJ159" s="1">
        <f t="shared" si="30"/>
        <v>134391.37711427346</v>
      </c>
    </row>
    <row r="160" spans="15:36">
      <c r="O160" s="74">
        <f t="shared" si="32"/>
        <v>10.399999999999979</v>
      </c>
      <c r="P160" s="122">
        <v>1.6989239257087938</v>
      </c>
      <c r="Q160" s="76">
        <v>4.7367349359925759E-2</v>
      </c>
      <c r="R160" s="1">
        <f t="shared" si="31"/>
        <v>35.866983241965741</v>
      </c>
      <c r="T160" s="140">
        <f t="shared" si="33"/>
        <v>-2.2999999999999927</v>
      </c>
      <c r="U160" s="140">
        <v>9.765163964557759E-2</v>
      </c>
      <c r="V160" s="140">
        <v>-7.0416405879886023E-3</v>
      </c>
      <c r="W160" s="1">
        <f t="shared" si="24"/>
        <v>-2.7035792133091333E-2</v>
      </c>
      <c r="X160" s="1">
        <f t="shared" si="26"/>
        <v>0.87999999999998857</v>
      </c>
      <c r="Y160" s="1">
        <f t="shared" si="27"/>
        <v>6.3574206924497653E-2</v>
      </c>
      <c r="Z160" s="1">
        <f t="shared" si="25"/>
        <v>1.1232509610620868E-2</v>
      </c>
      <c r="AA160" s="1">
        <f t="shared" si="28"/>
        <v>5.6598399759556175</v>
      </c>
      <c r="AC160" s="146">
        <f t="shared" si="34"/>
        <v>0.91999999999999726</v>
      </c>
      <c r="AD160" s="147">
        <v>1.7353837256713602E-2</v>
      </c>
      <c r="AE160" s="1">
        <f t="shared" si="29"/>
        <v>5108.6891793233181</v>
      </c>
      <c r="AH160" s="150">
        <f t="shared" si="35"/>
        <v>3.0800000000000023</v>
      </c>
      <c r="AI160" s="147">
        <v>0.45874649521698552</v>
      </c>
      <c r="AJ160" s="1">
        <f t="shared" si="30"/>
        <v>135047.5529705025</v>
      </c>
    </row>
    <row r="161" spans="15:36">
      <c r="O161" s="74">
        <f t="shared" si="32"/>
        <v>10.499999999999979</v>
      </c>
      <c r="P161" s="122">
        <v>1.7114062296423755</v>
      </c>
      <c r="Q161" s="76">
        <v>4.793459586304416E-2</v>
      </c>
      <c r="R161" s="1">
        <f t="shared" si="31"/>
        <v>35.70294479027428</v>
      </c>
      <c r="T161" s="140">
        <f t="shared" si="33"/>
        <v>-2.2499999999999929</v>
      </c>
      <c r="U161" s="140">
        <v>0.10322409112044501</v>
      </c>
      <c r="V161" s="140">
        <v>-6.888561444771458E-3</v>
      </c>
      <c r="W161" s="1">
        <f t="shared" si="24"/>
        <v>-2.7812165883450961E-2</v>
      </c>
      <c r="X161" s="1">
        <f t="shared" si="26"/>
        <v>0.78999999999998871</v>
      </c>
      <c r="Y161" s="1">
        <f t="shared" si="27"/>
        <v>6.8523363792222583E-2</v>
      </c>
      <c r="Z161" s="1">
        <f t="shared" si="25"/>
        <v>1.1232889841046928E-2</v>
      </c>
      <c r="AA161" s="1">
        <f t="shared" si="28"/>
        <v>6.1002435492446772</v>
      </c>
      <c r="AC161" s="146">
        <f t="shared" si="34"/>
        <v>0.89999999999999725</v>
      </c>
      <c r="AD161" s="147">
        <v>1.6976579925045917E-2</v>
      </c>
      <c r="AE161" s="1">
        <f t="shared" si="29"/>
        <v>4997.6307189032459</v>
      </c>
      <c r="AH161" s="150">
        <f t="shared" si="35"/>
        <v>3.1000000000000023</v>
      </c>
      <c r="AI161" s="147">
        <v>0.46097547580693243</v>
      </c>
      <c r="AJ161" s="1">
        <f t="shared" si="30"/>
        <v>135703.72882673156</v>
      </c>
    </row>
    <row r="162" spans="15:36">
      <c r="O162" s="74">
        <f t="shared" si="32"/>
        <v>10.599999999999978</v>
      </c>
      <c r="P162" s="122">
        <v>1.7238885335759577</v>
      </c>
      <c r="Q162" s="76">
        <v>4.8506265204001503E-2</v>
      </c>
      <c r="R162" s="1">
        <f t="shared" si="31"/>
        <v>35.539502501910746</v>
      </c>
      <c r="T162" s="140">
        <f t="shared" si="33"/>
        <v>-2.1999999999999931</v>
      </c>
      <c r="U162" s="140">
        <v>0.10879654259531238</v>
      </c>
      <c r="V162" s="140">
        <v>-6.7354823015543146E-3</v>
      </c>
      <c r="W162" s="1">
        <f t="shared" si="24"/>
        <v>-2.858853963381058E-2</v>
      </c>
      <c r="X162" s="1">
        <f t="shared" si="26"/>
        <v>0.69999999999998885</v>
      </c>
      <c r="Y162" s="1">
        <f t="shared" si="27"/>
        <v>7.3472520659947485E-2</v>
      </c>
      <c r="Z162" s="1">
        <f t="shared" si="25"/>
        <v>1.1234337881485149E-2</v>
      </c>
      <c r="AA162" s="1">
        <f t="shared" si="28"/>
        <v>6.5399956308092291</v>
      </c>
      <c r="AC162" s="146">
        <f t="shared" si="34"/>
        <v>0.87999999999999723</v>
      </c>
      <c r="AD162" s="147">
        <v>1.6599322593378228E-2</v>
      </c>
      <c r="AE162" s="1">
        <f t="shared" si="29"/>
        <v>4886.5722584831738</v>
      </c>
      <c r="AH162" s="150">
        <f t="shared" si="35"/>
        <v>3.1200000000000023</v>
      </c>
      <c r="AI162" s="147">
        <v>0.46320445639687935</v>
      </c>
      <c r="AJ162" s="1">
        <f t="shared" si="30"/>
        <v>136359.90468296059</v>
      </c>
    </row>
    <row r="163" spans="15:36">
      <c r="O163" s="74">
        <f t="shared" si="32"/>
        <v>10.699999999999978</v>
      </c>
      <c r="P163" s="122">
        <v>1.7363708375095395</v>
      </c>
      <c r="Q163" s="76">
        <v>4.9082357382797773E-2</v>
      </c>
      <c r="R163" s="1">
        <f t="shared" si="31"/>
        <v>35.376679729692384</v>
      </c>
      <c r="T163" s="140">
        <f t="shared" si="33"/>
        <v>-2.1499999999999932</v>
      </c>
      <c r="U163" s="140">
        <v>0.11436899407017978</v>
      </c>
      <c r="V163" s="140">
        <v>-6.5824031583371703E-3</v>
      </c>
      <c r="W163" s="1">
        <f t="shared" si="24"/>
        <v>-2.9364913384170205E-2</v>
      </c>
      <c r="X163" s="1">
        <f t="shared" si="26"/>
        <v>0.609999999999989</v>
      </c>
      <c r="Y163" s="1">
        <f t="shared" si="27"/>
        <v>7.8421677527672415E-2</v>
      </c>
      <c r="Z163" s="1">
        <f t="shared" si="25"/>
        <v>1.1236853731935526E-2</v>
      </c>
      <c r="AA163" s="1">
        <f t="shared" si="28"/>
        <v>6.9789711069029314</v>
      </c>
      <c r="AC163" s="146">
        <f t="shared" si="34"/>
        <v>0.85999999999999721</v>
      </c>
      <c r="AD163" s="147">
        <v>1.6222065261710536E-2</v>
      </c>
      <c r="AE163" s="1">
        <f t="shared" si="29"/>
        <v>4775.5137980630998</v>
      </c>
      <c r="AH163" s="150">
        <f t="shared" si="35"/>
        <v>3.1400000000000023</v>
      </c>
      <c r="AI163" s="147">
        <v>0.46543343698682638</v>
      </c>
      <c r="AJ163" s="1">
        <f t="shared" si="30"/>
        <v>137016.08053918966</v>
      </c>
    </row>
    <row r="164" spans="15:36">
      <c r="O164" s="74">
        <f t="shared" si="32"/>
        <v>10.799999999999978</v>
      </c>
      <c r="P164" s="122">
        <v>1.7488531414431217</v>
      </c>
      <c r="Q164" s="76">
        <v>4.9662872399432997E-2</v>
      </c>
      <c r="R164" s="1">
        <f t="shared" si="31"/>
        <v>35.214498415985467</v>
      </c>
      <c r="T164" s="140">
        <f t="shared" si="33"/>
        <v>-2.0999999999999934</v>
      </c>
      <c r="U164" s="140">
        <v>0.11994144554504718</v>
      </c>
      <c r="V164" s="140">
        <v>-6.4293240151200278E-3</v>
      </c>
      <c r="W164" s="1">
        <f t="shared" si="24"/>
        <v>-3.0141287134529831E-2</v>
      </c>
      <c r="X164" s="1">
        <f t="shared" si="26"/>
        <v>0.51999999999998914</v>
      </c>
      <c r="Y164" s="1">
        <f t="shared" si="27"/>
        <v>8.3370834395397317E-2</v>
      </c>
      <c r="Z164" s="1">
        <f t="shared" si="25"/>
        <v>1.1240437392398063E-2</v>
      </c>
      <c r="AA164" s="1">
        <f t="shared" si="28"/>
        <v>7.4170453946730959</v>
      </c>
      <c r="AC164" s="146">
        <f t="shared" si="34"/>
        <v>0.83999999999999719</v>
      </c>
      <c r="AD164" s="147">
        <v>1.5844807930042851E-2</v>
      </c>
      <c r="AE164" s="1">
        <f t="shared" si="29"/>
        <v>4664.4553376430276</v>
      </c>
      <c r="AH164" s="150">
        <f t="shared" si="35"/>
        <v>3.1600000000000024</v>
      </c>
      <c r="AI164" s="147">
        <v>0.46766241757677346</v>
      </c>
      <c r="AJ164" s="1">
        <f t="shared" si="30"/>
        <v>137672.25639541878</v>
      </c>
    </row>
    <row r="165" spans="15:36">
      <c r="O165" s="74">
        <f t="shared" si="32"/>
        <v>10.899999999999977</v>
      </c>
      <c r="P165" s="122">
        <v>1.7613354453767034</v>
      </c>
      <c r="Q165" s="76">
        <v>5.0247810253907163E-2</v>
      </c>
      <c r="R165" s="1">
        <f t="shared" si="31"/>
        <v>35.052979154245747</v>
      </c>
      <c r="T165" s="140">
        <f t="shared" si="33"/>
        <v>-2.0499999999999936</v>
      </c>
      <c r="U165" s="140">
        <v>0.12551389701991458</v>
      </c>
      <c r="V165" s="140">
        <v>-6.2762448719028844E-3</v>
      </c>
      <c r="W165" s="1">
        <f t="shared" si="24"/>
        <v>-3.0917660884889456E-2</v>
      </c>
      <c r="X165" s="1">
        <f t="shared" si="26"/>
        <v>0.42999999999998928</v>
      </c>
      <c r="Y165" s="1">
        <f t="shared" si="27"/>
        <v>8.8319991263122247E-2</v>
      </c>
      <c r="Z165" s="1">
        <f t="shared" si="25"/>
        <v>1.1245088862872754E-2</v>
      </c>
      <c r="AA165" s="1">
        <f t="shared" si="28"/>
        <v>7.8540945598680985</v>
      </c>
      <c r="AC165" s="146">
        <f t="shared" si="34"/>
        <v>0.81999999999999718</v>
      </c>
      <c r="AD165" s="147">
        <v>1.5467550598375162E-2</v>
      </c>
      <c r="AE165" s="1">
        <f t="shared" si="29"/>
        <v>4553.3968772229555</v>
      </c>
      <c r="AH165" s="150">
        <f t="shared" si="35"/>
        <v>3.1800000000000024</v>
      </c>
      <c r="AI165" s="147">
        <v>0.46989139816672038</v>
      </c>
      <c r="AJ165" s="1">
        <f t="shared" si="30"/>
        <v>138328.43225164781</v>
      </c>
    </row>
    <row r="166" spans="15:36">
      <c r="O166" s="74">
        <f t="shared" si="32"/>
        <v>10.999999999999977</v>
      </c>
      <c r="P166" s="122">
        <v>1.7738177493102851</v>
      </c>
      <c r="Q166" s="76">
        <v>5.0837170946220284E-2</v>
      </c>
      <c r="R166" s="1">
        <f t="shared" si="31"/>
        <v>34.892141248118911</v>
      </c>
      <c r="T166" s="140">
        <f t="shared" si="33"/>
        <v>-1.9999999999999936</v>
      </c>
      <c r="U166" s="140">
        <v>0.13108634849478198</v>
      </c>
      <c r="V166" s="140">
        <v>-6.1231657286857401E-3</v>
      </c>
      <c r="W166" s="1">
        <f t="shared" si="24"/>
        <v>-3.1694034635249071E-2</v>
      </c>
      <c r="X166" s="1">
        <f t="shared" si="26"/>
        <v>0.31999999999998918</v>
      </c>
      <c r="Y166" s="1">
        <f t="shared" si="27"/>
        <v>9.3269148130847176E-2</v>
      </c>
      <c r="Z166" s="1">
        <f t="shared" si="25"/>
        <v>1.1250808143359608E-2</v>
      </c>
      <c r="AA166" s="1">
        <f t="shared" si="28"/>
        <v>8.2899954334299082</v>
      </c>
      <c r="AC166" s="146">
        <f t="shared" si="34"/>
        <v>0.79999999999999716</v>
      </c>
      <c r="AD166" s="147">
        <v>1.5090293266707471E-2</v>
      </c>
      <c r="AE166" s="1">
        <f t="shared" si="29"/>
        <v>4442.3384168028833</v>
      </c>
      <c r="AH166" s="150">
        <f t="shared" si="35"/>
        <v>3.2000000000000024</v>
      </c>
      <c r="AI166" s="147">
        <v>0.47212037875666729</v>
      </c>
      <c r="AJ166" s="1">
        <f t="shared" si="30"/>
        <v>138984.60810787688</v>
      </c>
    </row>
    <row r="167" spans="15:36">
      <c r="O167" s="74">
        <f t="shared" si="32"/>
        <v>11.099999999999977</v>
      </c>
      <c r="P167" s="122">
        <v>1.7863000532438671</v>
      </c>
      <c r="Q167" s="76">
        <v>5.1430954476372318E-2</v>
      </c>
      <c r="R167" s="1">
        <f t="shared" si="31"/>
        <v>34.73200276818708</v>
      </c>
      <c r="T167" s="140">
        <f t="shared" si="33"/>
        <v>-1.9499999999999935</v>
      </c>
      <c r="U167" s="140">
        <v>0.13665879996964941</v>
      </c>
      <c r="V167" s="140">
        <v>-5.9700865854685958E-3</v>
      </c>
      <c r="W167" s="1">
        <f t="shared" si="24"/>
        <v>-3.2470408385608704E-2</v>
      </c>
      <c r="X167" s="1">
        <f t="shared" si="26"/>
        <v>0.2299999999999891</v>
      </c>
      <c r="Y167" s="1">
        <f t="shared" si="27"/>
        <v>9.8218304998572106E-2</v>
      </c>
      <c r="Z167" s="1">
        <f t="shared" si="25"/>
        <v>1.1257595233858617E-2</v>
      </c>
      <c r="AA167" s="1">
        <f t="shared" si="28"/>
        <v>8.7246257267420972</v>
      </c>
      <c r="AC167" s="146">
        <f t="shared" si="34"/>
        <v>0.77999999999999714</v>
      </c>
      <c r="AD167" s="147">
        <v>1.4713035935039784E-2</v>
      </c>
      <c r="AE167" s="1">
        <f t="shared" si="29"/>
        <v>4331.2799563828112</v>
      </c>
      <c r="AH167" s="150">
        <f t="shared" si="35"/>
        <v>3.2200000000000024</v>
      </c>
      <c r="AI167" s="147">
        <v>0.47434935934661432</v>
      </c>
      <c r="AJ167" s="1">
        <f t="shared" si="30"/>
        <v>139640.78396410594</v>
      </c>
    </row>
    <row r="168" spans="15:36">
      <c r="O168" s="74">
        <f t="shared" si="32"/>
        <v>11.199999999999976</v>
      </c>
      <c r="P168" s="122">
        <v>1.7987823571774493</v>
      </c>
      <c r="Q168" s="76">
        <v>5.202916084436332E-2</v>
      </c>
      <c r="R168" s="1">
        <f t="shared" si="31"/>
        <v>34.572580606445122</v>
      </c>
      <c r="T168" s="140">
        <f t="shared" si="33"/>
        <v>-1.8999999999999935</v>
      </c>
      <c r="U168" s="140">
        <v>0.14223125144451684</v>
      </c>
      <c r="V168" s="140">
        <v>-5.8170074422514515E-3</v>
      </c>
      <c r="W168" s="1">
        <f t="shared" si="24"/>
        <v>-3.3246782135968329E-2</v>
      </c>
      <c r="X168" s="1">
        <f t="shared" si="26"/>
        <v>0.13999999999998902</v>
      </c>
      <c r="Y168" s="1">
        <f t="shared" si="27"/>
        <v>0.10316746186629708</v>
      </c>
      <c r="Z168" s="1">
        <f t="shared" si="25"/>
        <v>1.1265450134369786E-2</v>
      </c>
      <c r="AA168" s="1">
        <f t="shared" si="28"/>
        <v>9.1578641453077179</v>
      </c>
      <c r="AC168" s="146">
        <f t="shared" si="34"/>
        <v>0.75999999999999712</v>
      </c>
      <c r="AD168" s="147">
        <v>1.4335778603372096E-2</v>
      </c>
      <c r="AE168" s="1">
        <f t="shared" si="29"/>
        <v>4220.2214959627372</v>
      </c>
      <c r="AH168" s="150">
        <f t="shared" si="35"/>
        <v>3.2400000000000024</v>
      </c>
      <c r="AI168" s="147">
        <v>0.47657833993656129</v>
      </c>
      <c r="AJ168" s="1">
        <f t="shared" si="30"/>
        <v>140296.95982033497</v>
      </c>
    </row>
    <row r="169" spans="15:36">
      <c r="O169" s="74">
        <f t="shared" si="32"/>
        <v>11.299999999999976</v>
      </c>
      <c r="P169" s="122">
        <v>1.8112646611110308</v>
      </c>
      <c r="Q169" s="76">
        <v>5.263179005019325E-2</v>
      </c>
      <c r="R169" s="1">
        <f t="shared" si="31"/>
        <v>34.413890528589008</v>
      </c>
      <c r="T169" s="140">
        <f t="shared" si="33"/>
        <v>-1.8499999999999934</v>
      </c>
      <c r="U169" s="140">
        <v>0.14780370291938427</v>
      </c>
      <c r="V169" s="140">
        <v>-5.6639282990343081E-3</v>
      </c>
      <c r="W169" s="1">
        <f t="shared" si="24"/>
        <v>-3.4023155886327962E-2</v>
      </c>
      <c r="X169" s="1">
        <f t="shared" si="26"/>
        <v>4.9999999999988942E-2</v>
      </c>
      <c r="Y169" s="1">
        <f t="shared" si="27"/>
        <v>0.10811661873402201</v>
      </c>
      <c r="Z169" s="1">
        <f t="shared" si="25"/>
        <v>1.1274372844893113E-2</v>
      </c>
      <c r="AA169" s="1">
        <f t="shared" si="28"/>
        <v>9.5895905006365787</v>
      </c>
      <c r="AC169" s="146">
        <f t="shared" si="34"/>
        <v>0.7399999999999971</v>
      </c>
      <c r="AD169" s="147">
        <v>1.3958521271704407E-2</v>
      </c>
      <c r="AE169" s="1">
        <f t="shared" si="29"/>
        <v>4109.1630355426651</v>
      </c>
      <c r="AH169" s="150">
        <f t="shared" si="35"/>
        <v>3.2600000000000025</v>
      </c>
      <c r="AI169" s="147">
        <v>0.47880732052650821</v>
      </c>
      <c r="AJ169" s="1">
        <f t="shared" si="30"/>
        <v>140953.13567656404</v>
      </c>
    </row>
    <row r="170" spans="15:36">
      <c r="O170" s="74">
        <f t="shared" si="32"/>
        <v>11.399999999999975</v>
      </c>
      <c r="P170" s="122">
        <v>1.8237469650446132</v>
      </c>
      <c r="Q170" s="76">
        <v>5.3238842093862135E-2</v>
      </c>
      <c r="R170" s="1">
        <f t="shared" si="31"/>
        <v>34.255947224195388</v>
      </c>
      <c r="T170" s="140">
        <f t="shared" si="33"/>
        <v>-1.7999999999999934</v>
      </c>
      <c r="U170" s="140">
        <v>0.1533761543942517</v>
      </c>
      <c r="V170" s="140">
        <v>-5.5108491558171638E-3</v>
      </c>
      <c r="W170" s="1">
        <f t="shared" si="24"/>
        <v>-3.4799529636687587E-2</v>
      </c>
      <c r="X170" s="1">
        <f t="shared" si="26"/>
        <v>-4.0000000000011138E-2</v>
      </c>
      <c r="Y170" s="1">
        <f t="shared" si="27"/>
        <v>0.11306577560174694</v>
      </c>
      <c r="Z170" s="1">
        <f t="shared" si="25"/>
        <v>1.1284363365428597E-2</v>
      </c>
      <c r="AA170" s="1">
        <f t="shared" si="28"/>
        <v>10.019685820127126</v>
      </c>
      <c r="AC170" s="146">
        <f t="shared" si="34"/>
        <v>0.71999999999999709</v>
      </c>
      <c r="AD170" s="147">
        <v>1.3581263940036718E-2</v>
      </c>
      <c r="AE170" s="1">
        <f t="shared" si="29"/>
        <v>3998.1045751225929</v>
      </c>
      <c r="AH170" s="150">
        <f t="shared" si="35"/>
        <v>3.2800000000000025</v>
      </c>
      <c r="AI170" s="147">
        <v>0.48103630111645512</v>
      </c>
      <c r="AJ170" s="1">
        <f t="shared" si="30"/>
        <v>141609.31153279307</v>
      </c>
    </row>
    <row r="171" spans="15:36">
      <c r="O171" s="74">
        <f t="shared" si="32"/>
        <v>11.499999999999975</v>
      </c>
      <c r="P171" s="122">
        <v>1.8362292689781949</v>
      </c>
      <c r="Q171" s="76">
        <v>5.3850316975369947E-2</v>
      </c>
      <c r="R171" s="1">
        <f t="shared" si="31"/>
        <v>34.098764354869985</v>
      </c>
      <c r="T171" s="140">
        <f t="shared" si="33"/>
        <v>-1.7499999999999933</v>
      </c>
      <c r="U171" s="140">
        <v>0.1589486058691191</v>
      </c>
      <c r="V171" s="140">
        <v>-5.3577700126000195E-3</v>
      </c>
      <c r="W171" s="1">
        <f t="shared" si="24"/>
        <v>-3.5575903387047206E-2</v>
      </c>
      <c r="X171" s="1">
        <f t="shared" si="26"/>
        <v>-0.13000000000001122</v>
      </c>
      <c r="Y171" s="1">
        <f t="shared" si="27"/>
        <v>0.11801493246947188</v>
      </c>
      <c r="Z171" s="1">
        <f t="shared" si="25"/>
        <v>1.129542169597624E-2</v>
      </c>
      <c r="AA171" s="1">
        <f t="shared" si="28"/>
        <v>10.448032454734493</v>
      </c>
      <c r="AC171" s="146">
        <f t="shared" si="34"/>
        <v>0.69999999999999707</v>
      </c>
      <c r="AD171" s="147">
        <v>1.3204006608369031E-2</v>
      </c>
      <c r="AE171" s="1">
        <f t="shared" si="29"/>
        <v>3887.0461147025203</v>
      </c>
      <c r="AH171" s="150">
        <f t="shared" si="35"/>
        <v>3.3000000000000025</v>
      </c>
      <c r="AI171" s="147">
        <v>0.48326528170640215</v>
      </c>
      <c r="AJ171" s="1">
        <f t="shared" si="30"/>
        <v>142265.48738902214</v>
      </c>
    </row>
    <row r="172" spans="15:36">
      <c r="O172" s="74">
        <f t="shared" si="32"/>
        <v>11.599999999999975</v>
      </c>
      <c r="P172" s="122">
        <v>1.8487115729117769</v>
      </c>
      <c r="Q172" s="76">
        <v>5.44662146947167E-2</v>
      </c>
      <c r="R172" s="1">
        <f t="shared" si="31"/>
        <v>33.942354600440126</v>
      </c>
      <c r="T172" s="140">
        <f t="shared" si="33"/>
        <v>-1.6999999999999933</v>
      </c>
      <c r="U172" s="140">
        <v>0.16452105734398653</v>
      </c>
      <c r="V172" s="140">
        <v>-5.2046908693828752E-3</v>
      </c>
      <c r="W172" s="1">
        <f t="shared" si="24"/>
        <v>-3.6352277137406838E-2</v>
      </c>
      <c r="X172" s="1">
        <f t="shared" si="26"/>
        <v>-0.2200000000000113</v>
      </c>
      <c r="Y172" s="1">
        <f t="shared" si="27"/>
        <v>0.12296408933719681</v>
      </c>
      <c r="Z172" s="1">
        <f t="shared" si="25"/>
        <v>1.1307547836536041E-2</v>
      </c>
      <c r="AA172" s="1">
        <f t="shared" si="28"/>
        <v>10.874514184223489</v>
      </c>
      <c r="AC172" s="146">
        <f t="shared" si="34"/>
        <v>0.67999999999999705</v>
      </c>
      <c r="AD172" s="147">
        <v>1.2826749276701341E-2</v>
      </c>
      <c r="AE172" s="1">
        <f t="shared" si="29"/>
        <v>3775.9876542824477</v>
      </c>
      <c r="AH172" s="150">
        <f t="shared" si="35"/>
        <v>3.3200000000000025</v>
      </c>
      <c r="AI172" s="147">
        <v>0.48549426229634918</v>
      </c>
      <c r="AJ172" s="1">
        <f t="shared" si="30"/>
        <v>142921.66324525123</v>
      </c>
    </row>
    <row r="173" spans="15:36">
      <c r="O173" s="74">
        <f t="shared" si="32"/>
        <v>11.699999999999974</v>
      </c>
      <c r="P173" s="122">
        <v>1.8611938768453589</v>
      </c>
      <c r="Q173" s="76">
        <v>5.5086535251902408E-2</v>
      </c>
      <c r="R173" s="1">
        <f t="shared" si="31"/>
        <v>33.78672970326415</v>
      </c>
      <c r="T173" s="140">
        <f t="shared" si="33"/>
        <v>-1.6499999999999932</v>
      </c>
      <c r="U173" s="140">
        <v>0.17009350881885396</v>
      </c>
      <c r="V173" s="140">
        <v>-5.051611726165731E-3</v>
      </c>
      <c r="W173" s="1">
        <f t="shared" si="24"/>
        <v>-3.7128650887766464E-2</v>
      </c>
      <c r="X173" s="1">
        <f t="shared" si="26"/>
        <v>-0.31000000000001138</v>
      </c>
      <c r="Y173" s="1">
        <f t="shared" si="27"/>
        <v>0.12791324620492178</v>
      </c>
      <c r="Z173" s="1">
        <f t="shared" si="25"/>
        <v>1.1320741787107999E-2</v>
      </c>
      <c r="AA173" s="1">
        <f t="shared" si="28"/>
        <v>11.299016319812957</v>
      </c>
      <c r="AC173" s="146">
        <f t="shared" si="34"/>
        <v>0.65999999999999703</v>
      </c>
      <c r="AD173" s="147">
        <v>1.2449491945033652E-2</v>
      </c>
      <c r="AE173" s="1">
        <f t="shared" si="29"/>
        <v>3664.9291938623742</v>
      </c>
      <c r="AH173" s="150">
        <f t="shared" si="35"/>
        <v>3.3400000000000025</v>
      </c>
      <c r="AI173" s="147">
        <v>0.48772324288629609</v>
      </c>
      <c r="AJ173" s="1">
        <f t="shared" si="30"/>
        <v>143577.83910148026</v>
      </c>
    </row>
    <row r="174" spans="15:36">
      <c r="O174" s="74">
        <f t="shared" si="32"/>
        <v>11.799999999999974</v>
      </c>
      <c r="P174" s="122">
        <v>1.8736761807789408</v>
      </c>
      <c r="Q174" s="76">
        <v>5.5711278646927043E-2</v>
      </c>
      <c r="R174" s="1">
        <f t="shared" si="31"/>
        <v>33.631900510728812</v>
      </c>
      <c r="T174" s="140">
        <f t="shared" si="33"/>
        <v>-1.5999999999999932</v>
      </c>
      <c r="U174" s="140">
        <v>0.17566596029372136</v>
      </c>
      <c r="V174" s="140">
        <v>-4.8985325829485876E-3</v>
      </c>
      <c r="W174" s="1">
        <f t="shared" si="24"/>
        <v>-3.7905024638126089E-2</v>
      </c>
      <c r="X174" s="1">
        <f t="shared" si="26"/>
        <v>-0.40000000000001124</v>
      </c>
      <c r="Y174" s="1">
        <f t="shared" si="27"/>
        <v>0.13286240307264668</v>
      </c>
      <c r="Z174" s="1">
        <f t="shared" si="25"/>
        <v>1.1335003547692117E-2</v>
      </c>
      <c r="AA174" s="1">
        <f t="shared" si="28"/>
        <v>11.721425804026181</v>
      </c>
      <c r="AC174" s="146">
        <f t="shared" si="34"/>
        <v>0.63999999999999702</v>
      </c>
      <c r="AD174" s="147">
        <v>1.2072234613365965E-2</v>
      </c>
      <c r="AE174" s="1">
        <f t="shared" si="29"/>
        <v>3553.8707334423025</v>
      </c>
      <c r="AH174" s="150">
        <f t="shared" si="35"/>
        <v>3.3600000000000025</v>
      </c>
      <c r="AI174" s="147">
        <v>0.48995222347624301</v>
      </c>
      <c r="AJ174" s="1">
        <f t="shared" si="30"/>
        <v>144234.0149577093</v>
      </c>
    </row>
    <row r="175" spans="15:36">
      <c r="O175" s="74">
        <f t="shared" si="32"/>
        <v>11.899999999999974</v>
      </c>
      <c r="P175" s="122">
        <v>1.8861584847125226</v>
      </c>
      <c r="Q175" s="76">
        <v>5.6340444879790619E-2</v>
      </c>
      <c r="R175" s="1">
        <f t="shared" si="31"/>
        <v>33.477877016002935</v>
      </c>
      <c r="T175" s="140">
        <f t="shared" si="33"/>
        <v>-1.5499999999999932</v>
      </c>
      <c r="U175" s="140">
        <v>0.18123841176858879</v>
      </c>
      <c r="V175" s="140">
        <v>-4.7454534397314433E-3</v>
      </c>
      <c r="W175" s="1">
        <f t="shared" si="24"/>
        <v>-3.8681398388485715E-2</v>
      </c>
      <c r="X175" s="1">
        <f t="shared" si="26"/>
        <v>-0.49000000000001132</v>
      </c>
      <c r="Y175" s="1">
        <f t="shared" si="27"/>
        <v>0.13781155994037161</v>
      </c>
      <c r="Z175" s="1">
        <f t="shared" si="25"/>
        <v>1.135033311828839E-2</v>
      </c>
      <c r="AA175" s="1">
        <f t="shared" si="28"/>
        <v>12.141631307571117</v>
      </c>
      <c r="AC175" s="146">
        <f t="shared" si="34"/>
        <v>0.619999999999997</v>
      </c>
      <c r="AD175" s="147">
        <v>1.1694977281698276E-2</v>
      </c>
      <c r="AE175" s="1">
        <f t="shared" si="29"/>
        <v>3442.8122730222299</v>
      </c>
      <c r="AH175" s="150">
        <f t="shared" si="35"/>
        <v>3.3800000000000026</v>
      </c>
      <c r="AI175" s="147">
        <v>0.49218120406618998</v>
      </c>
      <c r="AJ175" s="1">
        <f t="shared" si="30"/>
        <v>144890.19081393836</v>
      </c>
    </row>
    <row r="176" spans="15:36">
      <c r="O176" s="74">
        <f t="shared" si="32"/>
        <v>11.999999999999973</v>
      </c>
      <c r="P176" s="122">
        <v>1.8986407886461047</v>
      </c>
      <c r="Q176" s="76">
        <v>5.6974033950493178E-2</v>
      </c>
      <c r="R176" s="1">
        <f t="shared" si="31"/>
        <v>33.324668397114081</v>
      </c>
      <c r="T176" s="140">
        <f t="shared" si="33"/>
        <v>-1.4999999999999931</v>
      </c>
      <c r="U176" s="140">
        <v>0.18681086324345622</v>
      </c>
      <c r="V176" s="140">
        <v>-4.592374296514299E-3</v>
      </c>
      <c r="W176" s="1">
        <f t="shared" si="24"/>
        <v>-3.945777213884534E-2</v>
      </c>
      <c r="X176" s="1">
        <f t="shared" si="26"/>
        <v>-0.5800000000000114</v>
      </c>
      <c r="Y176" s="1">
        <f t="shared" si="27"/>
        <v>0.1427607168080966</v>
      </c>
      <c r="Z176" s="1">
        <f t="shared" si="25"/>
        <v>1.1366730498896827E-2</v>
      </c>
      <c r="AA176" s="1">
        <f t="shared" si="28"/>
        <v>12.559523323083267</v>
      </c>
      <c r="AC176" s="146">
        <f t="shared" si="34"/>
        <v>0.59999999999999698</v>
      </c>
      <c r="AD176" s="147">
        <v>1.1317719950030588E-2</v>
      </c>
      <c r="AE176" s="1">
        <f t="shared" si="29"/>
        <v>3331.7538126021573</v>
      </c>
      <c r="AH176" s="150">
        <f t="shared" si="35"/>
        <v>3.4000000000000026</v>
      </c>
      <c r="AI176" s="147">
        <v>0.49441018465613706</v>
      </c>
      <c r="AJ176" s="1">
        <f t="shared" si="30"/>
        <v>145546.36667016745</v>
      </c>
    </row>
    <row r="177" spans="15:36">
      <c r="O177" s="74">
        <f t="shared" si="32"/>
        <v>12.099999999999973</v>
      </c>
      <c r="P177" s="122">
        <v>1.9111230925796863</v>
      </c>
      <c r="Q177" s="76">
        <v>5.7612045859034636E-2</v>
      </c>
      <c r="R177" s="1">
        <f t="shared" si="31"/>
        <v>33.172283054412425</v>
      </c>
      <c r="T177" s="140">
        <f t="shared" si="33"/>
        <v>-1.4499999999999931</v>
      </c>
      <c r="U177" s="140">
        <v>0.19238331471832365</v>
      </c>
      <c r="V177" s="140">
        <v>-4.4392951532971547E-3</v>
      </c>
      <c r="W177" s="1">
        <f t="shared" si="24"/>
        <v>-4.0234145889204972E-2</v>
      </c>
      <c r="X177" s="1">
        <f t="shared" si="26"/>
        <v>-0.67000000000001148</v>
      </c>
      <c r="Y177" s="1">
        <f t="shared" si="27"/>
        <v>0.1477098736758215</v>
      </c>
      <c r="Z177" s="1">
        <f t="shared" si="25"/>
        <v>1.1384195689517417E-2</v>
      </c>
      <c r="AA177" s="1">
        <f t="shared" si="28"/>
        <v>12.97499425557424</v>
      </c>
      <c r="AC177" s="146">
        <f t="shared" si="34"/>
        <v>0.57999999999999696</v>
      </c>
      <c r="AD177" s="147">
        <v>1.0940462618362901E-2</v>
      </c>
      <c r="AE177" s="1">
        <f t="shared" si="29"/>
        <v>3220.6953521820847</v>
      </c>
      <c r="AH177" s="150">
        <f t="shared" si="35"/>
        <v>3.4200000000000026</v>
      </c>
      <c r="AI177" s="147">
        <v>0.49663916524608398</v>
      </c>
      <c r="AJ177" s="1">
        <f t="shared" si="30"/>
        <v>146202.54252639649</v>
      </c>
    </row>
    <row r="178" spans="15:36">
      <c r="O178" s="74">
        <f t="shared" si="32"/>
        <v>12.199999999999973</v>
      </c>
      <c r="P178" s="122">
        <v>1.9236053965132685</v>
      </c>
      <c r="Q178" s="76">
        <v>5.8254480605415035E-2</v>
      </c>
      <c r="R178" s="1">
        <f t="shared" si="31"/>
        <v>33.020728646483889</v>
      </c>
      <c r="T178" s="140">
        <f t="shared" si="33"/>
        <v>-1.399999999999993</v>
      </c>
      <c r="U178" s="140">
        <v>0.19795576619319108</v>
      </c>
      <c r="V178" s="140">
        <v>-4.2862160100800104E-3</v>
      </c>
      <c r="W178" s="1">
        <f t="shared" si="24"/>
        <v>-4.1010519639564598E-2</v>
      </c>
      <c r="X178" s="1">
        <f t="shared" si="26"/>
        <v>-0.76000000000001156</v>
      </c>
      <c r="Y178" s="1">
        <f t="shared" si="27"/>
        <v>0.15265903054354649</v>
      </c>
      <c r="Z178" s="1">
        <f t="shared" si="25"/>
        <v>1.1402728690150167E-2</v>
      </c>
      <c r="AA178" s="1">
        <f t="shared" si="28"/>
        <v>13.387938509439012</v>
      </c>
      <c r="AC178" s="146">
        <f t="shared" si="34"/>
        <v>0.55999999999999694</v>
      </c>
      <c r="AD178" s="147">
        <v>1.0563205286695212E-2</v>
      </c>
      <c r="AE178" s="1">
        <f t="shared" si="29"/>
        <v>3109.6368917620125</v>
      </c>
      <c r="AH178" s="150">
        <f t="shared" si="35"/>
        <v>3.4400000000000026</v>
      </c>
      <c r="AI178" s="147">
        <v>0.4988681458360309</v>
      </c>
      <c r="AJ178" s="1">
        <f t="shared" si="30"/>
        <v>146858.71838262555</v>
      </c>
    </row>
    <row r="179" spans="15:36">
      <c r="O179" s="74">
        <f t="shared" si="32"/>
        <v>12.299999999999972</v>
      </c>
      <c r="P179" s="122">
        <v>1.9360877004468504</v>
      </c>
      <c r="Q179" s="76">
        <v>5.8901338189634403E-2</v>
      </c>
      <c r="R179" s="1">
        <f t="shared" si="31"/>
        <v>32.870012124572881</v>
      </c>
      <c r="T179" s="140">
        <f t="shared" si="33"/>
        <v>-1.349999999999993</v>
      </c>
      <c r="U179" s="140">
        <v>0.20352821766805848</v>
      </c>
      <c r="V179" s="140">
        <v>-4.1331368668628661E-3</v>
      </c>
      <c r="W179" s="1">
        <f t="shared" si="24"/>
        <v>-4.178689338992423E-2</v>
      </c>
      <c r="X179" s="1">
        <f t="shared" si="26"/>
        <v>-0.85000000000001164</v>
      </c>
      <c r="Y179" s="1">
        <f t="shared" si="27"/>
        <v>0.15760818741127139</v>
      </c>
      <c r="Z179" s="1">
        <f t="shared" si="25"/>
        <v>1.1422329500795074E-2</v>
      </c>
      <c r="AA179" s="1">
        <f t="shared" si="28"/>
        <v>13.798252571885687</v>
      </c>
      <c r="AC179" s="146">
        <f t="shared" si="34"/>
        <v>0.53999999999999693</v>
      </c>
      <c r="AD179" s="147">
        <v>1.0185947955027521E-2</v>
      </c>
      <c r="AE179" s="1">
        <f t="shared" si="29"/>
        <v>2998.5784313419399</v>
      </c>
      <c r="AH179" s="150">
        <f t="shared" si="35"/>
        <v>3.4600000000000026</v>
      </c>
      <c r="AI179" s="147">
        <v>0.50109712642597792</v>
      </c>
      <c r="AJ179" s="1">
        <f t="shared" si="30"/>
        <v>147514.89423885464</v>
      </c>
    </row>
    <row r="180" spans="15:36">
      <c r="O180" s="74">
        <f t="shared" si="32"/>
        <v>12.399999999999972</v>
      </c>
      <c r="P180" s="122">
        <v>1.9485700043804324</v>
      </c>
      <c r="Q180" s="76">
        <v>5.9552618611692684E-2</v>
      </c>
      <c r="R180" s="1">
        <f t="shared" si="31"/>
        <v>32.720139765572732</v>
      </c>
      <c r="T180" s="140">
        <f t="shared" si="33"/>
        <v>-1.2999999999999929</v>
      </c>
      <c r="U180" s="140">
        <v>0.20910066914292588</v>
      </c>
      <c r="V180" s="140">
        <v>-3.9800577236457219E-3</v>
      </c>
      <c r="W180" s="1">
        <f t="shared" si="24"/>
        <v>-4.2563267140283849E-2</v>
      </c>
      <c r="X180" s="1">
        <f t="shared" si="26"/>
        <v>-0.94000000000001172</v>
      </c>
      <c r="Y180" s="1">
        <f t="shared" si="27"/>
        <v>0.16255734427899632</v>
      </c>
      <c r="Z180" s="1">
        <f t="shared" si="25"/>
        <v>1.1442998121452139E-2</v>
      </c>
      <c r="AA180" s="1">
        <f t="shared" si="28"/>
        <v>14.205835092662539</v>
      </c>
      <c r="AC180" s="146">
        <f t="shared" si="34"/>
        <v>0.51999999999999691</v>
      </c>
      <c r="AD180" s="147">
        <v>9.8086906233598326E-3</v>
      </c>
      <c r="AE180" s="1">
        <f t="shared" si="29"/>
        <v>2887.5199709218668</v>
      </c>
      <c r="AH180" s="150">
        <f t="shared" si="35"/>
        <v>3.4800000000000026</v>
      </c>
      <c r="AI180" s="147">
        <v>0.50332610701592495</v>
      </c>
      <c r="AJ180" s="1">
        <f t="shared" si="30"/>
        <v>148171.07009508371</v>
      </c>
    </row>
    <row r="181" spans="15:36">
      <c r="O181" s="74">
        <f t="shared" si="32"/>
        <v>12.499999999999972</v>
      </c>
      <c r="P181" s="122">
        <v>1.9610523083140141</v>
      </c>
      <c r="Q181" s="76">
        <v>6.020832187158992E-2</v>
      </c>
      <c r="R181" s="1">
        <f t="shared" si="31"/>
        <v>32.571117203639623</v>
      </c>
      <c r="T181" s="140">
        <f t="shared" si="33"/>
        <v>-1.2499999999999929</v>
      </c>
      <c r="U181" s="140">
        <v>0.21467312061779331</v>
      </c>
      <c r="V181" s="140">
        <v>-3.8269785804285784E-3</v>
      </c>
      <c r="W181" s="1">
        <f t="shared" si="24"/>
        <v>-4.3339640890643474E-2</v>
      </c>
      <c r="X181" s="1">
        <f t="shared" si="26"/>
        <v>-1.0300000000000118</v>
      </c>
      <c r="Y181" s="1">
        <f t="shared" si="27"/>
        <v>0.16750650114672128</v>
      </c>
      <c r="Z181" s="1">
        <f t="shared" si="25"/>
        <v>1.1464734552121363E-2</v>
      </c>
      <c r="AA181" s="1">
        <f t="shared" si="28"/>
        <v>14.610586959968202</v>
      </c>
      <c r="AC181" s="146">
        <f t="shared" si="34"/>
        <v>0.49999999999999689</v>
      </c>
      <c r="AD181" s="147">
        <v>9.4314332916921456E-3</v>
      </c>
      <c r="AE181" s="1">
        <f t="shared" si="29"/>
        <v>2776.4615105017942</v>
      </c>
      <c r="AH181" s="150">
        <f t="shared" si="35"/>
        <v>3.5000000000000027</v>
      </c>
      <c r="AI181" s="147">
        <v>0.50555508760587187</v>
      </c>
      <c r="AJ181" s="1">
        <f t="shared" si="30"/>
        <v>148827.24595131274</v>
      </c>
    </row>
    <row r="182" spans="15:36">
      <c r="O182" s="74">
        <f t="shared" si="32"/>
        <v>12.599999999999971</v>
      </c>
      <c r="P182" s="122">
        <v>1.9735346122475961</v>
      </c>
      <c r="Q182" s="76">
        <v>6.0868447969326112E-2</v>
      </c>
      <c r="R182" s="1">
        <f t="shared" si="31"/>
        <v>32.422949460484588</v>
      </c>
      <c r="T182" s="140">
        <f t="shared" si="33"/>
        <v>-1.1999999999999929</v>
      </c>
      <c r="U182" s="140">
        <v>0.22024557209266074</v>
      </c>
      <c r="V182" s="140">
        <v>-3.6738994372114342E-3</v>
      </c>
      <c r="W182" s="1">
        <f t="shared" si="24"/>
        <v>-4.41160146410031E-2</v>
      </c>
      <c r="X182" s="1">
        <f t="shared" si="26"/>
        <v>-1.1200000000000119</v>
      </c>
      <c r="Y182" s="1">
        <f t="shared" si="27"/>
        <v>0.17245565801444621</v>
      </c>
      <c r="Z182" s="1">
        <f t="shared" si="25"/>
        <v>1.1487538792802746E-2</v>
      </c>
      <c r="AA182" s="1">
        <f t="shared" si="28"/>
        <v>15.012411372442489</v>
      </c>
      <c r="AC182" s="146">
        <f t="shared" si="34"/>
        <v>0.47999999999999687</v>
      </c>
      <c r="AD182" s="147">
        <v>9.0541759600244569E-3</v>
      </c>
      <c r="AE182" s="1">
        <f t="shared" si="29"/>
        <v>2665.4030500817221</v>
      </c>
      <c r="AH182" s="150">
        <f t="shared" si="35"/>
        <v>3.5200000000000027</v>
      </c>
      <c r="AI182" s="147">
        <v>0.50778406819581878</v>
      </c>
      <c r="AJ182" s="1">
        <f t="shared" si="30"/>
        <v>149483.42180754177</v>
      </c>
    </row>
    <row r="183" spans="15:36">
      <c r="O183" s="74">
        <f t="shared" si="32"/>
        <v>12.699999999999971</v>
      </c>
      <c r="P183" s="122">
        <v>1.9860169161811778</v>
      </c>
      <c r="Q183" s="76">
        <v>6.153299690490123E-2</v>
      </c>
      <c r="R183" s="1">
        <f t="shared" si="31"/>
        <v>32.275640974395436</v>
      </c>
      <c r="T183" s="140">
        <f t="shared" si="33"/>
        <v>-1.1499999999999928</v>
      </c>
      <c r="U183" s="140">
        <v>0.22581802356752817</v>
      </c>
      <c r="V183" s="140">
        <v>-3.5208202939942899E-3</v>
      </c>
      <c r="W183" s="1">
        <f t="shared" si="24"/>
        <v>-4.4892388391362732E-2</v>
      </c>
      <c r="X183" s="1">
        <f t="shared" si="26"/>
        <v>-1.210000000000012</v>
      </c>
      <c r="Y183" s="1">
        <f t="shared" si="27"/>
        <v>0.17740481488217116</v>
      </c>
      <c r="Z183" s="1">
        <f t="shared" si="25"/>
        <v>1.1511410843496283E-2</v>
      </c>
      <c r="AA183" s="1">
        <f t="shared" si="28"/>
        <v>15.411213907146868</v>
      </c>
      <c r="AC183" s="146">
        <f t="shared" si="34"/>
        <v>0.45999999999999686</v>
      </c>
      <c r="AD183" s="147">
        <v>8.6769186283567681E-3</v>
      </c>
      <c r="AE183" s="1">
        <f t="shared" si="29"/>
        <v>2554.344589661649</v>
      </c>
      <c r="AH183" s="150">
        <f t="shared" si="35"/>
        <v>3.5400000000000027</v>
      </c>
      <c r="AI183" s="147">
        <v>0.51001304878576581</v>
      </c>
      <c r="AJ183" s="1">
        <f t="shared" si="30"/>
        <v>150139.59766377084</v>
      </c>
    </row>
    <row r="184" spans="15:36">
      <c r="O184" s="74">
        <f t="shared" si="32"/>
        <v>12.799999999999971</v>
      </c>
      <c r="P184" s="122">
        <v>1.9984992201147598</v>
      </c>
      <c r="Q184" s="76">
        <v>6.2201968678315289E-2</v>
      </c>
      <c r="R184" s="1">
        <f t="shared" si="31"/>
        <v>32.129195628039213</v>
      </c>
      <c r="T184" s="140">
        <f t="shared" si="33"/>
        <v>-1.0999999999999928</v>
      </c>
      <c r="U184" s="140">
        <v>0.23139047504239563</v>
      </c>
      <c r="V184" s="140">
        <v>-3.3677411507771456E-3</v>
      </c>
      <c r="W184" s="1">
        <f t="shared" si="24"/>
        <v>-4.5668762141722365E-2</v>
      </c>
      <c r="X184" s="1">
        <f t="shared" si="26"/>
        <v>-1.3200000000000121</v>
      </c>
      <c r="Y184" s="1">
        <f t="shared" si="27"/>
        <v>0.18235397174989612</v>
      </c>
      <c r="Z184" s="1">
        <f t="shared" si="25"/>
        <v>1.1536350704201984E-2</v>
      </c>
      <c r="AA184" s="1">
        <f t="shared" si="28"/>
        <v>15.806902583455249</v>
      </c>
      <c r="AC184" s="146">
        <f t="shared" si="34"/>
        <v>0.43999999999999684</v>
      </c>
      <c r="AD184" s="147">
        <v>8.2996612966890794E-3</v>
      </c>
      <c r="AE184" s="1">
        <f t="shared" si="29"/>
        <v>2443.2861292415764</v>
      </c>
      <c r="AH184" s="150">
        <f t="shared" si="35"/>
        <v>3.5600000000000027</v>
      </c>
      <c r="AI184" s="147">
        <v>0.51224202937571273</v>
      </c>
      <c r="AJ184" s="1">
        <f t="shared" si="30"/>
        <v>150795.77351999993</v>
      </c>
    </row>
    <row r="185" spans="15:36">
      <c r="O185" s="74">
        <f t="shared" si="32"/>
        <v>12.89999999999997</v>
      </c>
      <c r="P185" s="122">
        <v>2.0109815240483417</v>
      </c>
      <c r="Q185" s="76">
        <v>6.287536328956829E-2</v>
      </c>
      <c r="R185" s="1">
        <f t="shared" si="31"/>
        <v>31.983616775093616</v>
      </c>
      <c r="T185" s="140">
        <f t="shared" si="33"/>
        <v>-1.0499999999999927</v>
      </c>
      <c r="U185" s="140">
        <v>0.23696292651726303</v>
      </c>
      <c r="V185" s="140">
        <v>-3.2146620075600017E-3</v>
      </c>
      <c r="W185" s="1">
        <f t="shared" si="24"/>
        <v>-4.6445135892081983E-2</v>
      </c>
      <c r="X185" s="1">
        <f t="shared" si="26"/>
        <v>-1.4100000000000121</v>
      </c>
      <c r="Y185" s="1">
        <f t="shared" si="27"/>
        <v>0.18730312861762102</v>
      </c>
      <c r="Z185" s="1">
        <f t="shared" si="25"/>
        <v>1.156235837491984E-2</v>
      </c>
      <c r="AA185" s="1">
        <f t="shared" si="28"/>
        <v>16.199387922787817</v>
      </c>
      <c r="AC185" s="146">
        <f t="shared" si="34"/>
        <v>0.41999999999999682</v>
      </c>
      <c r="AD185" s="147">
        <v>7.9224039650213907E-3</v>
      </c>
      <c r="AE185" s="1">
        <f t="shared" si="29"/>
        <v>2332.2276688215038</v>
      </c>
      <c r="AH185" s="150">
        <f t="shared" si="35"/>
        <v>3.5800000000000027</v>
      </c>
      <c r="AI185" s="147">
        <v>0.51447100996565964</v>
      </c>
      <c r="AJ185" s="1">
        <f t="shared" si="30"/>
        <v>151451.94937622893</v>
      </c>
    </row>
    <row r="186" spans="15:36">
      <c r="O186" s="74">
        <f t="shared" si="32"/>
        <v>12.99999999999997</v>
      </c>
      <c r="P186" s="122">
        <v>2.0234638279819239</v>
      </c>
      <c r="Q186" s="76">
        <v>6.3553180738660245E-2</v>
      </c>
      <c r="R186" s="1">
        <f t="shared" si="31"/>
        <v>31.838907265754269</v>
      </c>
      <c r="T186" s="140">
        <f t="shared" si="33"/>
        <v>-0.99999999999999267</v>
      </c>
      <c r="U186" s="140">
        <v>0.2425353779921304</v>
      </c>
      <c r="V186" s="140">
        <v>-3.0615828643428575E-3</v>
      </c>
      <c r="W186" s="1">
        <f t="shared" si="24"/>
        <v>-4.7221509642441609E-2</v>
      </c>
      <c r="X186" s="1">
        <f t="shared" si="26"/>
        <v>-1.5000000000000122</v>
      </c>
      <c r="Y186" s="1">
        <f t="shared" si="27"/>
        <v>0.19225228548534595</v>
      </c>
      <c r="Z186" s="1">
        <f t="shared" si="25"/>
        <v>1.1589433855649854E-2</v>
      </c>
      <c r="AA186" s="1">
        <f t="shared" si="28"/>
        <v>16.588583004132069</v>
      </c>
      <c r="AC186" s="146">
        <f t="shared" si="34"/>
        <v>0.3999999999999968</v>
      </c>
      <c r="AD186" s="147">
        <v>7.5451466333537019E-3</v>
      </c>
      <c r="AE186" s="1">
        <f t="shared" si="29"/>
        <v>2221.1692084014312</v>
      </c>
      <c r="AH186" s="150">
        <f t="shared" si="35"/>
        <v>3.6000000000000028</v>
      </c>
      <c r="AI186" s="147">
        <v>0.51669999055560656</v>
      </c>
      <c r="AJ186" s="1">
        <f t="shared" si="30"/>
        <v>152108.125232458</v>
      </c>
    </row>
    <row r="187" spans="15:36">
      <c r="O187" s="74">
        <f t="shared" si="32"/>
        <v>13.099999999999969</v>
      </c>
      <c r="P187" s="122">
        <v>2.0359461319155052</v>
      </c>
      <c r="Q187" s="76">
        <v>6.4235421025591113E-2</v>
      </c>
      <c r="R187" s="1">
        <f t="shared" si="31"/>
        <v>31.695069471162853</v>
      </c>
      <c r="T187" s="140">
        <f t="shared" si="33"/>
        <v>-0.94999999999999263</v>
      </c>
      <c r="U187" s="140">
        <v>0.24810782946699786</v>
      </c>
      <c r="V187" s="140">
        <v>-2.9085037211257132E-3</v>
      </c>
      <c r="W187" s="1">
        <f t="shared" si="24"/>
        <v>-4.7997883392801241E-2</v>
      </c>
      <c r="X187" s="1">
        <f t="shared" si="26"/>
        <v>-1.5900000000000123</v>
      </c>
      <c r="Y187" s="1">
        <f t="shared" si="27"/>
        <v>0.19720144235307091</v>
      </c>
      <c r="Z187" s="1">
        <f t="shared" si="25"/>
        <v>1.1617577146392027E-2</v>
      </c>
      <c r="AA187" s="1">
        <f t="shared" si="28"/>
        <v>16.97440351530733</v>
      </c>
      <c r="AC187" s="146">
        <f t="shared" si="34"/>
        <v>0.37999999999999678</v>
      </c>
      <c r="AD187" s="147">
        <v>7.167889301686014E-3</v>
      </c>
      <c r="AE187" s="1">
        <f t="shared" si="29"/>
        <v>2110.1107479813591</v>
      </c>
      <c r="AH187" s="150">
        <f t="shared" si="35"/>
        <v>3.6200000000000028</v>
      </c>
      <c r="AI187" s="147">
        <v>0.51892897114555359</v>
      </c>
      <c r="AJ187" s="1">
        <f t="shared" si="30"/>
        <v>152764.30108868706</v>
      </c>
    </row>
    <row r="188" spans="15:36">
      <c r="O188" s="74">
        <f t="shared" si="32"/>
        <v>13.199999999999969</v>
      </c>
      <c r="P188" s="122">
        <v>2.0484284358490878</v>
      </c>
      <c r="Q188" s="76">
        <v>6.4922084150360965E-2</v>
      </c>
      <c r="R188" s="1">
        <f t="shared" si="31"/>
        <v>31.552105306799501</v>
      </c>
      <c r="T188" s="140">
        <f t="shared" si="33"/>
        <v>-0.89999999999999258</v>
      </c>
      <c r="U188" s="140">
        <v>0.25368028094186529</v>
      </c>
      <c r="V188" s="140">
        <v>-2.7554245779085689E-3</v>
      </c>
      <c r="W188" s="1">
        <f t="shared" si="24"/>
        <v>-4.8774257143160867E-2</v>
      </c>
      <c r="X188" s="1">
        <f t="shared" si="26"/>
        <v>-1.6800000000000124</v>
      </c>
      <c r="Y188" s="1">
        <f t="shared" si="27"/>
        <v>0.20215059922079587</v>
      </c>
      <c r="Z188" s="1">
        <f t="shared" si="25"/>
        <v>1.1646788247146357E-2</v>
      </c>
      <c r="AA188" s="1">
        <f t="shared" si="28"/>
        <v>17.356767799940545</v>
      </c>
      <c r="AC188" s="146">
        <f t="shared" si="34"/>
        <v>0.35999999999999677</v>
      </c>
      <c r="AD188" s="147">
        <v>6.7906319700183262E-3</v>
      </c>
      <c r="AE188" s="1">
        <f t="shared" si="29"/>
        <v>1999.0522875612864</v>
      </c>
      <c r="AH188" s="150">
        <f t="shared" si="35"/>
        <v>3.6400000000000028</v>
      </c>
      <c r="AI188" s="147">
        <v>0.52115795173550072</v>
      </c>
      <c r="AJ188" s="1">
        <f t="shared" si="30"/>
        <v>153420.47694491618</v>
      </c>
    </row>
    <row r="189" spans="15:36">
      <c r="O189" s="74">
        <f t="shared" si="32"/>
        <v>13.299999999999969</v>
      </c>
      <c r="P189" s="122">
        <v>2.0609107397826696</v>
      </c>
      <c r="Q189" s="76">
        <v>6.5613170112969729E-2</v>
      </c>
      <c r="R189" s="1">
        <f t="shared" si="31"/>
        <v>31.410016254881278</v>
      </c>
      <c r="T189" s="140">
        <f t="shared" si="33"/>
        <v>-0.84999999999999254</v>
      </c>
      <c r="U189" s="140">
        <v>0.25925273241673275</v>
      </c>
      <c r="V189" s="140">
        <v>-2.602345434691425E-3</v>
      </c>
      <c r="W189" s="1">
        <f t="shared" si="24"/>
        <v>-4.9550630893520499E-2</v>
      </c>
      <c r="X189" s="1">
        <f t="shared" si="26"/>
        <v>-1.7700000000000125</v>
      </c>
      <c r="Y189" s="1">
        <f t="shared" si="27"/>
        <v>0.20709975608852085</v>
      </c>
      <c r="Z189" s="1">
        <f t="shared" si="25"/>
        <v>1.1677067157912849E-2</v>
      </c>
      <c r="AA189" s="1">
        <f t="shared" si="28"/>
        <v>17.735596900132734</v>
      </c>
      <c r="AC189" s="146">
        <f t="shared" si="34"/>
        <v>0.33999999999999675</v>
      </c>
      <c r="AD189" s="147">
        <v>6.4133746383506374E-3</v>
      </c>
      <c r="AE189" s="1">
        <f t="shared" si="29"/>
        <v>1887.9938271412136</v>
      </c>
      <c r="AH189" s="150">
        <f t="shared" si="35"/>
        <v>3.6600000000000028</v>
      </c>
      <c r="AI189" s="147">
        <v>0.52338693232544764</v>
      </c>
      <c r="AJ189" s="1">
        <f t="shared" si="30"/>
        <v>154076.65280114522</v>
      </c>
    </row>
    <row r="190" spans="15:36">
      <c r="O190" s="74">
        <f t="shared" si="32"/>
        <v>13.399999999999968</v>
      </c>
      <c r="P190" s="122">
        <v>2.0733930437162518</v>
      </c>
      <c r="Q190" s="76">
        <v>6.6308678913417463E-2</v>
      </c>
      <c r="R190" s="1">
        <f t="shared" si="31"/>
        <v>31.268803385806919</v>
      </c>
      <c r="T190" s="140">
        <f t="shared" si="33"/>
        <v>-0.79999999999999249</v>
      </c>
      <c r="U190" s="140">
        <v>0.26482518389160009</v>
      </c>
      <c r="V190" s="140">
        <v>-2.4492662914742808E-3</v>
      </c>
      <c r="W190" s="1">
        <f t="shared" si="24"/>
        <v>-5.0327004643880111E-2</v>
      </c>
      <c r="X190" s="1">
        <f t="shared" si="26"/>
        <v>-1.8600000000000125</v>
      </c>
      <c r="Y190" s="1">
        <f t="shared" si="27"/>
        <v>0.21204891295624567</v>
      </c>
      <c r="Z190" s="1">
        <f t="shared" si="25"/>
        <v>1.1708413878691494E-2</v>
      </c>
      <c r="AA190" s="1">
        <f t="shared" si="28"/>
        <v>18.110814594806907</v>
      </c>
      <c r="AC190" s="146">
        <f t="shared" si="34"/>
        <v>0.31999999999999673</v>
      </c>
      <c r="AD190" s="147">
        <v>6.0361173066829487E-3</v>
      </c>
      <c r="AE190" s="1">
        <f t="shared" si="29"/>
        <v>1776.9353667211415</v>
      </c>
      <c r="AH190" s="150">
        <f t="shared" si="35"/>
        <v>3.6800000000000028</v>
      </c>
      <c r="AI190" s="147">
        <v>0.52561591291539456</v>
      </c>
      <c r="AJ190" s="1">
        <f t="shared" si="30"/>
        <v>154732.82865737428</v>
      </c>
    </row>
    <row r="191" spans="15:36">
      <c r="O191" s="74">
        <f t="shared" si="32"/>
        <v>13.499999999999968</v>
      </c>
      <c r="P191" s="122">
        <v>2.0858753476498335</v>
      </c>
      <c r="Q191" s="76">
        <v>6.7008610551704095E-2</v>
      </c>
      <c r="R191" s="1">
        <f t="shared" si="31"/>
        <v>31.128467378686569</v>
      </c>
      <c r="T191" s="140">
        <f t="shared" si="33"/>
        <v>-0.74999999999999245</v>
      </c>
      <c r="U191" s="140">
        <v>0.27039763536646755</v>
      </c>
      <c r="V191" s="140">
        <v>-2.2961871482571369E-3</v>
      </c>
      <c r="W191" s="1">
        <f t="shared" si="24"/>
        <v>-5.1103378394239743E-2</v>
      </c>
      <c r="X191" s="1">
        <f t="shared" si="26"/>
        <v>-1.9500000000000126</v>
      </c>
      <c r="Y191" s="1">
        <f t="shared" si="27"/>
        <v>0.21699806982397069</v>
      </c>
      <c r="Z191" s="1">
        <f t="shared" si="25"/>
        <v>1.1740828409482299E-2</v>
      </c>
      <c r="AA191" s="1">
        <f t="shared" si="28"/>
        <v>18.482347433739474</v>
      </c>
      <c r="AC191" s="146">
        <f t="shared" si="34"/>
        <v>0.29999999999999671</v>
      </c>
      <c r="AD191" s="147">
        <v>5.65885997501526E-3</v>
      </c>
      <c r="AE191" s="1">
        <f t="shared" si="29"/>
        <v>1665.8769063010686</v>
      </c>
      <c r="AH191" s="150">
        <f t="shared" si="35"/>
        <v>3.7000000000000028</v>
      </c>
      <c r="AI191" s="147">
        <v>0.52784489350534158</v>
      </c>
      <c r="AJ191" s="1">
        <f t="shared" si="30"/>
        <v>155389.00451360334</v>
      </c>
    </row>
    <row r="192" spans="15:36">
      <c r="O192" s="74">
        <f t="shared" si="32"/>
        <v>13.599999999999968</v>
      </c>
      <c r="P192" s="122">
        <v>2.0983576515834153</v>
      </c>
      <c r="Q192" s="76">
        <v>6.7712965027829711E-2</v>
      </c>
      <c r="R192" s="1">
        <f t="shared" si="31"/>
        <v>30.989008540993591</v>
      </c>
      <c r="T192" s="140">
        <f t="shared" si="33"/>
        <v>-0.69999999999999241</v>
      </c>
      <c r="U192" s="140">
        <v>0.27597008684133501</v>
      </c>
      <c r="V192" s="140">
        <v>-2.1431080050399926E-3</v>
      </c>
      <c r="W192" s="1">
        <f t="shared" si="24"/>
        <v>-5.1879752144599368E-2</v>
      </c>
      <c r="X192" s="1">
        <f t="shared" si="26"/>
        <v>-2.0400000000000125</v>
      </c>
      <c r="Y192" s="1">
        <f t="shared" si="27"/>
        <v>0.22194722669169567</v>
      </c>
      <c r="Z192" s="1">
        <f t="shared" si="25"/>
        <v>1.1774310750285262E-2</v>
      </c>
      <c r="AA192" s="1">
        <f t="shared" si="28"/>
        <v>18.850124767287838</v>
      </c>
      <c r="AC192" s="146">
        <f t="shared" si="34"/>
        <v>0.2799999999999967</v>
      </c>
      <c r="AD192" s="147">
        <v>5.2816026433475721E-3</v>
      </c>
      <c r="AE192" s="1">
        <f t="shared" si="29"/>
        <v>1554.8184458809965</v>
      </c>
      <c r="AH192" s="150">
        <f t="shared" si="35"/>
        <v>3.7200000000000029</v>
      </c>
      <c r="AI192" s="147">
        <v>0.5300738740952885</v>
      </c>
      <c r="AJ192" s="1">
        <f t="shared" si="30"/>
        <v>156045.18036983238</v>
      </c>
    </row>
    <row r="193" spans="15:36">
      <c r="O193" s="74">
        <f t="shared" si="32"/>
        <v>13.699999999999967</v>
      </c>
      <c r="P193" s="122">
        <v>2.110839955516997</v>
      </c>
      <c r="Q193" s="76">
        <v>6.8421742341794226E-2</v>
      </c>
      <c r="R193" s="1">
        <f t="shared" si="31"/>
        <v>30.850426827374537</v>
      </c>
      <c r="T193" s="140">
        <f t="shared" si="33"/>
        <v>-0.64999999999999236</v>
      </c>
      <c r="U193" s="140">
        <v>0.28154253831620241</v>
      </c>
      <c r="V193" s="140">
        <v>-1.9900288618228484E-3</v>
      </c>
      <c r="W193" s="1">
        <f t="shared" si="24"/>
        <v>-5.2656125894958994E-2</v>
      </c>
      <c r="X193" s="1">
        <f t="shared" si="26"/>
        <v>-2.1300000000000128</v>
      </c>
      <c r="Y193" s="1">
        <f t="shared" si="27"/>
        <v>0.22689638355942054</v>
      </c>
      <c r="Z193" s="1">
        <f t="shared" si="25"/>
        <v>1.1808860901100384E-2</v>
      </c>
      <c r="AA193" s="1">
        <f t="shared" si="28"/>
        <v>19.21407877183799</v>
      </c>
      <c r="AC193" s="146">
        <f t="shared" si="34"/>
        <v>0.25999999999999668</v>
      </c>
      <c r="AD193" s="147">
        <v>4.9043453116798833E-3</v>
      </c>
      <c r="AE193" s="1">
        <f t="shared" si="29"/>
        <v>1443.7599854609236</v>
      </c>
      <c r="AH193" s="150">
        <f t="shared" si="35"/>
        <v>3.7400000000000029</v>
      </c>
      <c r="AI193" s="147">
        <v>0.53230285468523553</v>
      </c>
      <c r="AJ193" s="1">
        <f t="shared" si="30"/>
        <v>156701.35622606147</v>
      </c>
    </row>
    <row r="194" spans="15:36">
      <c r="O194" s="74">
        <f t="shared" si="32"/>
        <v>13.799999999999967</v>
      </c>
      <c r="P194" s="122">
        <v>2.1233222594505792</v>
      </c>
      <c r="Q194" s="76">
        <v>6.9134942493597737E-2</v>
      </c>
      <c r="R194" s="1">
        <f t="shared" si="31"/>
        <v>30.712721857651218</v>
      </c>
      <c r="T194" s="140">
        <f t="shared" si="33"/>
        <v>-0.59999999999999232</v>
      </c>
      <c r="U194" s="140">
        <v>0.28711498979106981</v>
      </c>
      <c r="V194" s="140">
        <v>-1.8369497186057043E-3</v>
      </c>
      <c r="W194" s="1">
        <f t="shared" si="24"/>
        <v>-5.3432499645318619E-2</v>
      </c>
      <c r="X194" s="1">
        <f t="shared" si="26"/>
        <v>-2.2200000000000131</v>
      </c>
      <c r="Y194" s="1">
        <f t="shared" si="27"/>
        <v>0.23184554042714547</v>
      </c>
      <c r="Z194" s="1">
        <f t="shared" si="25"/>
        <v>1.1844478861927663E-2</v>
      </c>
      <c r="AA194" s="1">
        <f t="shared" si="28"/>
        <v>19.57414447100572</v>
      </c>
      <c r="AC194" s="146">
        <f t="shared" si="34"/>
        <v>0.23999999999999669</v>
      </c>
      <c r="AD194" s="147">
        <v>4.5270879800121955E-3</v>
      </c>
      <c r="AE194" s="1">
        <f t="shared" si="29"/>
        <v>1332.7015250408513</v>
      </c>
      <c r="AH194" s="150">
        <f t="shared" si="35"/>
        <v>3.7600000000000029</v>
      </c>
      <c r="AI194" s="147">
        <v>0.53453183527518244</v>
      </c>
      <c r="AJ194" s="1">
        <f t="shared" si="30"/>
        <v>157357.53208229051</v>
      </c>
    </row>
    <row r="195" spans="15:36">
      <c r="O195" s="74">
        <f t="shared" si="32"/>
        <v>13.899999999999967</v>
      </c>
      <c r="P195" s="122">
        <v>2.1358045633841609</v>
      </c>
      <c r="Q195" s="76">
        <v>6.9852565483240134E-2</v>
      </c>
      <c r="R195" s="1">
        <f t="shared" si="31"/>
        <v>30.575892934048483</v>
      </c>
      <c r="T195" s="140">
        <f t="shared" si="33"/>
        <v>-0.54999999999999227</v>
      </c>
      <c r="U195" s="140">
        <v>0.29268744126593721</v>
      </c>
      <c r="V195" s="140">
        <v>-1.6838705753885604E-3</v>
      </c>
      <c r="W195" s="1">
        <f t="shared" si="24"/>
        <v>-5.4208873395678245E-2</v>
      </c>
      <c r="X195" s="1">
        <f t="shared" si="26"/>
        <v>-2.3100000000000129</v>
      </c>
      <c r="Y195" s="1">
        <f t="shared" si="27"/>
        <v>0.2367946972948704</v>
      </c>
      <c r="Z195" s="1">
        <f t="shared" si="25"/>
        <v>1.18811646327671E-2</v>
      </c>
      <c r="AA195" s="1">
        <f t="shared" si="28"/>
        <v>19.930259752635155</v>
      </c>
      <c r="AC195" s="146">
        <f t="shared" si="34"/>
        <v>0.2199999999999967</v>
      </c>
      <c r="AD195" s="147">
        <v>4.1498306483445076E-3</v>
      </c>
      <c r="AE195" s="1">
        <f t="shared" si="29"/>
        <v>1221.6430646207789</v>
      </c>
      <c r="AH195" s="150">
        <f t="shared" si="35"/>
        <v>3.7800000000000029</v>
      </c>
      <c r="AI195" s="147">
        <v>0.53676081586512936</v>
      </c>
      <c r="AJ195" s="1">
        <f t="shared" si="30"/>
        <v>158013.70793851954</v>
      </c>
    </row>
    <row r="196" spans="15:36">
      <c r="O196" s="74">
        <f t="shared" si="32"/>
        <v>13.999999999999966</v>
      </c>
      <c r="P196" s="122">
        <v>2.1482868673177435</v>
      </c>
      <c r="Q196" s="76">
        <v>7.0574611310721527E-2</v>
      </c>
      <c r="R196" s="1">
        <f t="shared" si="31"/>
        <v>30.439939057678959</v>
      </c>
      <c r="T196" s="140">
        <f t="shared" si="33"/>
        <v>-0.49999999999999228</v>
      </c>
      <c r="U196" s="140">
        <v>0.29825989274080467</v>
      </c>
      <c r="V196" s="140">
        <v>-1.5307914321714162E-3</v>
      </c>
      <c r="W196" s="1">
        <f t="shared" si="24"/>
        <v>-5.498524714603787E-2</v>
      </c>
      <c r="X196" s="1">
        <f t="shared" si="26"/>
        <v>-2.4000000000000128</v>
      </c>
      <c r="Y196" s="1">
        <f t="shared" si="27"/>
        <v>0.24174385416259536</v>
      </c>
      <c r="Z196" s="1">
        <f t="shared" si="25"/>
        <v>1.1918918213618696E-2</v>
      </c>
      <c r="AA196" s="1">
        <f t="shared" si="28"/>
        <v>20.282365381648141</v>
      </c>
      <c r="AC196" s="146">
        <f t="shared" si="34"/>
        <v>0.19999999999999671</v>
      </c>
      <c r="AD196" s="147">
        <v>3.7725733166768193E-3</v>
      </c>
      <c r="AE196" s="1">
        <f t="shared" si="29"/>
        <v>1110.5846042007063</v>
      </c>
      <c r="AH196" s="150">
        <f t="shared" si="35"/>
        <v>3.8000000000000029</v>
      </c>
      <c r="AI196" s="147">
        <v>0.53898979645507639</v>
      </c>
      <c r="AJ196" s="1">
        <f t="shared" si="30"/>
        <v>158669.8837947486</v>
      </c>
    </row>
    <row r="197" spans="15:36">
      <c r="O197" s="74">
        <f t="shared" si="32"/>
        <v>14.099999999999966</v>
      </c>
      <c r="P197" s="122">
        <v>2.1607691712513248</v>
      </c>
      <c r="Q197" s="76">
        <v>7.130107997604182E-2</v>
      </c>
      <c r="R197" s="1">
        <f t="shared" si="31"/>
        <v>30.304858944315768</v>
      </c>
      <c r="T197" s="140">
        <f t="shared" si="33"/>
        <v>-0.4499999999999923</v>
      </c>
      <c r="U197" s="140">
        <v>0.30383234421567207</v>
      </c>
      <c r="V197" s="140">
        <v>-1.3777122889542723E-3</v>
      </c>
      <c r="W197" s="1">
        <f t="shared" ref="W197:W260" si="36">((V197*(x_cdg_avion-x_foyer_fus))-(U197*(-x_foyer_voil+x_cdg_avion))+(Cm_voil*CMA_voil)-((N*FUtile*(DFus+DMoteur)/2)/(0.5*rho*V^2*SRef)))/(x_foyer_emp-x_cdg_avion)</f>
        <v>-5.5761620896397496E-2</v>
      </c>
      <c r="X197" s="1">
        <f t="shared" si="26"/>
        <v>-2.4900000000000131</v>
      </c>
      <c r="Y197" s="1">
        <f t="shared" si="27"/>
        <v>0.24669301103032029</v>
      </c>
      <c r="Z197" s="1">
        <f t="shared" ref="Z197:Z260" si="37">Cx0_avion+((U197)^2/(PI()*all_voil))*Sext_voil/SRef+2*LFus*Czalpha_fus^2*(RADIANS(T197)^2)/(PI()*DFus)+(W197)^2/(PI()*all_emp)*Sext_emp/SRef</f>
        <v>1.195773960448245E-2</v>
      </c>
      <c r="AA197" s="1">
        <f t="shared" si="28"/>
        <v>20.63040500880664</v>
      </c>
      <c r="AC197" s="146">
        <f t="shared" si="34"/>
        <v>0.17999999999999672</v>
      </c>
      <c r="AD197" s="147">
        <v>3.3953159850091314E-3</v>
      </c>
      <c r="AE197" s="1">
        <f t="shared" si="29"/>
        <v>999.5261437806339</v>
      </c>
      <c r="AH197" s="150">
        <f t="shared" si="35"/>
        <v>3.8200000000000029</v>
      </c>
      <c r="AI197" s="147">
        <v>0.5412187770450233</v>
      </c>
      <c r="AJ197" s="1">
        <f t="shared" si="30"/>
        <v>159326.05965097764</v>
      </c>
    </row>
    <row r="198" spans="15:36">
      <c r="O198" s="74">
        <f t="shared" si="32"/>
        <v>14.199999999999966</v>
      </c>
      <c r="P198" s="122">
        <v>2.173251475184907</v>
      </c>
      <c r="Q198" s="76">
        <v>7.2031971479201068E-2</v>
      </c>
      <c r="R198" s="1">
        <f t="shared" si="31"/>
        <v>30.170651039482159</v>
      </c>
      <c r="T198" s="140">
        <f t="shared" si="33"/>
        <v>-0.39999999999999231</v>
      </c>
      <c r="U198" s="140">
        <v>0.30940479569053947</v>
      </c>
      <c r="V198" s="140">
        <v>-1.2246331457371285E-3</v>
      </c>
      <c r="W198" s="1">
        <f t="shared" si="36"/>
        <v>-5.6537994646757121E-2</v>
      </c>
      <c r="X198" s="1">
        <f t="shared" ref="X198:X226" si="38">INDEX($AC$6:$AC$1006,MATCH(W198,$AD$6:$AD$1006,-1))-T198</f>
        <v>-2.5800000000000129</v>
      </c>
      <c r="Y198" s="1">
        <f t="shared" ref="Y198:Y261" si="39">U198+V198+W198</f>
        <v>0.25164216789804522</v>
      </c>
      <c r="Z198" s="1">
        <f t="shared" si="37"/>
        <v>1.1997628805358361E-2</v>
      </c>
      <c r="AA198" s="1">
        <f t="shared" ref="AA198:AA261" si="40">Y198/Z198</f>
        <v>20.974325175459438</v>
      </c>
      <c r="AC198" s="146">
        <f t="shared" si="34"/>
        <v>0.15999999999999673</v>
      </c>
      <c r="AD198" s="147">
        <v>3.0180586533414436E-3</v>
      </c>
      <c r="AE198" s="1">
        <f t="shared" ref="AE198:AE256" si="41">AD198*0.5*rho*V^2*SRef</f>
        <v>888.46768336056152</v>
      </c>
      <c r="AH198" s="150">
        <f t="shared" si="35"/>
        <v>3.840000000000003</v>
      </c>
      <c r="AI198" s="147">
        <v>0.54344775763497022</v>
      </c>
      <c r="AJ198" s="1">
        <f t="shared" ref="AJ198:AJ261" si="42">AI198*0.5*rho*V^2*SRef</f>
        <v>159982.2355072067</v>
      </c>
    </row>
    <row r="199" spans="15:36">
      <c r="O199" s="74">
        <f t="shared" si="32"/>
        <v>14.299999999999965</v>
      </c>
      <c r="P199" s="122">
        <v>2.1857337791184888</v>
      </c>
      <c r="Q199" s="76">
        <v>7.2767285820199271E-2</v>
      </c>
      <c r="R199" s="1">
        <f t="shared" ref="R199:R206" si="43">P199/Q199</f>
        <v>30.037313532886461</v>
      </c>
      <c r="T199" s="140">
        <f t="shared" si="33"/>
        <v>-0.34999999999999232</v>
      </c>
      <c r="U199" s="140">
        <v>0.31497724716540687</v>
      </c>
      <c r="V199" s="140">
        <v>-1.0715540025199846E-3</v>
      </c>
      <c r="W199" s="1">
        <f t="shared" si="36"/>
        <v>-5.731436839711674E-2</v>
      </c>
      <c r="X199" s="1">
        <f t="shared" si="38"/>
        <v>-2.6700000000000133</v>
      </c>
      <c r="Y199" s="1">
        <f t="shared" si="39"/>
        <v>0.25659132476577018</v>
      </c>
      <c r="Z199" s="1">
        <f t="shared" si="37"/>
        <v>1.2038585816246433E-2</v>
      </c>
      <c r="AA199" s="1">
        <f t="shared" si="40"/>
        <v>21.31407531435233</v>
      </c>
      <c r="AC199" s="146">
        <f t="shared" si="34"/>
        <v>0.13999999999999674</v>
      </c>
      <c r="AD199" s="147">
        <v>2.6408013216737553E-3</v>
      </c>
      <c r="AE199" s="1">
        <f t="shared" si="41"/>
        <v>777.40922294048903</v>
      </c>
      <c r="AH199" s="150">
        <f t="shared" si="35"/>
        <v>3.860000000000003</v>
      </c>
      <c r="AI199" s="147">
        <v>0.54567673822491736</v>
      </c>
      <c r="AJ199" s="1">
        <f t="shared" si="42"/>
        <v>160638.41136343582</v>
      </c>
    </row>
    <row r="200" spans="15:36">
      <c r="O200" s="74">
        <f t="shared" ref="O200:O206" si="44">O199+0.1</f>
        <v>14.399999999999965</v>
      </c>
      <c r="P200" s="122">
        <v>2.1982160830520709</v>
      </c>
      <c r="Q200" s="76">
        <v>7.35070229990364E-2</v>
      </c>
      <c r="R200" s="1">
        <f t="shared" si="43"/>
        <v>29.904844372229402</v>
      </c>
      <c r="T200" s="140">
        <f t="shared" ref="T200:T233" si="45">T199+$V$2</f>
        <v>-0.29999999999999233</v>
      </c>
      <c r="U200" s="140">
        <v>0.32054969864027433</v>
      </c>
      <c r="V200" s="140">
        <v>-9.1847485930284043E-4</v>
      </c>
      <c r="W200" s="1">
        <f t="shared" si="36"/>
        <v>-5.8090742147476365E-2</v>
      </c>
      <c r="X200" s="1">
        <f t="shared" si="38"/>
        <v>-2.7600000000000131</v>
      </c>
      <c r="Y200" s="1">
        <f t="shared" si="39"/>
        <v>0.26154048163349508</v>
      </c>
      <c r="Z200" s="1">
        <f t="shared" si="37"/>
        <v>1.208061063714666E-2</v>
      </c>
      <c r="AA200" s="1">
        <f t="shared" si="40"/>
        <v>21.649607746588938</v>
      </c>
      <c r="AC200" s="146">
        <f t="shared" ref="AC200:AC206" si="46">AC199-$AD$2</f>
        <v>0.11999999999999673</v>
      </c>
      <c r="AD200" s="147">
        <v>2.2635439900060674E-3</v>
      </c>
      <c r="AE200" s="1">
        <f t="shared" si="41"/>
        <v>666.35076252041665</v>
      </c>
      <c r="AH200" s="150">
        <f t="shared" ref="AH200:AH256" si="47">AH199+$AI$2</f>
        <v>3.880000000000003</v>
      </c>
      <c r="AI200" s="147">
        <v>0.54790571881486438</v>
      </c>
      <c r="AJ200" s="1">
        <f t="shared" si="42"/>
        <v>161294.58721966489</v>
      </c>
    </row>
    <row r="201" spans="15:36">
      <c r="O201" s="74">
        <f t="shared" si="44"/>
        <v>14.499999999999964</v>
      </c>
      <c r="P201" s="122">
        <v>2.2106983869856522</v>
      </c>
      <c r="Q201" s="76">
        <v>7.4251183015712457E-2</v>
      </c>
      <c r="R201" s="1">
        <f t="shared" si="43"/>
        <v>29.773241276409582</v>
      </c>
      <c r="T201" s="140">
        <f t="shared" si="45"/>
        <v>-0.24999999999999234</v>
      </c>
      <c r="U201" s="140">
        <v>0.32612215011514173</v>
      </c>
      <c r="V201" s="140">
        <v>-7.6539571608569658E-4</v>
      </c>
      <c r="W201" s="1">
        <f t="shared" si="36"/>
        <v>-5.8867115897836005E-2</v>
      </c>
      <c r="X201" s="1">
        <f t="shared" si="38"/>
        <v>-2.870000000000013</v>
      </c>
      <c r="Y201" s="1">
        <f t="shared" si="39"/>
        <v>0.26648963850122004</v>
      </c>
      <c r="Z201" s="1">
        <f t="shared" si="37"/>
        <v>1.2123703268059047E-2</v>
      </c>
      <c r="AA201" s="1">
        <f t="shared" si="40"/>
        <v>21.980877674836385</v>
      </c>
      <c r="AC201" s="146">
        <f t="shared" si="46"/>
        <v>9.999999999999673E-2</v>
      </c>
      <c r="AD201" s="147">
        <v>1.8862866583383791E-3</v>
      </c>
      <c r="AE201" s="1">
        <f t="shared" si="41"/>
        <v>555.29230210034416</v>
      </c>
      <c r="AH201" s="150">
        <f t="shared" si="47"/>
        <v>3.900000000000003</v>
      </c>
      <c r="AI201" s="147">
        <v>0.5501346994048113</v>
      </c>
      <c r="AJ201" s="1">
        <f t="shared" si="42"/>
        <v>161950.76307589392</v>
      </c>
    </row>
    <row r="202" spans="15:36">
      <c r="O202" s="74">
        <f t="shared" si="44"/>
        <v>14.599999999999964</v>
      </c>
      <c r="P202" s="122">
        <v>2.2231806909192349</v>
      </c>
      <c r="Q202" s="76">
        <v>7.4999765870227511E-2</v>
      </c>
      <c r="R202" s="1">
        <f t="shared" si="43"/>
        <v>29.642501748152334</v>
      </c>
      <c r="T202" s="140">
        <f t="shared" si="45"/>
        <v>-0.19999999999999235</v>
      </c>
      <c r="U202" s="140">
        <v>0.33169460159000913</v>
      </c>
      <c r="V202" s="140">
        <v>-6.1231657286855252E-4</v>
      </c>
      <c r="W202" s="1">
        <f t="shared" si="36"/>
        <v>-5.964348964819563E-2</v>
      </c>
      <c r="X202" s="1">
        <f t="shared" si="38"/>
        <v>-2.9600000000000133</v>
      </c>
      <c r="Y202" s="1">
        <f t="shared" si="39"/>
        <v>0.271438795368945</v>
      </c>
      <c r="Z202" s="1">
        <f t="shared" si="37"/>
        <v>1.2167863708983592E-2</v>
      </c>
      <c r="AA202" s="1">
        <f t="shared" si="40"/>
        <v>22.307843172876801</v>
      </c>
      <c r="AC202" s="146">
        <f t="shared" si="46"/>
        <v>7.9999999999996727E-2</v>
      </c>
      <c r="AD202" s="147">
        <v>1.5090293266706908E-3</v>
      </c>
      <c r="AE202" s="1">
        <f t="shared" si="41"/>
        <v>444.23384168027167</v>
      </c>
      <c r="AH202" s="150">
        <f t="shared" si="47"/>
        <v>3.920000000000003</v>
      </c>
      <c r="AI202" s="147">
        <v>0.55236367999475822</v>
      </c>
      <c r="AJ202" s="1">
        <f t="shared" si="42"/>
        <v>162606.93893212295</v>
      </c>
    </row>
    <row r="203" spans="15:36">
      <c r="O203" s="74">
        <f t="shared" si="44"/>
        <v>14.699999999999964</v>
      </c>
      <c r="P203" s="122">
        <v>2.2356629948528162</v>
      </c>
      <c r="Q203" s="76">
        <v>7.575277156258145E-2</v>
      </c>
      <c r="R203" s="1">
        <f t="shared" si="43"/>
        <v>29.512623086085682</v>
      </c>
      <c r="T203" s="140">
        <f t="shared" si="45"/>
        <v>-0.14999999999999236</v>
      </c>
      <c r="U203" s="140">
        <v>0.33726705306487659</v>
      </c>
      <c r="V203" s="140">
        <v>-4.5923742965140856E-4</v>
      </c>
      <c r="W203" s="1">
        <f t="shared" si="36"/>
        <v>-6.0419863398555256E-2</v>
      </c>
      <c r="X203" s="1">
        <f t="shared" si="38"/>
        <v>-3.0500000000000131</v>
      </c>
      <c r="Y203" s="1">
        <f t="shared" si="39"/>
        <v>0.2763879522366699</v>
      </c>
      <c r="Z203" s="1">
        <f t="shared" si="37"/>
        <v>1.2213091959920293E-2</v>
      </c>
      <c r="AA203" s="1">
        <f t="shared" si="40"/>
        <v>22.630465171611931</v>
      </c>
      <c r="AC203" s="146">
        <f t="shared" si="46"/>
        <v>5.9999999999996723E-2</v>
      </c>
      <c r="AD203" s="147">
        <v>1.1317719950030027E-3</v>
      </c>
      <c r="AE203" s="1">
        <f t="shared" si="41"/>
        <v>333.17538126019923</v>
      </c>
      <c r="AH203" s="150">
        <f t="shared" si="47"/>
        <v>3.9400000000000031</v>
      </c>
      <c r="AI203" s="147">
        <v>0.55459266058470513</v>
      </c>
      <c r="AJ203" s="1">
        <f t="shared" si="42"/>
        <v>163263.11478835199</v>
      </c>
    </row>
    <row r="204" spans="15:36">
      <c r="O204" s="74">
        <f t="shared" si="44"/>
        <v>14.799999999999963</v>
      </c>
      <c r="P204" s="122">
        <v>2.2481452987863983</v>
      </c>
      <c r="Q204" s="76">
        <v>7.6510200092774372E-2</v>
      </c>
      <c r="R204" s="1">
        <f t="shared" si="43"/>
        <v>29.383602396286417</v>
      </c>
      <c r="T204" s="140">
        <f t="shared" si="45"/>
        <v>-9.9999999999992359E-2</v>
      </c>
      <c r="U204" s="140">
        <v>0.34283950453974393</v>
      </c>
      <c r="V204" s="140">
        <v>-3.061582864342646E-4</v>
      </c>
      <c r="W204" s="1">
        <f t="shared" si="36"/>
        <v>-6.1196237148914867E-2</v>
      </c>
      <c r="X204" s="1">
        <f t="shared" si="38"/>
        <v>-3.140000000000013</v>
      </c>
      <c r="Y204" s="1">
        <f t="shared" si="39"/>
        <v>0.2813371091043948</v>
      </c>
      <c r="Z204" s="1">
        <f t="shared" si="37"/>
        <v>1.2259388020869155E-2</v>
      </c>
      <c r="AA204" s="1">
        <f t="shared" si="40"/>
        <v>22.948707441633683</v>
      </c>
      <c r="AC204" s="146">
        <f t="shared" si="46"/>
        <v>3.9999999999996719E-2</v>
      </c>
      <c r="AD204" s="147">
        <v>7.5451466333531438E-4</v>
      </c>
      <c r="AE204" s="1">
        <f t="shared" si="41"/>
        <v>222.11692084012671</v>
      </c>
      <c r="AH204" s="150">
        <f t="shared" si="47"/>
        <v>3.9600000000000031</v>
      </c>
      <c r="AI204" s="147">
        <v>0.55682164117465216</v>
      </c>
      <c r="AJ204" s="1">
        <f t="shared" si="42"/>
        <v>163919.29064458111</v>
      </c>
    </row>
    <row r="205" spans="15:36">
      <c r="O205" s="74">
        <f t="shared" si="44"/>
        <v>14.899999999999963</v>
      </c>
      <c r="P205" s="122">
        <v>2.2606276027199805</v>
      </c>
      <c r="Q205" s="76">
        <v>7.7272051460806207E-2</v>
      </c>
      <c r="R205" s="1">
        <f t="shared" si="43"/>
        <v>29.255436603318497</v>
      </c>
      <c r="T205" s="140">
        <f t="shared" si="45"/>
        <v>-4.9999999999992356E-2</v>
      </c>
      <c r="U205" s="140">
        <v>0.34841195601461145</v>
      </c>
      <c r="V205" s="140">
        <v>-1.5307914321712059E-4</v>
      </c>
      <c r="W205" s="1">
        <f t="shared" si="36"/>
        <v>-6.19726108992745E-2</v>
      </c>
      <c r="X205" s="1">
        <f t="shared" si="38"/>
        <v>-3.2300000000000133</v>
      </c>
      <c r="Y205" s="1">
        <f t="shared" si="39"/>
        <v>0.28628626597211981</v>
      </c>
      <c r="Z205" s="1">
        <f t="shared" si="37"/>
        <v>1.2306751891830175E-2</v>
      </c>
      <c r="AA205" s="1">
        <f t="shared" si="40"/>
        <v>23.262536572478613</v>
      </c>
      <c r="AC205" s="146">
        <f t="shared" si="46"/>
        <v>1.9999999999996718E-2</v>
      </c>
      <c r="AD205" s="147">
        <v>3.7725733166762623E-4</v>
      </c>
      <c r="AE205" s="1">
        <f t="shared" si="41"/>
        <v>111.05846042005426</v>
      </c>
      <c r="AH205" s="150">
        <f t="shared" si="47"/>
        <v>3.9800000000000031</v>
      </c>
      <c r="AI205" s="147">
        <v>0.55905062176459908</v>
      </c>
      <c r="AJ205" s="1">
        <f t="shared" si="42"/>
        <v>164575.46650081011</v>
      </c>
    </row>
    <row r="206" spans="15:36">
      <c r="O206" s="77">
        <f t="shared" si="44"/>
        <v>14.999999999999963</v>
      </c>
      <c r="P206" s="123">
        <v>2.2731099066535623</v>
      </c>
      <c r="Q206" s="78">
        <v>7.8038325666676997E-2</v>
      </c>
      <c r="R206" s="1">
        <f t="shared" si="43"/>
        <v>29.12812246078466</v>
      </c>
      <c r="T206" s="140">
        <f t="shared" si="45"/>
        <v>7.6466610821057657E-15</v>
      </c>
      <c r="U206" s="140">
        <v>0.35398440748947879</v>
      </c>
      <c r="V206" s="140">
        <v>2.3410886538412596E-17</v>
      </c>
      <c r="W206" s="1">
        <f t="shared" si="36"/>
        <v>-6.2748984649634132E-2</v>
      </c>
      <c r="X206" s="1">
        <f t="shared" si="38"/>
        <v>-3.3200000000000132</v>
      </c>
      <c r="Y206" s="1">
        <f t="shared" si="39"/>
        <v>0.29123542283984466</v>
      </c>
      <c r="Z206" s="1">
        <f t="shared" si="37"/>
        <v>1.235518357280335E-2</v>
      </c>
      <c r="AA206" s="1">
        <f t="shared" si="40"/>
        <v>23.571921948688967</v>
      </c>
      <c r="AC206" s="146">
        <f t="shared" si="46"/>
        <v>-3.282096816548119E-15</v>
      </c>
      <c r="AD206" s="147">
        <v>-6.1909754364297856E-17</v>
      </c>
      <c r="AE206" s="1">
        <f t="shared" si="41"/>
        <v>-1.8225230969772754E-11</v>
      </c>
      <c r="AH206" s="150">
        <f t="shared" si="47"/>
        <v>4.0000000000000027</v>
      </c>
      <c r="AI206" s="147">
        <v>0.56127960235454599</v>
      </c>
      <c r="AJ206" s="1">
        <f t="shared" si="42"/>
        <v>165231.64235703918</v>
      </c>
    </row>
    <row r="207" spans="15:36">
      <c r="O207" s="85"/>
      <c r="T207" s="140">
        <f t="shared" si="45"/>
        <v>5.0000000000007649E-2</v>
      </c>
      <c r="U207" s="140">
        <v>0.35955685896434625</v>
      </c>
      <c r="V207" s="140">
        <v>1.530791432171674E-4</v>
      </c>
      <c r="W207" s="1">
        <f t="shared" si="36"/>
        <v>-6.352535839999375E-2</v>
      </c>
      <c r="X207" s="1">
        <f t="shared" si="38"/>
        <v>-3.4100000000000135</v>
      </c>
      <c r="Y207" s="1">
        <f t="shared" si="39"/>
        <v>0.29618457970756967</v>
      </c>
      <c r="Z207" s="1">
        <f t="shared" si="37"/>
        <v>1.2404683063788686E-2</v>
      </c>
      <c r="AA207" s="1">
        <f t="shared" si="40"/>
        <v>23.87683572280708</v>
      </c>
      <c r="AC207" s="146">
        <f>AC206-$AD$2</f>
        <v>-2.0000000000003283E-2</v>
      </c>
      <c r="AD207" s="147">
        <v>-3.7725733166775005E-4</v>
      </c>
      <c r="AE207" s="1">
        <f t="shared" si="41"/>
        <v>-111.0584604200907</v>
      </c>
      <c r="AH207" s="150">
        <f t="shared" si="47"/>
        <v>4.0200000000000022</v>
      </c>
      <c r="AI207" s="147">
        <v>0.56350858294449291</v>
      </c>
      <c r="AJ207" s="1">
        <f t="shared" si="42"/>
        <v>165887.81821326821</v>
      </c>
    </row>
    <row r="208" spans="15:36">
      <c r="O208" s="85"/>
      <c r="T208" s="140">
        <f t="shared" si="45"/>
        <v>0.10000000000000765</v>
      </c>
      <c r="U208" s="140">
        <v>0.36512931043921365</v>
      </c>
      <c r="V208" s="140">
        <v>3.0615828643431144E-4</v>
      </c>
      <c r="W208" s="1">
        <f t="shared" si="36"/>
        <v>-6.4301732150353383E-2</v>
      </c>
      <c r="X208" s="1">
        <f t="shared" si="38"/>
        <v>-3.5000000000000133</v>
      </c>
      <c r="Y208" s="1">
        <f t="shared" si="39"/>
        <v>0.30113373657529457</v>
      </c>
      <c r="Z208" s="1">
        <f t="shared" si="37"/>
        <v>1.245525036478618E-2</v>
      </c>
      <c r="AA208" s="1">
        <f t="shared" si="40"/>
        <v>24.177252785433204</v>
      </c>
      <c r="AC208" s="146">
        <f t="shared" ref="AC208:AC233" si="48">AC207-$AD$2</f>
        <v>-4.0000000000003283E-2</v>
      </c>
      <c r="AD208" s="147">
        <v>-7.5451466333543819E-4</v>
      </c>
      <c r="AE208" s="1">
        <f t="shared" si="41"/>
        <v>-222.11692084016317</v>
      </c>
      <c r="AH208" s="150">
        <f t="shared" si="47"/>
        <v>4.0400000000000018</v>
      </c>
      <c r="AI208" s="147">
        <v>0.56573756353443982</v>
      </c>
      <c r="AJ208" s="1">
        <f t="shared" si="42"/>
        <v>166543.99406949725</v>
      </c>
    </row>
    <row r="209" spans="15:36">
      <c r="O209" s="85"/>
      <c r="T209" s="140">
        <f t="shared" si="45"/>
        <v>0.15000000000000765</v>
      </c>
      <c r="U209" s="140">
        <v>0.37070176191408105</v>
      </c>
      <c r="V209" s="140">
        <v>4.5923742965145545E-4</v>
      </c>
      <c r="W209" s="1">
        <f t="shared" si="36"/>
        <v>-6.5078105900713001E-2</v>
      </c>
      <c r="X209" s="1">
        <f t="shared" si="38"/>
        <v>-3.5900000000000132</v>
      </c>
      <c r="Y209" s="1">
        <f t="shared" si="39"/>
        <v>0.30608289344301953</v>
      </c>
      <c r="Z209" s="1">
        <f t="shared" si="37"/>
        <v>1.2506885475795829E-2</v>
      </c>
      <c r="AA209" s="1">
        <f t="shared" si="40"/>
        <v>24.473150732480271</v>
      </c>
      <c r="AC209" s="146">
        <f t="shared" si="48"/>
        <v>-6.0000000000003287E-2</v>
      </c>
      <c r="AD209" s="147">
        <v>-1.1317719950031265E-3</v>
      </c>
      <c r="AE209" s="1">
        <f t="shared" si="41"/>
        <v>-333.17538126023567</v>
      </c>
      <c r="AH209" s="150">
        <f t="shared" si="47"/>
        <v>4.0600000000000014</v>
      </c>
      <c r="AI209" s="147">
        <v>0.56796654412438674</v>
      </c>
      <c r="AJ209" s="1">
        <f t="shared" si="42"/>
        <v>167200.16992572628</v>
      </c>
    </row>
    <row r="210" spans="15:36">
      <c r="O210" s="85"/>
      <c r="T210" s="140">
        <f t="shared" si="45"/>
        <v>0.20000000000000767</v>
      </c>
      <c r="U210" s="140">
        <v>0.37627421338894851</v>
      </c>
      <c r="V210" s="140">
        <v>6.1231657286859946E-4</v>
      </c>
      <c r="W210" s="1">
        <f t="shared" si="36"/>
        <v>-6.5854479651072634E-2</v>
      </c>
      <c r="X210" s="1">
        <f t="shared" si="38"/>
        <v>-3.6800000000000135</v>
      </c>
      <c r="Y210" s="1">
        <f t="shared" si="39"/>
        <v>0.31103205031074443</v>
      </c>
      <c r="Z210" s="1">
        <f t="shared" si="37"/>
        <v>1.2559588396817638E-2</v>
      </c>
      <c r="AA210" s="1">
        <f t="shared" si="40"/>
        <v>24.764509829761145</v>
      </c>
      <c r="AC210" s="146">
        <f t="shared" si="48"/>
        <v>-8.0000000000003291E-2</v>
      </c>
      <c r="AD210" s="147">
        <v>-1.5090293266708148E-3</v>
      </c>
      <c r="AE210" s="1">
        <f t="shared" si="41"/>
        <v>-444.23384168030816</v>
      </c>
      <c r="AH210" s="150">
        <f t="shared" si="47"/>
        <v>4.080000000000001</v>
      </c>
      <c r="AI210" s="147">
        <v>0.57019552471433366</v>
      </c>
      <c r="AJ210" s="1">
        <f t="shared" si="42"/>
        <v>167856.34578195537</v>
      </c>
    </row>
    <row r="211" spans="15:36">
      <c r="T211" s="140">
        <f t="shared" si="45"/>
        <v>0.25000000000000766</v>
      </c>
      <c r="U211" s="140">
        <v>0.38184666486381591</v>
      </c>
      <c r="V211" s="140">
        <v>7.6539571608574342E-4</v>
      </c>
      <c r="W211" s="1">
        <f t="shared" si="36"/>
        <v>-6.6630853401432266E-2</v>
      </c>
      <c r="X211" s="1">
        <f t="shared" si="38"/>
        <v>-3.7700000000000133</v>
      </c>
      <c r="Y211" s="1">
        <f t="shared" si="39"/>
        <v>0.31598120717846939</v>
      </c>
      <c r="Z211" s="1">
        <f t="shared" si="37"/>
        <v>1.2613359127851607E-2</v>
      </c>
      <c r="AA211" s="1">
        <f t="shared" si="40"/>
        <v>25.051312975046439</v>
      </c>
      <c r="AC211" s="146">
        <f t="shared" si="48"/>
        <v>-0.10000000000000329</v>
      </c>
      <c r="AD211" s="147">
        <v>-1.8862866583385029E-3</v>
      </c>
      <c r="AE211" s="1">
        <f t="shared" si="41"/>
        <v>-555.29230210038065</v>
      </c>
      <c r="AH211" s="150">
        <f t="shared" si="47"/>
        <v>4.1000000000000005</v>
      </c>
      <c r="AI211" s="147">
        <v>0.57242450530428057</v>
      </c>
      <c r="AJ211" s="1">
        <f t="shared" si="42"/>
        <v>168512.52163818441</v>
      </c>
    </row>
    <row r="212" spans="15:36">
      <c r="T212" s="140">
        <f t="shared" si="45"/>
        <v>0.30000000000000765</v>
      </c>
      <c r="U212" s="140">
        <v>0.38741911633868337</v>
      </c>
      <c r="V212" s="140">
        <v>9.1847485930288749E-4</v>
      </c>
      <c r="W212" s="1">
        <f t="shared" si="36"/>
        <v>-6.7407227151791912E-2</v>
      </c>
      <c r="X212" s="1">
        <f t="shared" si="38"/>
        <v>-3.8600000000000136</v>
      </c>
      <c r="Y212" s="1">
        <f t="shared" si="39"/>
        <v>0.32093036404619435</v>
      </c>
      <c r="Z212" s="1">
        <f t="shared" si="37"/>
        <v>1.2668197668897733E-2</v>
      </c>
      <c r="AA212" s="1">
        <f t="shared" si="40"/>
        <v>25.333545657731964</v>
      </c>
      <c r="AC212" s="146">
        <f t="shared" si="48"/>
        <v>-0.1200000000000033</v>
      </c>
      <c r="AD212" s="147">
        <v>-2.263543990006191E-3</v>
      </c>
      <c r="AE212" s="1">
        <f t="shared" si="41"/>
        <v>-666.35076252045303</v>
      </c>
      <c r="AH212" s="150">
        <f t="shared" si="47"/>
        <v>4.12</v>
      </c>
      <c r="AI212" s="147">
        <v>0.57465348589422749</v>
      </c>
      <c r="AJ212" s="1">
        <f t="shared" si="42"/>
        <v>169168.69749441344</v>
      </c>
    </row>
    <row r="213" spans="15:36">
      <c r="T213" s="140">
        <f t="shared" si="45"/>
        <v>0.35000000000000764</v>
      </c>
      <c r="U213" s="140">
        <v>0.39299156781355071</v>
      </c>
      <c r="V213" s="140">
        <v>1.0715540025200314E-3</v>
      </c>
      <c r="W213" s="1">
        <f t="shared" si="36"/>
        <v>-6.8183600902151517E-2</v>
      </c>
      <c r="X213" s="1">
        <f t="shared" si="38"/>
        <v>-3.9500000000000135</v>
      </c>
      <c r="Y213" s="1">
        <f t="shared" si="39"/>
        <v>0.3258795209139192</v>
      </c>
      <c r="Z213" s="1">
        <f t="shared" si="37"/>
        <v>1.2724104019956016E-2</v>
      </c>
      <c r="AA213" s="1">
        <f t="shared" si="40"/>
        <v>25.611195916256403</v>
      </c>
      <c r="AC213" s="146">
        <f t="shared" si="48"/>
        <v>-0.14000000000000329</v>
      </c>
      <c r="AD213" s="147">
        <v>-2.6408013216738793E-3</v>
      </c>
      <c r="AE213" s="1">
        <f t="shared" si="41"/>
        <v>-777.40922294052552</v>
      </c>
      <c r="AH213" s="150">
        <f t="shared" si="47"/>
        <v>4.1399999999999997</v>
      </c>
      <c r="AI213" s="147">
        <v>0.57688246648417441</v>
      </c>
      <c r="AJ213" s="1">
        <f t="shared" si="42"/>
        <v>169824.87335064248</v>
      </c>
    </row>
    <row r="214" spans="15:36">
      <c r="T214" s="140">
        <f t="shared" si="45"/>
        <v>0.40000000000000763</v>
      </c>
      <c r="U214" s="140">
        <v>0.39856401928841811</v>
      </c>
      <c r="V214" s="140">
        <v>1.2246331457371753E-3</v>
      </c>
      <c r="W214" s="1">
        <f t="shared" si="36"/>
        <v>-6.8959974652511136E-2</v>
      </c>
      <c r="X214" s="1">
        <f t="shared" si="38"/>
        <v>-4.0400000000000134</v>
      </c>
      <c r="Y214" s="1">
        <f t="shared" si="39"/>
        <v>0.33082867778164415</v>
      </c>
      <c r="Z214" s="1">
        <f t="shared" si="37"/>
        <v>1.2781078181026457E-2</v>
      </c>
      <c r="AA214" s="1">
        <f t="shared" si="40"/>
        <v>25.884254293410095</v>
      </c>
      <c r="AC214" s="146">
        <f t="shared" si="48"/>
        <v>-0.16000000000000328</v>
      </c>
      <c r="AD214" s="147">
        <v>-3.0180586533415672E-3</v>
      </c>
      <c r="AE214" s="1">
        <f t="shared" si="41"/>
        <v>-888.4676833605979</v>
      </c>
      <c r="AH214" s="150">
        <f t="shared" si="47"/>
        <v>4.1599999999999993</v>
      </c>
      <c r="AI214" s="147">
        <v>0.57911144707412132</v>
      </c>
      <c r="AJ214" s="1">
        <f t="shared" si="42"/>
        <v>170481.04920687151</v>
      </c>
    </row>
    <row r="215" spans="15:36">
      <c r="T215" s="140">
        <f t="shared" si="45"/>
        <v>0.45000000000000762</v>
      </c>
      <c r="U215" s="140">
        <v>0.40413647076328557</v>
      </c>
      <c r="V215" s="140">
        <v>1.3777122889543191E-3</v>
      </c>
      <c r="W215" s="1">
        <f t="shared" si="36"/>
        <v>-6.9736348402870768E-2</v>
      </c>
      <c r="X215" s="1">
        <f t="shared" si="38"/>
        <v>-4.1300000000000132</v>
      </c>
      <c r="Y215" s="1">
        <f t="shared" si="39"/>
        <v>0.33577783464936917</v>
      </c>
      <c r="Z215" s="1">
        <f t="shared" si="37"/>
        <v>1.2839120152109059E-2</v>
      </c>
      <c r="AA215" s="1">
        <f t="shared" si="40"/>
        <v>26.152713789675968</v>
      </c>
      <c r="AC215" s="146">
        <f t="shared" si="48"/>
        <v>-0.18000000000000327</v>
      </c>
      <c r="AD215" s="147">
        <v>-3.395315985009255E-3</v>
      </c>
      <c r="AE215" s="1">
        <f t="shared" si="41"/>
        <v>-999.52614378067028</v>
      </c>
      <c r="AH215" s="150">
        <f t="shared" si="47"/>
        <v>4.1799999999999988</v>
      </c>
      <c r="AI215" s="147">
        <v>0.58134042766406824</v>
      </c>
      <c r="AJ215" s="1">
        <f t="shared" si="42"/>
        <v>171137.22506310057</v>
      </c>
    </row>
    <row r="216" spans="15:36">
      <c r="T216" s="140">
        <f t="shared" si="45"/>
        <v>0.50000000000000766</v>
      </c>
      <c r="U216" s="140">
        <v>0.40970892223815303</v>
      </c>
      <c r="V216" s="140">
        <v>1.5307914321714634E-3</v>
      </c>
      <c r="W216" s="1">
        <f t="shared" si="36"/>
        <v>-7.0512722153230387E-2</v>
      </c>
      <c r="X216" s="1">
        <f t="shared" si="38"/>
        <v>-4.220000000000014</v>
      </c>
      <c r="Y216" s="1">
        <f t="shared" si="39"/>
        <v>0.34072699151709407</v>
      </c>
      <c r="Z216" s="1">
        <f t="shared" si="37"/>
        <v>1.2898229933203817E-2</v>
      </c>
      <c r="AA216" s="1">
        <f t="shared" si="40"/>
        <v>26.416569814743582</v>
      </c>
      <c r="AC216" s="146">
        <f t="shared" si="48"/>
        <v>-0.20000000000000326</v>
      </c>
      <c r="AD216" s="147">
        <v>-3.7725733166769429E-3</v>
      </c>
      <c r="AE216" s="1">
        <f t="shared" si="41"/>
        <v>-1110.5846042007429</v>
      </c>
      <c r="AH216" s="150">
        <f t="shared" si="47"/>
        <v>4.1999999999999984</v>
      </c>
      <c r="AI216" s="147">
        <v>0.58356940825401515</v>
      </c>
      <c r="AJ216" s="1">
        <f t="shared" si="42"/>
        <v>171793.40091932958</v>
      </c>
    </row>
    <row r="217" spans="15:36">
      <c r="T217" s="140">
        <f t="shared" si="45"/>
        <v>0.5500000000000077</v>
      </c>
      <c r="U217" s="140">
        <v>0.41528137371302043</v>
      </c>
      <c r="V217" s="140">
        <v>1.6838705753886075E-3</v>
      </c>
      <c r="W217" s="1">
        <f t="shared" si="36"/>
        <v>-7.1289095903590019E-2</v>
      </c>
      <c r="X217" s="1">
        <f t="shared" si="38"/>
        <v>-4.3100000000000138</v>
      </c>
      <c r="Y217" s="1">
        <f t="shared" si="39"/>
        <v>0.34567614838481903</v>
      </c>
      <c r="Z217" s="1">
        <f t="shared" si="37"/>
        <v>1.2958407524310734E-2</v>
      </c>
      <c r="AA217" s="1">
        <f t="shared" si="40"/>
        <v>26.675820137336341</v>
      </c>
      <c r="AC217" s="146">
        <f t="shared" si="48"/>
        <v>-0.22000000000000325</v>
      </c>
      <c r="AD217" s="147">
        <v>-4.1498306483446308E-3</v>
      </c>
      <c r="AE217" s="1">
        <f t="shared" si="41"/>
        <v>-1221.6430646208153</v>
      </c>
      <c r="AH217" s="150">
        <f t="shared" si="47"/>
        <v>4.219999999999998</v>
      </c>
      <c r="AI217" s="147">
        <v>0.58579838884396207</v>
      </c>
      <c r="AJ217" s="1">
        <f t="shared" si="42"/>
        <v>172449.57677555864</v>
      </c>
    </row>
    <row r="218" spans="15:36">
      <c r="T218" s="140">
        <f t="shared" si="45"/>
        <v>0.60000000000000775</v>
      </c>
      <c r="U218" s="140">
        <v>0.42085382518788789</v>
      </c>
      <c r="V218" s="140">
        <v>1.8369497186057518E-3</v>
      </c>
      <c r="W218" s="1">
        <f t="shared" si="36"/>
        <v>-7.2065469653949651E-2</v>
      </c>
      <c r="X218" s="1">
        <f t="shared" si="38"/>
        <v>-4.4200000000000141</v>
      </c>
      <c r="Y218" s="1">
        <f t="shared" si="39"/>
        <v>0.35062530525254398</v>
      </c>
      <c r="Z218" s="1">
        <f t="shared" si="37"/>
        <v>1.3019652925429807E-2</v>
      </c>
      <c r="AA218" s="1">
        <f t="shared" si="40"/>
        <v>26.930464833490873</v>
      </c>
      <c r="AC218" s="146">
        <f t="shared" si="48"/>
        <v>-0.24000000000000324</v>
      </c>
      <c r="AD218" s="147">
        <v>-4.5270879800123195E-3</v>
      </c>
      <c r="AE218" s="1">
        <f t="shared" si="41"/>
        <v>-1332.7015250408879</v>
      </c>
      <c r="AH218" s="150">
        <f t="shared" si="47"/>
        <v>4.2399999999999975</v>
      </c>
      <c r="AI218" s="147">
        <v>0.58802736943390899</v>
      </c>
      <c r="AJ218" s="1">
        <f t="shared" si="42"/>
        <v>173105.75263178771</v>
      </c>
    </row>
    <row r="219" spans="15:36">
      <c r="T219" s="140">
        <f t="shared" si="45"/>
        <v>0.65000000000000779</v>
      </c>
      <c r="U219" s="140">
        <v>0.42642627666275529</v>
      </c>
      <c r="V219" s="140">
        <v>1.9900288618228956E-3</v>
      </c>
      <c r="W219" s="1">
        <f t="shared" si="36"/>
        <v>-7.284184340430927E-2</v>
      </c>
      <c r="X219" s="1">
        <f t="shared" si="38"/>
        <v>-4.510000000000014</v>
      </c>
      <c r="Y219" s="1">
        <f t="shared" si="39"/>
        <v>0.35557446212026894</v>
      </c>
      <c r="Z219" s="1">
        <f t="shared" si="37"/>
        <v>1.3081966136561041E-2</v>
      </c>
      <c r="AA219" s="1">
        <f t="shared" si="40"/>
        <v>27.180506233426286</v>
      </c>
      <c r="AC219" s="146">
        <f t="shared" si="48"/>
        <v>-0.26000000000000323</v>
      </c>
      <c r="AD219" s="147">
        <v>-4.9043453116800065E-3</v>
      </c>
      <c r="AE219" s="1">
        <f t="shared" si="41"/>
        <v>-1443.75998546096</v>
      </c>
      <c r="AH219" s="150">
        <f t="shared" si="47"/>
        <v>4.2599999999999971</v>
      </c>
      <c r="AI219" s="147">
        <v>0.5902563500238559</v>
      </c>
      <c r="AJ219" s="1">
        <f t="shared" si="42"/>
        <v>173761.92848801674</v>
      </c>
    </row>
    <row r="220" spans="15:36">
      <c r="T220" s="140">
        <f t="shared" si="45"/>
        <v>0.70000000000000784</v>
      </c>
      <c r="U220" s="140">
        <v>0.43199872813762269</v>
      </c>
      <c r="V220" s="140">
        <v>2.1431080050400399E-3</v>
      </c>
      <c r="W220" s="1">
        <f t="shared" si="36"/>
        <v>-7.3618217154668902E-2</v>
      </c>
      <c r="X220" s="1">
        <f t="shared" si="38"/>
        <v>-4.6000000000000139</v>
      </c>
      <c r="Y220" s="1">
        <f t="shared" si="39"/>
        <v>0.36052361898799379</v>
      </c>
      <c r="Z220" s="1">
        <f t="shared" si="37"/>
        <v>1.3145347157704431E-2</v>
      </c>
      <c r="AA220" s="1">
        <f t="shared" si="40"/>
        <v>27.425948867139081</v>
      </c>
      <c r="AC220" s="146">
        <f t="shared" si="48"/>
        <v>-0.28000000000000325</v>
      </c>
      <c r="AD220" s="147">
        <v>-5.2816026433476953E-3</v>
      </c>
      <c r="AE220" s="1">
        <f t="shared" si="41"/>
        <v>-1554.8184458810326</v>
      </c>
      <c r="AH220" s="150">
        <f t="shared" si="47"/>
        <v>4.2799999999999967</v>
      </c>
      <c r="AI220" s="147">
        <v>0.59248533061380282</v>
      </c>
      <c r="AJ220" s="1">
        <f t="shared" si="42"/>
        <v>174418.10434424577</v>
      </c>
    </row>
    <row r="221" spans="15:36">
      <c r="T221" s="140">
        <f t="shared" si="45"/>
        <v>0.75000000000000788</v>
      </c>
      <c r="U221" s="140">
        <v>0.43757117961249015</v>
      </c>
      <c r="V221" s="140">
        <v>2.2961871482571842E-3</v>
      </c>
      <c r="W221" s="1">
        <f t="shared" si="36"/>
        <v>-7.4394590905028535E-2</v>
      </c>
      <c r="X221" s="1">
        <f t="shared" si="38"/>
        <v>-4.6900000000000137</v>
      </c>
      <c r="Y221" s="1">
        <f t="shared" si="39"/>
        <v>0.3654727758557188</v>
      </c>
      <c r="Z221" s="1">
        <f t="shared" si="37"/>
        <v>1.3209795988859982E-2</v>
      </c>
      <c r="AA221" s="1">
        <f t="shared" si="40"/>
        <v>27.666799408857447</v>
      </c>
      <c r="AC221" s="146">
        <f t="shared" si="48"/>
        <v>-0.30000000000000326</v>
      </c>
      <c r="AD221" s="147">
        <v>-5.658859975015384E-3</v>
      </c>
      <c r="AE221" s="1">
        <f t="shared" si="41"/>
        <v>-1665.8769063011052</v>
      </c>
      <c r="AH221" s="150">
        <f t="shared" si="47"/>
        <v>4.2999999999999963</v>
      </c>
      <c r="AI221" s="147">
        <v>0.59471431120374985</v>
      </c>
      <c r="AJ221" s="1">
        <f t="shared" si="42"/>
        <v>175074.28020047487</v>
      </c>
    </row>
    <row r="222" spans="15:36">
      <c r="T222" s="140">
        <f t="shared" si="45"/>
        <v>0.80000000000000793</v>
      </c>
      <c r="U222" s="140">
        <v>0.44314363108735749</v>
      </c>
      <c r="V222" s="140">
        <v>2.4492662914743285E-3</v>
      </c>
      <c r="W222" s="1">
        <f t="shared" si="36"/>
        <v>-7.5170964655388153E-2</v>
      </c>
      <c r="X222" s="1">
        <f t="shared" si="38"/>
        <v>-4.7800000000000145</v>
      </c>
      <c r="Y222" s="1">
        <f t="shared" si="39"/>
        <v>0.3704219327234437</v>
      </c>
      <c r="Z222" s="1">
        <f t="shared" si="37"/>
        <v>1.3275312630027687E-2</v>
      </c>
      <c r="AA222" s="1">
        <f t="shared" si="40"/>
        <v>27.903066620486147</v>
      </c>
      <c r="AC222" s="146">
        <f t="shared" si="48"/>
        <v>-0.32000000000000328</v>
      </c>
      <c r="AD222" s="147">
        <v>-6.0361173066830727E-3</v>
      </c>
      <c r="AE222" s="1">
        <f t="shared" si="41"/>
        <v>-1776.9353667211778</v>
      </c>
      <c r="AH222" s="150">
        <f t="shared" si="47"/>
        <v>4.3199999999999958</v>
      </c>
      <c r="AI222" s="147">
        <v>0.59694329179369676</v>
      </c>
      <c r="AJ222" s="1">
        <f t="shared" si="42"/>
        <v>175730.45605670387</v>
      </c>
    </row>
    <row r="223" spans="15:36">
      <c r="T223" s="140">
        <f t="shared" si="45"/>
        <v>0.85000000000000797</v>
      </c>
      <c r="U223" s="140">
        <v>0.448716082562225</v>
      </c>
      <c r="V223" s="140">
        <v>2.6023454346914723E-3</v>
      </c>
      <c r="W223" s="1">
        <f t="shared" si="36"/>
        <v>-7.5947338405747786E-2</v>
      </c>
      <c r="X223" s="1">
        <f t="shared" si="38"/>
        <v>-4.8700000000000134</v>
      </c>
      <c r="Y223" s="1">
        <f t="shared" si="39"/>
        <v>0.37537108959116866</v>
      </c>
      <c r="Z223" s="1">
        <f t="shared" si="37"/>
        <v>1.3341897081207553E-2</v>
      </c>
      <c r="AA223" s="1">
        <f t="shared" si="40"/>
        <v>28.134761294170801</v>
      </c>
      <c r="AC223" s="146">
        <f t="shared" si="48"/>
        <v>-0.3400000000000033</v>
      </c>
      <c r="AD223" s="147">
        <v>-6.4133746383507606E-3</v>
      </c>
      <c r="AE223" s="1">
        <f t="shared" si="41"/>
        <v>-1887.99382714125</v>
      </c>
      <c r="AH223" s="150">
        <f t="shared" si="47"/>
        <v>4.3399999999999954</v>
      </c>
      <c r="AI223" s="147">
        <v>0.59917227238364368</v>
      </c>
      <c r="AJ223" s="1">
        <f t="shared" si="42"/>
        <v>176386.63191293293</v>
      </c>
    </row>
    <row r="224" spans="15:36">
      <c r="T224" s="140">
        <f t="shared" si="45"/>
        <v>0.90000000000000802</v>
      </c>
      <c r="U224" s="140">
        <v>0.4542885340370923</v>
      </c>
      <c r="V224" s="140">
        <v>2.7554245779086166E-3</v>
      </c>
      <c r="W224" s="1">
        <f t="shared" si="36"/>
        <v>-7.6723712156107376E-2</v>
      </c>
      <c r="X224" s="1">
        <f t="shared" si="38"/>
        <v>-4.9600000000000133</v>
      </c>
      <c r="Y224" s="1">
        <f t="shared" si="39"/>
        <v>0.38032024645889351</v>
      </c>
      <c r="Z224" s="1">
        <f t="shared" si="37"/>
        <v>1.3409549342399575E-2</v>
      </c>
      <c r="AA224" s="1">
        <f t="shared" si="40"/>
        <v>28.361896194107072</v>
      </c>
      <c r="AC224" s="146">
        <f t="shared" si="48"/>
        <v>-0.36000000000000332</v>
      </c>
      <c r="AD224" s="147">
        <v>-6.7906319700184485E-3</v>
      </c>
      <c r="AE224" s="1">
        <f t="shared" si="41"/>
        <v>-1999.0522875613226</v>
      </c>
      <c r="AH224" s="150">
        <f t="shared" si="47"/>
        <v>4.359999999999995</v>
      </c>
      <c r="AI224" s="147">
        <v>0.60140125297359059</v>
      </c>
      <c r="AJ224" s="1">
        <f t="shared" si="42"/>
        <v>177042.807769162</v>
      </c>
    </row>
    <row r="225" spans="20:36">
      <c r="T225" s="140">
        <f t="shared" si="45"/>
        <v>0.95000000000000806</v>
      </c>
      <c r="U225" s="140">
        <v>0.45986098551195981</v>
      </c>
      <c r="V225" s="140">
        <v>2.9085037211257605E-3</v>
      </c>
      <c r="W225" s="1">
        <f t="shared" si="36"/>
        <v>-7.7500085906467037E-2</v>
      </c>
      <c r="X225" s="1">
        <f t="shared" si="38"/>
        <v>-5.0500000000000123</v>
      </c>
      <c r="Y225" s="1">
        <f t="shared" si="39"/>
        <v>0.38526940332661852</v>
      </c>
      <c r="Z225" s="1">
        <f t="shared" si="37"/>
        <v>1.3478269413603758E-2</v>
      </c>
      <c r="AA225" s="1">
        <f t="shared" si="40"/>
        <v>28.584485997717341</v>
      </c>
      <c r="AC225" s="146">
        <f t="shared" si="48"/>
        <v>-0.38000000000000334</v>
      </c>
      <c r="AD225" s="147">
        <v>-7.1678893016861381E-3</v>
      </c>
      <c r="AE225" s="1">
        <f t="shared" si="41"/>
        <v>-2110.1107479813954</v>
      </c>
      <c r="AH225" s="150">
        <f t="shared" si="47"/>
        <v>4.3799999999999946</v>
      </c>
      <c r="AI225" s="147">
        <v>0.60363023356353751</v>
      </c>
      <c r="AJ225" s="1">
        <f t="shared" si="42"/>
        <v>177698.98362539103</v>
      </c>
    </row>
    <row r="226" spans="20:36">
      <c r="T226" s="140">
        <f t="shared" si="45"/>
        <v>1.000000000000008</v>
      </c>
      <c r="U226" s="140">
        <v>0.46543343698682715</v>
      </c>
      <c r="V226" s="140">
        <v>3.0615828643429043E-3</v>
      </c>
      <c r="W226" s="1">
        <f t="shared" si="36"/>
        <v>-7.8276459656826655E-2</v>
      </c>
      <c r="X226" s="1">
        <f t="shared" si="38"/>
        <v>-5.1400000000000112</v>
      </c>
      <c r="Y226" s="1">
        <f t="shared" si="39"/>
        <v>0.39021856019434337</v>
      </c>
      <c r="Z226" s="1">
        <f t="shared" si="37"/>
        <v>1.3548057294820096E-2</v>
      </c>
      <c r="AA226" s="1">
        <f t="shared" si="40"/>
        <v>28.802547236313931</v>
      </c>
      <c r="AC226" s="146">
        <f t="shared" si="48"/>
        <v>-0.40000000000000335</v>
      </c>
      <c r="AD226" s="147">
        <v>-7.545146633353826E-3</v>
      </c>
      <c r="AE226" s="1">
        <f t="shared" si="41"/>
        <v>-2221.1692084014676</v>
      </c>
      <c r="AH226" s="150">
        <f t="shared" si="47"/>
        <v>4.3999999999999941</v>
      </c>
      <c r="AI226" s="147">
        <v>0.60585921415348443</v>
      </c>
      <c r="AJ226" s="1">
        <f t="shared" si="42"/>
        <v>178355.15948162007</v>
      </c>
    </row>
    <row r="227" spans="20:36">
      <c r="T227" s="140">
        <f t="shared" si="45"/>
        <v>1.050000000000008</v>
      </c>
      <c r="U227" s="140">
        <v>0.47100588846169461</v>
      </c>
      <c r="V227" s="140">
        <v>3.2146620075600486E-3</v>
      </c>
      <c r="W227" s="1">
        <f t="shared" si="36"/>
        <v>-7.9052833407186288E-2</v>
      </c>
      <c r="X227" s="1">
        <f t="shared" ref="X227:X239" si="49">INDEX($AC$6:$AC$1006,MATCH(W227,$AD$6:$AD$1006,-1))-T227</f>
        <v>-5.2300000000000102</v>
      </c>
      <c r="Y227" s="1">
        <f t="shared" si="39"/>
        <v>0.39516771706206838</v>
      </c>
      <c r="Z227" s="1">
        <f t="shared" si="37"/>
        <v>1.3618912986048594E-2</v>
      </c>
      <c r="AA227" s="1">
        <f t="shared" si="40"/>
        <v>29.016098235364581</v>
      </c>
      <c r="AC227" s="146">
        <f t="shared" si="48"/>
        <v>-0.42000000000000337</v>
      </c>
      <c r="AD227" s="147">
        <v>-7.9224039650215156E-3</v>
      </c>
      <c r="AE227" s="1">
        <f t="shared" si="41"/>
        <v>-2332.2276688215406</v>
      </c>
      <c r="AH227" s="150">
        <f t="shared" si="47"/>
        <v>4.4199999999999937</v>
      </c>
      <c r="AI227" s="147">
        <v>0.60808819474343134</v>
      </c>
      <c r="AJ227" s="1">
        <f t="shared" si="42"/>
        <v>179011.3353378491</v>
      </c>
    </row>
    <row r="228" spans="20:36">
      <c r="T228" s="140">
        <f t="shared" si="45"/>
        <v>1.1000000000000081</v>
      </c>
      <c r="U228" s="140">
        <v>0.47657833993656212</v>
      </c>
      <c r="V228" s="140">
        <v>3.3677411507771929E-3</v>
      </c>
      <c r="W228" s="1">
        <f t="shared" si="36"/>
        <v>-7.982920715754592E-2</v>
      </c>
      <c r="X228" s="1">
        <f t="shared" si="49"/>
        <v>-5.3200000000000092</v>
      </c>
      <c r="Y228" s="1">
        <f t="shared" si="39"/>
        <v>0.40011687392979339</v>
      </c>
      <c r="Z228" s="1">
        <f t="shared" si="37"/>
        <v>1.369083648728925E-2</v>
      </c>
      <c r="AA228" s="1">
        <f t="shared" si="40"/>
        <v>29.225159054471732</v>
      </c>
      <c r="AC228" s="146">
        <f t="shared" si="48"/>
        <v>-0.44000000000000339</v>
      </c>
      <c r="AD228" s="147">
        <v>-8.2996612966892026E-3</v>
      </c>
      <c r="AE228" s="1">
        <f t="shared" si="41"/>
        <v>-2443.2861292416133</v>
      </c>
      <c r="AH228" s="150">
        <f t="shared" si="47"/>
        <v>4.4399999999999933</v>
      </c>
      <c r="AI228" s="147">
        <v>0.61031717533337826</v>
      </c>
      <c r="AJ228" s="1">
        <f t="shared" si="42"/>
        <v>179667.51119407814</v>
      </c>
    </row>
    <row r="229" spans="20:36">
      <c r="T229" s="140">
        <f t="shared" si="45"/>
        <v>1.1500000000000081</v>
      </c>
      <c r="U229" s="140">
        <v>0.48215079141142952</v>
      </c>
      <c r="V229" s="140">
        <v>3.5208202939943367E-3</v>
      </c>
      <c r="W229" s="1">
        <f t="shared" si="36"/>
        <v>-8.0605580907905539E-2</v>
      </c>
      <c r="X229" s="1">
        <f t="shared" si="49"/>
        <v>-5.410000000000009</v>
      </c>
      <c r="Y229" s="1">
        <f t="shared" si="39"/>
        <v>0.40506603079751829</v>
      </c>
      <c r="Z229" s="1">
        <f t="shared" si="37"/>
        <v>1.3763827798542065E-2</v>
      </c>
      <c r="AA229" s="1">
        <f t="shared" si="40"/>
        <v>29.429751427173837</v>
      </c>
      <c r="AC229" s="146">
        <f t="shared" si="48"/>
        <v>-0.46000000000000341</v>
      </c>
      <c r="AD229" s="147">
        <v>-8.6769186283568913E-3</v>
      </c>
      <c r="AE229" s="1">
        <f t="shared" si="41"/>
        <v>-2554.3445896616859</v>
      </c>
      <c r="AH229" s="150">
        <f t="shared" si="47"/>
        <v>4.4599999999999929</v>
      </c>
      <c r="AI229" s="147">
        <v>0.61254615592332518</v>
      </c>
      <c r="AJ229" s="1">
        <f t="shared" si="42"/>
        <v>180323.68705030723</v>
      </c>
    </row>
    <row r="230" spans="20:36">
      <c r="T230" s="140">
        <f t="shared" si="45"/>
        <v>1.2000000000000082</v>
      </c>
      <c r="U230" s="140">
        <v>0.48772324288629687</v>
      </c>
      <c r="V230" s="140">
        <v>3.673899437211481E-3</v>
      </c>
      <c r="W230" s="1">
        <f t="shared" si="36"/>
        <v>-8.1381954658265157E-2</v>
      </c>
      <c r="X230" s="1">
        <f t="shared" si="49"/>
        <v>-5.500000000000008</v>
      </c>
      <c r="Y230" s="1">
        <f t="shared" si="39"/>
        <v>0.4100151876652432</v>
      </c>
      <c r="Z230" s="1">
        <f t="shared" si="37"/>
        <v>1.3837886919807035E-2</v>
      </c>
      <c r="AA230" s="1">
        <f t="shared" si="40"/>
        <v>29.629898700672481</v>
      </c>
      <c r="AC230" s="146">
        <f t="shared" si="48"/>
        <v>-0.48000000000000342</v>
      </c>
      <c r="AD230" s="147">
        <v>-9.05417596002458E-3</v>
      </c>
      <c r="AE230" s="1">
        <f t="shared" si="41"/>
        <v>-2665.4030500817585</v>
      </c>
      <c r="AH230" s="150">
        <f t="shared" si="47"/>
        <v>4.4799999999999924</v>
      </c>
      <c r="AI230" s="147">
        <v>0.61477513651327209</v>
      </c>
      <c r="AJ230" s="1">
        <f t="shared" si="42"/>
        <v>180979.86290653626</v>
      </c>
    </row>
    <row r="231" spans="20:36">
      <c r="T231" s="140">
        <f t="shared" si="45"/>
        <v>1.2500000000000082</v>
      </c>
      <c r="U231" s="140">
        <v>0.49329569436116427</v>
      </c>
      <c r="V231" s="140">
        <v>3.8269785804286253E-3</v>
      </c>
      <c r="W231" s="1">
        <f t="shared" si="36"/>
        <v>-8.2158328408624789E-2</v>
      </c>
      <c r="X231" s="1">
        <f t="shared" si="49"/>
        <v>-5.590000000000007</v>
      </c>
      <c r="Y231" s="1">
        <f t="shared" si="39"/>
        <v>0.4149643445329681</v>
      </c>
      <c r="Z231" s="1">
        <f t="shared" si="37"/>
        <v>1.3913013851084165E-2</v>
      </c>
      <c r="AA231" s="1">
        <f t="shared" si="40"/>
        <v>29.825625775585078</v>
      </c>
      <c r="AC231" s="146">
        <f t="shared" si="48"/>
        <v>-0.50000000000000344</v>
      </c>
      <c r="AD231" s="147">
        <v>-9.4314332916922688E-3</v>
      </c>
      <c r="AE231" s="1">
        <f t="shared" si="41"/>
        <v>-2776.4615105018306</v>
      </c>
      <c r="AH231" s="150">
        <f t="shared" si="47"/>
        <v>4.499999999999992</v>
      </c>
      <c r="AI231" s="147">
        <v>0.61700411710321901</v>
      </c>
      <c r="AJ231" s="1">
        <f t="shared" si="42"/>
        <v>181636.0387627653</v>
      </c>
    </row>
    <row r="232" spans="20:36">
      <c r="T232" s="140">
        <f t="shared" si="45"/>
        <v>1.3000000000000083</v>
      </c>
      <c r="U232" s="140">
        <v>0.49886814583603173</v>
      </c>
      <c r="V232" s="140">
        <v>3.9800577236457687E-3</v>
      </c>
      <c r="W232" s="1">
        <f t="shared" si="36"/>
        <v>-8.2934702158984422E-2</v>
      </c>
      <c r="X232" s="1">
        <f t="shared" si="49"/>
        <v>-5.6800000000000068</v>
      </c>
      <c r="Y232" s="1">
        <f t="shared" si="39"/>
        <v>0.41991350140069311</v>
      </c>
      <c r="Z232" s="1">
        <f t="shared" si="37"/>
        <v>1.3989208592373452E-2</v>
      </c>
      <c r="AA232" s="1">
        <f t="shared" si="40"/>
        <v>30.016959045818997</v>
      </c>
      <c r="AC232" s="146">
        <f t="shared" si="48"/>
        <v>-0.52000000000000346</v>
      </c>
      <c r="AD232" s="147">
        <v>-9.8086906233599558E-3</v>
      </c>
      <c r="AE232" s="1">
        <f t="shared" si="41"/>
        <v>-2887.5199709219032</v>
      </c>
      <c r="AH232" s="150">
        <f t="shared" si="47"/>
        <v>4.5199999999999916</v>
      </c>
      <c r="AI232" s="147">
        <v>0.61923309769316592</v>
      </c>
      <c r="AJ232" s="1">
        <f t="shared" si="42"/>
        <v>182292.21461899433</v>
      </c>
    </row>
    <row r="233" spans="20:36">
      <c r="T233" s="140">
        <f t="shared" si="45"/>
        <v>1.3500000000000083</v>
      </c>
      <c r="U233" s="140">
        <v>0.50444059731089919</v>
      </c>
      <c r="V233" s="140">
        <v>4.133136866862913E-3</v>
      </c>
      <c r="W233" s="1">
        <f t="shared" si="36"/>
        <v>-8.371107590934404E-2</v>
      </c>
      <c r="X233" s="1">
        <f t="shared" si="49"/>
        <v>-5.7700000000000058</v>
      </c>
      <c r="Y233" s="1">
        <f t="shared" si="39"/>
        <v>0.42486265826841807</v>
      </c>
      <c r="Z233" s="1">
        <f t="shared" si="37"/>
        <v>1.4066471143674901E-2</v>
      </c>
      <c r="AA233" s="1">
        <f t="shared" si="40"/>
        <v>30.203926338658214</v>
      </c>
      <c r="AC233" s="146">
        <f t="shared" si="48"/>
        <v>-0.54000000000000348</v>
      </c>
      <c r="AD233" s="147">
        <v>-1.0185947955027646E-2</v>
      </c>
      <c r="AE233" s="1">
        <f t="shared" si="41"/>
        <v>-2998.5784313419763</v>
      </c>
      <c r="AH233" s="150">
        <f t="shared" si="47"/>
        <v>4.5399999999999912</v>
      </c>
      <c r="AI233" s="147">
        <v>0.62146207828311284</v>
      </c>
      <c r="AJ233" s="1">
        <f t="shared" si="42"/>
        <v>182948.39047522336</v>
      </c>
    </row>
    <row r="234" spans="20:36">
      <c r="T234" s="140">
        <f>T233+$V$2</f>
        <v>1.4000000000000083</v>
      </c>
      <c r="U234" s="140">
        <v>0.51001304878576659</v>
      </c>
      <c r="V234" s="140">
        <v>4.2862160100800573E-3</v>
      </c>
      <c r="W234" s="1">
        <f t="shared" si="36"/>
        <v>-8.4487449659703673E-2</v>
      </c>
      <c r="X234" s="1">
        <f t="shared" si="49"/>
        <v>-5.8600000000000048</v>
      </c>
      <c r="Y234" s="1">
        <f t="shared" si="39"/>
        <v>0.42981181513614297</v>
      </c>
      <c r="Z234" s="1">
        <f t="shared" si="37"/>
        <v>1.4144801504988503E-2</v>
      </c>
      <c r="AA234" s="1">
        <f t="shared" si="40"/>
        <v>30.386556855149898</v>
      </c>
      <c r="AC234" s="146">
        <f>AC233-$AD$2</f>
        <v>-0.56000000000000349</v>
      </c>
      <c r="AD234" s="147">
        <v>-1.0563205286695335E-2</v>
      </c>
      <c r="AE234" s="1">
        <f t="shared" si="41"/>
        <v>-3109.6368917620484</v>
      </c>
      <c r="AH234" s="150">
        <f t="shared" si="47"/>
        <v>4.5599999999999907</v>
      </c>
      <c r="AI234" s="147">
        <v>0.62369105887305976</v>
      </c>
      <c r="AJ234" s="1">
        <f t="shared" si="42"/>
        <v>183604.5663314524</v>
      </c>
    </row>
    <row r="235" spans="20:36">
      <c r="T235" s="140">
        <f t="shared" ref="T235:T249" si="50">T234+$V$2</f>
        <v>1.4500000000000084</v>
      </c>
      <c r="U235" s="140">
        <v>0.51558550026063399</v>
      </c>
      <c r="V235" s="140">
        <v>4.4392951532972015E-3</v>
      </c>
      <c r="W235" s="1">
        <f t="shared" si="36"/>
        <v>-8.5263823410063305E-2</v>
      </c>
      <c r="X235" s="1">
        <f t="shared" si="49"/>
        <v>-5.9700000000000033</v>
      </c>
      <c r="Y235" s="1">
        <f t="shared" si="39"/>
        <v>0.43476097200386787</v>
      </c>
      <c r="Z235" s="1">
        <f t="shared" si="37"/>
        <v>1.4224199676314265E-2</v>
      </c>
      <c r="AA235" s="1">
        <f t="shared" si="40"/>
        <v>30.564881110873291</v>
      </c>
      <c r="AC235" s="146">
        <f t="shared" ref="AC235:AC298" si="51">AC234-$AD$2</f>
        <v>-0.58000000000000351</v>
      </c>
      <c r="AD235" s="147">
        <v>-1.0940462618363022E-2</v>
      </c>
      <c r="AE235" s="1">
        <f t="shared" si="41"/>
        <v>-3220.6953521821215</v>
      </c>
      <c r="AH235" s="150">
        <f t="shared" si="47"/>
        <v>4.5799999999999903</v>
      </c>
      <c r="AI235" s="147">
        <v>0.62592003946300667</v>
      </c>
      <c r="AJ235" s="1">
        <f t="shared" si="42"/>
        <v>184260.74218768143</v>
      </c>
    </row>
    <row r="236" spans="20:36">
      <c r="T236" s="140">
        <f t="shared" si="50"/>
        <v>1.5000000000000084</v>
      </c>
      <c r="U236" s="140">
        <v>0.5211579517355015</v>
      </c>
      <c r="V236" s="140">
        <v>4.5923742965143458E-3</v>
      </c>
      <c r="W236" s="1">
        <f t="shared" si="36"/>
        <v>-8.6040197160422938E-2</v>
      </c>
      <c r="X236" s="1">
        <f t="shared" si="49"/>
        <v>-6.0600000000000023</v>
      </c>
      <c r="Y236" s="1">
        <f t="shared" si="39"/>
        <v>0.43971012887159294</v>
      </c>
      <c r="Z236" s="1">
        <f t="shared" si="37"/>
        <v>1.4304665657652189E-2</v>
      </c>
      <c r="AA236" s="1">
        <f t="shared" si="40"/>
        <v>30.738930877169633</v>
      </c>
      <c r="AC236" s="146">
        <f t="shared" si="51"/>
        <v>-0.60000000000000353</v>
      </c>
      <c r="AD236" s="147">
        <v>-1.1317719950030711E-2</v>
      </c>
      <c r="AE236" s="1">
        <f t="shared" si="41"/>
        <v>-3331.7538126021936</v>
      </c>
      <c r="AH236" s="150">
        <f t="shared" si="47"/>
        <v>4.5999999999999899</v>
      </c>
      <c r="AI236" s="147">
        <v>0.62814902005295359</v>
      </c>
      <c r="AJ236" s="1">
        <f t="shared" si="42"/>
        <v>184916.91804391053</v>
      </c>
    </row>
    <row r="237" spans="20:36">
      <c r="T237" s="140">
        <f t="shared" si="50"/>
        <v>1.5500000000000085</v>
      </c>
      <c r="U237" s="140">
        <v>0.52673040321036879</v>
      </c>
      <c r="V237" s="140">
        <v>4.7454534397314901E-3</v>
      </c>
      <c r="W237" s="1">
        <f t="shared" si="36"/>
        <v>-8.6816570910782528E-2</v>
      </c>
      <c r="X237" s="1">
        <f t="shared" si="49"/>
        <v>-6.1500000000000021</v>
      </c>
      <c r="Y237" s="1">
        <f t="shared" si="39"/>
        <v>0.44465928573931779</v>
      </c>
      <c r="Z237" s="1">
        <f t="shared" si="37"/>
        <v>1.4386199449002265E-2</v>
      </c>
      <c r="AA237" s="1">
        <f t="shared" si="40"/>
        <v>30.908739122906887</v>
      </c>
      <c r="AC237" s="146">
        <f t="shared" si="51"/>
        <v>-0.62000000000000355</v>
      </c>
      <c r="AD237" s="147">
        <v>-1.1694977281698399E-2</v>
      </c>
      <c r="AE237" s="1">
        <f t="shared" si="41"/>
        <v>-3442.8122730222658</v>
      </c>
      <c r="AH237" s="150">
        <f t="shared" si="47"/>
        <v>4.6199999999999894</v>
      </c>
      <c r="AI237" s="147">
        <v>0.6303780006429005</v>
      </c>
      <c r="AJ237" s="1">
        <f t="shared" si="42"/>
        <v>185573.09390013956</v>
      </c>
    </row>
    <row r="238" spans="20:36">
      <c r="T238" s="140">
        <f t="shared" si="50"/>
        <v>1.6000000000000085</v>
      </c>
      <c r="U238" s="140">
        <v>0.5323028546852363</v>
      </c>
      <c r="V238" s="140">
        <v>4.8985325829486344E-3</v>
      </c>
      <c r="W238" s="1">
        <f t="shared" si="36"/>
        <v>-8.7592944661142175E-2</v>
      </c>
      <c r="X238" s="1">
        <f t="shared" si="49"/>
        <v>-6.2400000000000011</v>
      </c>
      <c r="Y238" s="1">
        <f t="shared" si="39"/>
        <v>0.44960844260704269</v>
      </c>
      <c r="Z238" s="1">
        <f t="shared" si="37"/>
        <v>1.4468801050364502E-2</v>
      </c>
      <c r="AA238" s="1">
        <f t="shared" si="40"/>
        <v>31.074339956849155</v>
      </c>
      <c r="AC238" s="146">
        <f t="shared" si="51"/>
        <v>-0.64000000000000357</v>
      </c>
      <c r="AD238" s="147">
        <v>-1.2072234613366088E-2</v>
      </c>
      <c r="AE238" s="1">
        <f t="shared" si="41"/>
        <v>-3553.8707334423389</v>
      </c>
      <c r="AH238" s="150">
        <f t="shared" si="47"/>
        <v>4.639999999999989</v>
      </c>
      <c r="AI238" s="147">
        <v>0.63260698123284742</v>
      </c>
      <c r="AJ238" s="1">
        <f t="shared" si="42"/>
        <v>186229.26975636859</v>
      </c>
    </row>
    <row r="239" spans="20:36">
      <c r="T239" s="140">
        <f t="shared" si="50"/>
        <v>1.6500000000000086</v>
      </c>
      <c r="U239" s="140">
        <v>0.53787530616010371</v>
      </c>
      <c r="V239" s="140">
        <v>5.0516117261657787E-3</v>
      </c>
      <c r="W239" s="1">
        <f t="shared" si="36"/>
        <v>-8.8369318411501807E-2</v>
      </c>
      <c r="X239" s="1">
        <f t="shared" si="49"/>
        <v>-6.33</v>
      </c>
      <c r="Y239" s="1">
        <f t="shared" si="39"/>
        <v>0.45455759947476765</v>
      </c>
      <c r="Z239" s="1">
        <f t="shared" si="37"/>
        <v>1.4552470461738898E-2</v>
      </c>
      <c r="AA239" s="1">
        <f t="shared" si="40"/>
        <v>31.235768570696127</v>
      </c>
      <c r="AC239" s="146">
        <f t="shared" si="51"/>
        <v>-0.66000000000000358</v>
      </c>
      <c r="AD239" s="147">
        <v>-1.2449491945033777E-2</v>
      </c>
      <c r="AE239" s="1">
        <f t="shared" si="41"/>
        <v>-3664.9291938624115</v>
      </c>
      <c r="AH239" s="150">
        <f t="shared" si="47"/>
        <v>4.6599999999999886</v>
      </c>
      <c r="AI239" s="147">
        <v>0.63483596182279434</v>
      </c>
      <c r="AJ239" s="1">
        <f t="shared" si="42"/>
        <v>186885.44561259763</v>
      </c>
    </row>
    <row r="240" spans="20:36">
      <c r="T240" s="140">
        <f t="shared" si="50"/>
        <v>1.7000000000000086</v>
      </c>
      <c r="U240" s="140">
        <v>0.543447757634971</v>
      </c>
      <c r="V240" s="140">
        <v>5.2046908693829221E-3</v>
      </c>
      <c r="W240" s="1">
        <f t="shared" si="36"/>
        <v>-8.9145692161861426E-2</v>
      </c>
      <c r="X240" s="1">
        <f>INDEX($AC$6:$AC$1006,MATCH(W240,$AD$6:$AD$1006,-1))-T240</f>
        <v>-6.42</v>
      </c>
      <c r="Y240" s="1">
        <f t="shared" si="39"/>
        <v>0.4595067563424925</v>
      </c>
      <c r="Z240" s="1">
        <f t="shared" si="37"/>
        <v>1.4637207683125451E-2</v>
      </c>
      <c r="AA240" s="1">
        <f t="shared" si="40"/>
        <v>31.393061182853629</v>
      </c>
      <c r="AC240" s="146">
        <f t="shared" si="51"/>
        <v>-0.6800000000000036</v>
      </c>
      <c r="AD240" s="147">
        <v>-1.2826749276701466E-2</v>
      </c>
      <c r="AE240" s="1">
        <f t="shared" si="41"/>
        <v>-3775.9876542824845</v>
      </c>
      <c r="AH240" s="150">
        <f t="shared" si="47"/>
        <v>4.6799999999999882</v>
      </c>
      <c r="AI240" s="147">
        <v>0.63706494241274125</v>
      </c>
      <c r="AJ240" s="1">
        <f t="shared" si="42"/>
        <v>187541.62146882666</v>
      </c>
    </row>
    <row r="241" spans="20:36">
      <c r="T241" s="140">
        <f t="shared" si="50"/>
        <v>1.7500000000000087</v>
      </c>
      <c r="U241" s="140">
        <v>0.54902020910983851</v>
      </c>
      <c r="V241" s="140">
        <v>5.3577700126000664E-3</v>
      </c>
      <c r="W241" s="1">
        <f t="shared" si="36"/>
        <v>-8.9922065912221058E-2</v>
      </c>
      <c r="X241" s="1">
        <f t="shared" ref="X241:X304" si="52">INDEX($AC$6:$AC$1006,MATCH(W241,$AD$6:$AD$1006,-1))-T241</f>
        <v>-6.5099999999999989</v>
      </c>
      <c r="Y241" s="1">
        <f t="shared" si="39"/>
        <v>0.46445591321021751</v>
      </c>
      <c r="Z241" s="1">
        <f t="shared" si="37"/>
        <v>1.4723012714524164E-2</v>
      </c>
      <c r="AA241" s="1">
        <f t="shared" si="40"/>
        <v>31.546254982992341</v>
      </c>
      <c r="AC241" s="146">
        <f t="shared" si="51"/>
        <v>-0.70000000000000362</v>
      </c>
      <c r="AD241" s="147">
        <v>-1.3204006608369154E-2</v>
      </c>
      <c r="AE241" s="1">
        <f t="shared" si="41"/>
        <v>-3887.0461147025567</v>
      </c>
      <c r="AH241" s="150">
        <f t="shared" si="47"/>
        <v>4.6999999999999877</v>
      </c>
      <c r="AI241" s="147">
        <v>0.63929392300268817</v>
      </c>
      <c r="AJ241" s="1">
        <f t="shared" si="42"/>
        <v>188197.79732505573</v>
      </c>
    </row>
    <row r="242" spans="20:36">
      <c r="T242" s="140">
        <f t="shared" si="50"/>
        <v>1.8000000000000087</v>
      </c>
      <c r="U242" s="140">
        <v>0.55459266058470602</v>
      </c>
      <c r="V242" s="140">
        <v>5.5108491558172107E-3</v>
      </c>
      <c r="W242" s="1">
        <f t="shared" si="36"/>
        <v>-9.069843966258069E-2</v>
      </c>
      <c r="X242" s="1">
        <f t="shared" si="52"/>
        <v>-6.5999999999999979</v>
      </c>
      <c r="Y242" s="1">
        <f t="shared" si="39"/>
        <v>0.46940507007794258</v>
      </c>
      <c r="Z242" s="1">
        <f t="shared" si="37"/>
        <v>1.4809885555935032E-2</v>
      </c>
      <c r="AA242" s="1">
        <f t="shared" si="40"/>
        <v>31.695388077447326</v>
      </c>
      <c r="AC242" s="146">
        <f t="shared" si="51"/>
        <v>-0.72000000000000364</v>
      </c>
      <c r="AD242" s="147">
        <v>-1.3581263940036841E-2</v>
      </c>
      <c r="AE242" s="1">
        <f t="shared" si="41"/>
        <v>-3998.1045751226293</v>
      </c>
      <c r="AH242" s="150">
        <f t="shared" si="47"/>
        <v>4.7199999999999873</v>
      </c>
      <c r="AI242" s="147">
        <v>0.64152290359263509</v>
      </c>
      <c r="AJ242" s="1">
        <f t="shared" si="42"/>
        <v>188853.97318128473</v>
      </c>
    </row>
    <row r="243" spans="20:36">
      <c r="T243" s="140">
        <f t="shared" si="50"/>
        <v>1.8500000000000087</v>
      </c>
      <c r="U243" s="140">
        <v>0.56016511205957342</v>
      </c>
      <c r="V243" s="140">
        <v>5.6639282990343549E-3</v>
      </c>
      <c r="W243" s="1">
        <f t="shared" si="36"/>
        <v>-9.1474813412940323E-2</v>
      </c>
      <c r="X243" s="1">
        <f t="shared" si="52"/>
        <v>-6.6899999999999968</v>
      </c>
      <c r="Y243" s="1">
        <f t="shared" si="39"/>
        <v>0.47435422694566748</v>
      </c>
      <c r="Z243" s="1">
        <f t="shared" si="37"/>
        <v>1.4897826207358061E-2</v>
      </c>
      <c r="AA243" s="1">
        <f t="shared" si="40"/>
        <v>31.84049943550712</v>
      </c>
      <c r="AC243" s="146">
        <f t="shared" si="51"/>
        <v>-0.74000000000000365</v>
      </c>
      <c r="AD243" s="147">
        <v>-1.395852127170453E-2</v>
      </c>
      <c r="AE243" s="1">
        <f t="shared" si="41"/>
        <v>-4109.1630355427014</v>
      </c>
      <c r="AH243" s="150">
        <f t="shared" si="47"/>
        <v>4.7399999999999869</v>
      </c>
      <c r="AI243" s="147">
        <v>0.643751884182582</v>
      </c>
      <c r="AJ243" s="1">
        <f t="shared" si="42"/>
        <v>189510.14903751382</v>
      </c>
    </row>
    <row r="244" spans="20:36">
      <c r="T244" s="140">
        <f t="shared" si="50"/>
        <v>1.9000000000000088</v>
      </c>
      <c r="U244" s="140">
        <v>0.56573756353444071</v>
      </c>
      <c r="V244" s="140">
        <v>5.8170074422514984E-3</v>
      </c>
      <c r="W244" s="1">
        <f t="shared" si="36"/>
        <v>-9.2251187163299914E-2</v>
      </c>
      <c r="X244" s="1">
        <f t="shared" si="52"/>
        <v>-6.7799999999999958</v>
      </c>
      <c r="Y244" s="1">
        <f t="shared" si="39"/>
        <v>0.47930338381339233</v>
      </c>
      <c r="Z244" s="1">
        <f t="shared" si="37"/>
        <v>1.4986834668793244E-2</v>
      </c>
      <c r="AA244" s="1">
        <f t="shared" si="40"/>
        <v>31.981628836637213</v>
      </c>
      <c r="AC244" s="146">
        <f t="shared" si="51"/>
        <v>-0.76000000000000367</v>
      </c>
      <c r="AD244" s="147">
        <v>-1.4335778603372219E-2</v>
      </c>
      <c r="AE244" s="1">
        <f t="shared" si="41"/>
        <v>-4220.2214959627736</v>
      </c>
      <c r="AH244" s="150">
        <f t="shared" si="47"/>
        <v>4.7599999999999865</v>
      </c>
      <c r="AI244" s="147">
        <v>0.64598086477252892</v>
      </c>
      <c r="AJ244" s="1">
        <f t="shared" si="42"/>
        <v>190166.32489374286</v>
      </c>
    </row>
    <row r="245" spans="20:36">
      <c r="T245" s="140">
        <f t="shared" si="50"/>
        <v>1.9500000000000088</v>
      </c>
      <c r="U245" s="140">
        <v>0.57131001500930823</v>
      </c>
      <c r="V245" s="140">
        <v>5.9700865854686426E-3</v>
      </c>
      <c r="W245" s="1">
        <f t="shared" si="36"/>
        <v>-9.302756091365956E-2</v>
      </c>
      <c r="X245" s="1">
        <f t="shared" si="52"/>
        <v>-6.8699999999999957</v>
      </c>
      <c r="Y245" s="1">
        <f t="shared" si="39"/>
        <v>0.48425254068111728</v>
      </c>
      <c r="Z245" s="1">
        <f t="shared" si="37"/>
        <v>1.5076910940240589E-2</v>
      </c>
      <c r="AA245" s="1">
        <f t="shared" si="40"/>
        <v>32.118816818678496</v>
      </c>
      <c r="AC245" s="146">
        <f t="shared" si="51"/>
        <v>-0.78000000000000369</v>
      </c>
      <c r="AD245" s="147">
        <v>-1.4713035935039908E-2</v>
      </c>
      <c r="AE245" s="1">
        <f t="shared" si="41"/>
        <v>-4331.2799563828466</v>
      </c>
      <c r="AH245" s="150">
        <f t="shared" si="47"/>
        <v>4.779999999999986</v>
      </c>
      <c r="AI245" s="147">
        <v>0.64820984536247583</v>
      </c>
      <c r="AJ245" s="1">
        <f t="shared" si="42"/>
        <v>190822.50074997189</v>
      </c>
    </row>
    <row r="246" spans="20:36">
      <c r="T246" s="140">
        <f t="shared" si="50"/>
        <v>2.0000000000000089</v>
      </c>
      <c r="U246" s="140">
        <v>0.57688246648417563</v>
      </c>
      <c r="V246" s="140">
        <v>6.1231657286857869E-3</v>
      </c>
      <c r="W246" s="1">
        <f t="shared" si="36"/>
        <v>-9.3803934664019192E-2</v>
      </c>
      <c r="X246" s="1">
        <f t="shared" si="52"/>
        <v>-6.9599999999999946</v>
      </c>
      <c r="Y246" s="1">
        <f t="shared" si="39"/>
        <v>0.48920169754884218</v>
      </c>
      <c r="Z246" s="1">
        <f t="shared" si="37"/>
        <v>1.5168055021700091E-2</v>
      </c>
      <c r="AA246" s="1">
        <f t="shared" si="40"/>
        <v>32.252104627057889</v>
      </c>
      <c r="AC246" s="146">
        <f t="shared" si="51"/>
        <v>-0.80000000000000371</v>
      </c>
      <c r="AD246" s="147">
        <v>-1.5090293266707596E-2</v>
      </c>
      <c r="AE246" s="1">
        <f t="shared" si="41"/>
        <v>-4442.3384168029188</v>
      </c>
      <c r="AH246" s="150">
        <f t="shared" si="47"/>
        <v>4.7999999999999856</v>
      </c>
      <c r="AI246" s="147">
        <v>0.65043882595242275</v>
      </c>
      <c r="AJ246" s="1">
        <f t="shared" si="42"/>
        <v>191478.67660620093</v>
      </c>
    </row>
    <row r="247" spans="20:36">
      <c r="T247" s="140">
        <f t="shared" si="50"/>
        <v>2.0500000000000087</v>
      </c>
      <c r="U247" s="140">
        <v>0.58245491795904303</v>
      </c>
      <c r="V247" s="140">
        <v>6.2762448719029312E-3</v>
      </c>
      <c r="W247" s="1">
        <f t="shared" si="36"/>
        <v>-9.4580308414378797E-2</v>
      </c>
      <c r="X247" s="1">
        <f t="shared" si="52"/>
        <v>-7.0499999999999936</v>
      </c>
      <c r="Y247" s="1">
        <f t="shared" si="39"/>
        <v>0.49415085441656714</v>
      </c>
      <c r="Z247" s="1">
        <f t="shared" si="37"/>
        <v>1.526026691317175E-2</v>
      </c>
      <c r="AA247" s="1">
        <f t="shared" si="40"/>
        <v>32.381534165044364</v>
      </c>
      <c r="AC247" s="146">
        <f t="shared" si="51"/>
        <v>-0.82000000000000373</v>
      </c>
      <c r="AD247" s="147">
        <v>-1.5467550598375285E-2</v>
      </c>
      <c r="AE247" s="1">
        <f t="shared" si="41"/>
        <v>-4553.3968772229928</v>
      </c>
      <c r="AH247" s="150">
        <f t="shared" si="47"/>
        <v>4.8199999999999852</v>
      </c>
      <c r="AI247" s="147">
        <v>0.65266780654236967</v>
      </c>
      <c r="AJ247" s="1">
        <f t="shared" si="42"/>
        <v>192134.85246242996</v>
      </c>
    </row>
    <row r="248" spans="20:36">
      <c r="T248" s="140">
        <f t="shared" si="50"/>
        <v>2.1000000000000085</v>
      </c>
      <c r="U248" s="140">
        <v>0.58802736943391043</v>
      </c>
      <c r="V248" s="140">
        <v>6.4293240151200737E-3</v>
      </c>
      <c r="W248" s="1">
        <f t="shared" si="36"/>
        <v>-9.5356682164738443E-2</v>
      </c>
      <c r="X248" s="1">
        <f t="shared" si="52"/>
        <v>-7.1399999999999926</v>
      </c>
      <c r="Y248" s="1">
        <f t="shared" si="39"/>
        <v>0.49910001128429204</v>
      </c>
      <c r="Z248" s="1">
        <f t="shared" si="37"/>
        <v>1.5353546614655569E-2</v>
      </c>
      <c r="AA248" s="1">
        <f t="shared" si="40"/>
        <v>32.507147945080085</v>
      </c>
      <c r="AC248" s="146">
        <f t="shared" si="51"/>
        <v>-0.84000000000000374</v>
      </c>
      <c r="AD248" s="147">
        <v>-1.5844807930042976E-2</v>
      </c>
      <c r="AE248" s="1">
        <f t="shared" si="41"/>
        <v>-4664.4553376430649</v>
      </c>
      <c r="AH248" s="150">
        <f t="shared" si="47"/>
        <v>4.8399999999999848</v>
      </c>
      <c r="AI248" s="147">
        <v>0.65489678713231658</v>
      </c>
      <c r="AJ248" s="1">
        <f t="shared" si="42"/>
        <v>192791.02831865902</v>
      </c>
    </row>
    <row r="249" spans="20:36">
      <c r="T249" s="140">
        <f t="shared" si="50"/>
        <v>2.1500000000000083</v>
      </c>
      <c r="U249" s="140">
        <v>0.59359982090877783</v>
      </c>
      <c r="V249" s="140">
        <v>6.5824031583372172E-3</v>
      </c>
      <c r="W249" s="1">
        <f t="shared" si="36"/>
        <v>-9.6133055915098048E-2</v>
      </c>
      <c r="X249" s="1">
        <f t="shared" si="52"/>
        <v>-7.2299999999999915</v>
      </c>
      <c r="Y249" s="1">
        <f t="shared" si="39"/>
        <v>0.50404916815201706</v>
      </c>
      <c r="Z249" s="1">
        <f t="shared" si="37"/>
        <v>1.5447894126151543E-2</v>
      </c>
      <c r="AA249" s="1">
        <f t="shared" si="40"/>
        <v>32.628989041212982</v>
      </c>
      <c r="AC249" s="146">
        <f t="shared" si="51"/>
        <v>-0.86000000000000376</v>
      </c>
      <c r="AD249" s="147">
        <v>-1.6222065261710661E-2</v>
      </c>
      <c r="AE249" s="1">
        <f t="shared" si="41"/>
        <v>-4775.5137980631371</v>
      </c>
      <c r="AH249" s="150">
        <f t="shared" si="47"/>
        <v>4.8599999999999843</v>
      </c>
      <c r="AI249" s="147">
        <v>0.6571257677222635</v>
      </c>
      <c r="AJ249" s="1">
        <f t="shared" si="42"/>
        <v>193447.20417488806</v>
      </c>
    </row>
    <row r="250" spans="20:36">
      <c r="T250" s="140">
        <f>T249+$V$2</f>
        <v>2.2000000000000082</v>
      </c>
      <c r="U250" s="140">
        <v>0.59917227238364523</v>
      </c>
      <c r="V250" s="140">
        <v>6.7354823015543606E-3</v>
      </c>
      <c r="W250" s="1">
        <f t="shared" si="36"/>
        <v>-9.6909429665457694E-2</v>
      </c>
      <c r="X250" s="1">
        <f t="shared" si="52"/>
        <v>-7.3199999999999905</v>
      </c>
      <c r="Y250" s="1">
        <f t="shared" si="39"/>
        <v>0.50899832501974196</v>
      </c>
      <c r="Z250" s="1">
        <f t="shared" si="37"/>
        <v>1.5543309447659678E-2</v>
      </c>
      <c r="AA250" s="1">
        <f t="shared" si="40"/>
        <v>32.747101042653483</v>
      </c>
      <c r="AC250" s="146">
        <f t="shared" si="51"/>
        <v>-0.88000000000000378</v>
      </c>
      <c r="AD250" s="147">
        <v>-1.659932259337835E-2</v>
      </c>
      <c r="AE250" s="1">
        <f t="shared" si="41"/>
        <v>-4886.5722584832092</v>
      </c>
      <c r="AH250" s="150">
        <f t="shared" si="47"/>
        <v>4.8799999999999839</v>
      </c>
      <c r="AI250" s="147">
        <v>0.65935474831221041</v>
      </c>
      <c r="AJ250" s="1">
        <f t="shared" si="42"/>
        <v>194103.38003111712</v>
      </c>
    </row>
    <row r="251" spans="20:36">
      <c r="T251" s="140">
        <f t="shared" ref="T251:T267" si="53">T250+$V$2</f>
        <v>2.250000000000008</v>
      </c>
      <c r="U251" s="140">
        <v>0.60474472385851263</v>
      </c>
      <c r="V251" s="140">
        <v>6.888561444771504E-3</v>
      </c>
      <c r="W251" s="1">
        <f t="shared" si="36"/>
        <v>-9.7685803415817299E-2</v>
      </c>
      <c r="X251" s="1">
        <f t="shared" si="52"/>
        <v>-7.4099999999999895</v>
      </c>
      <c r="Y251" s="1">
        <f t="shared" si="39"/>
        <v>0.51394748188746675</v>
      </c>
      <c r="Z251" s="1">
        <f t="shared" si="37"/>
        <v>1.5639792579179971E-2</v>
      </c>
      <c r="AA251" s="1">
        <f t="shared" si="40"/>
        <v>32.861528008475297</v>
      </c>
      <c r="AC251" s="146">
        <f t="shared" si="51"/>
        <v>-0.9000000000000038</v>
      </c>
      <c r="AD251" s="147">
        <v>-1.6976579925046038E-2</v>
      </c>
      <c r="AE251" s="1">
        <f t="shared" si="41"/>
        <v>-4997.6307189032814</v>
      </c>
      <c r="AH251" s="150">
        <f t="shared" si="47"/>
        <v>4.8999999999999835</v>
      </c>
      <c r="AI251" s="147">
        <v>0.66158372890215733</v>
      </c>
      <c r="AJ251" s="1">
        <f t="shared" si="42"/>
        <v>194759.55588734616</v>
      </c>
    </row>
    <row r="252" spans="20:36">
      <c r="T252" s="140">
        <f t="shared" si="53"/>
        <v>2.3000000000000078</v>
      </c>
      <c r="U252" s="140">
        <v>0.61031717533338004</v>
      </c>
      <c r="V252" s="140">
        <v>7.0416405879886483E-3</v>
      </c>
      <c r="W252" s="1">
        <f t="shared" si="36"/>
        <v>-9.8462177166176931E-2</v>
      </c>
      <c r="X252" s="1">
        <f t="shared" si="52"/>
        <v>-7.4999999999999885</v>
      </c>
      <c r="Y252" s="1">
        <f t="shared" si="39"/>
        <v>0.51889663875519176</v>
      </c>
      <c r="Z252" s="1">
        <f t="shared" si="37"/>
        <v>1.5737343520712422E-2</v>
      </c>
      <c r="AA252" s="1">
        <f t="shared" si="40"/>
        <v>32.972314423476568</v>
      </c>
      <c r="AC252" s="146">
        <f t="shared" si="51"/>
        <v>-0.92000000000000381</v>
      </c>
      <c r="AD252" s="147">
        <v>-1.7353837256713727E-2</v>
      </c>
      <c r="AE252" s="1">
        <f t="shared" si="41"/>
        <v>-5108.6891793233553</v>
      </c>
      <c r="AH252" s="150">
        <f t="shared" si="47"/>
        <v>4.9199999999999831</v>
      </c>
      <c r="AI252" s="147">
        <v>0.66381270949210425</v>
      </c>
      <c r="AJ252" s="1">
        <f t="shared" si="42"/>
        <v>195415.73174357519</v>
      </c>
    </row>
    <row r="253" spans="20:36">
      <c r="T253" s="140">
        <f t="shared" si="53"/>
        <v>2.3500000000000076</v>
      </c>
      <c r="U253" s="140">
        <v>0.61588962680824744</v>
      </c>
      <c r="V253" s="140">
        <v>7.1947197312057908E-3</v>
      </c>
      <c r="W253" s="1">
        <f t="shared" si="36"/>
        <v>-9.923855091653655E-2</v>
      </c>
      <c r="X253" s="1">
        <f t="shared" si="52"/>
        <v>-7.609999999999987</v>
      </c>
      <c r="Y253" s="1">
        <f t="shared" si="39"/>
        <v>0.52384579562291667</v>
      </c>
      <c r="Z253" s="1">
        <f t="shared" si="37"/>
        <v>1.5835962272257031E-2</v>
      </c>
      <c r="AA253" s="1">
        <f t="shared" si="40"/>
        <v>33.079505155214996</v>
      </c>
      <c r="AC253" s="146">
        <f t="shared" si="51"/>
        <v>-0.94000000000000383</v>
      </c>
      <c r="AD253" s="147">
        <v>-1.7731094588381412E-2</v>
      </c>
      <c r="AE253" s="1">
        <f t="shared" si="41"/>
        <v>-5219.7476397434266</v>
      </c>
      <c r="AH253" s="150">
        <f t="shared" si="47"/>
        <v>4.9399999999999826</v>
      </c>
      <c r="AI253" s="147">
        <v>0.66604169008205116</v>
      </c>
      <c r="AJ253" s="1">
        <f t="shared" si="42"/>
        <v>196071.90759980425</v>
      </c>
    </row>
    <row r="254" spans="20:36">
      <c r="T254" s="140">
        <f t="shared" si="53"/>
        <v>2.4000000000000075</v>
      </c>
      <c r="U254" s="140">
        <v>0.62146207828311484</v>
      </c>
      <c r="V254" s="140">
        <v>7.3477988744229342E-3</v>
      </c>
      <c r="W254" s="1">
        <f t="shared" si="36"/>
        <v>-0.10001492466689618</v>
      </c>
      <c r="X254" s="1">
        <f t="shared" si="52"/>
        <v>-7.699999999999986</v>
      </c>
      <c r="Y254" s="1">
        <f t="shared" si="39"/>
        <v>0.52879495249064157</v>
      </c>
      <c r="Z254" s="1">
        <f t="shared" si="37"/>
        <v>1.5935648833813796E-2</v>
      </c>
      <c r="AA254" s="1">
        <f t="shared" si="40"/>
        <v>33.183145412227802</v>
      </c>
      <c r="AC254" s="146">
        <f t="shared" si="51"/>
        <v>-0.96000000000000385</v>
      </c>
      <c r="AD254" s="147">
        <v>-1.8108351920049105E-2</v>
      </c>
      <c r="AE254" s="1">
        <f t="shared" si="41"/>
        <v>-5330.8061001635006</v>
      </c>
      <c r="AH254" s="150">
        <f t="shared" si="47"/>
        <v>4.9599999999999822</v>
      </c>
      <c r="AI254" s="147">
        <v>0.66827067067199808</v>
      </c>
      <c r="AJ254" s="1">
        <f t="shared" si="42"/>
        <v>196728.08345603326</v>
      </c>
    </row>
    <row r="255" spans="20:36">
      <c r="T255" s="140">
        <f t="shared" si="53"/>
        <v>2.4500000000000073</v>
      </c>
      <c r="U255" s="140">
        <v>0.62703452975798224</v>
      </c>
      <c r="V255" s="140">
        <v>7.5008780176400785E-3</v>
      </c>
      <c r="W255" s="1">
        <f t="shared" si="36"/>
        <v>-0.10079129841725581</v>
      </c>
      <c r="X255" s="1">
        <f t="shared" si="52"/>
        <v>-7.7899999999999849</v>
      </c>
      <c r="Y255" s="1">
        <f t="shared" si="39"/>
        <v>0.53374410935836658</v>
      </c>
      <c r="Z255" s="1">
        <f t="shared" si="37"/>
        <v>1.6036403205382722E-2</v>
      </c>
      <c r="AA255" s="1">
        <f t="shared" si="40"/>
        <v>33.283280703444269</v>
      </c>
      <c r="AC255" s="146">
        <f t="shared" si="51"/>
        <v>-0.98000000000000387</v>
      </c>
      <c r="AD255" s="147">
        <v>-1.8485609251716793E-2</v>
      </c>
      <c r="AE255" s="1">
        <f t="shared" si="41"/>
        <v>-5441.8645605835727</v>
      </c>
      <c r="AH255" s="150">
        <f t="shared" si="47"/>
        <v>4.9799999999999818</v>
      </c>
      <c r="AI255" s="147">
        <v>0.670499651261945</v>
      </c>
      <c r="AJ255" s="1">
        <f t="shared" si="42"/>
        <v>197384.25931226229</v>
      </c>
    </row>
    <row r="256" spans="20:36">
      <c r="T256" s="140">
        <f t="shared" si="53"/>
        <v>2.5000000000000071</v>
      </c>
      <c r="U256" s="140">
        <v>0.63260698123284964</v>
      </c>
      <c r="V256" s="140">
        <v>7.6539571608572211E-3</v>
      </c>
      <c r="W256" s="1">
        <f t="shared" si="36"/>
        <v>-0.10156767216761542</v>
      </c>
      <c r="X256" s="1">
        <f t="shared" si="52"/>
        <v>-7.8799999999999839</v>
      </c>
      <c r="Y256" s="1">
        <f t="shared" si="39"/>
        <v>0.53869326622609148</v>
      </c>
      <c r="Z256" s="1">
        <f t="shared" si="37"/>
        <v>1.6138225386963804E-2</v>
      </c>
      <c r="AA256" s="1">
        <f t="shared" si="40"/>
        <v>33.379956798796421</v>
      </c>
      <c r="AC256" s="146">
        <f t="shared" si="51"/>
        <v>-1.0000000000000038</v>
      </c>
      <c r="AD256" s="147">
        <v>-1.8862866583384479E-2</v>
      </c>
      <c r="AE256" s="1">
        <f t="shared" si="41"/>
        <v>-5552.923021003644</v>
      </c>
      <c r="AH256" s="150">
        <f t="shared" si="47"/>
        <v>4.9999999999999813</v>
      </c>
      <c r="AI256" s="147">
        <v>0.67272863185189202</v>
      </c>
      <c r="AJ256" s="1">
        <f t="shared" si="42"/>
        <v>198040.43516849141</v>
      </c>
    </row>
    <row r="257" spans="20:36">
      <c r="T257" s="140">
        <f t="shared" si="53"/>
        <v>2.5500000000000069</v>
      </c>
      <c r="U257" s="140">
        <v>0.63817943270771704</v>
      </c>
      <c r="V257" s="140">
        <v>7.8070363040743654E-3</v>
      </c>
      <c r="W257" s="1">
        <f t="shared" si="36"/>
        <v>-0.10234404591797507</v>
      </c>
      <c r="X257" s="1">
        <f t="shared" si="52"/>
        <v>-7.9699999999999829</v>
      </c>
      <c r="Y257" s="1">
        <f t="shared" si="39"/>
        <v>0.54364242309381627</v>
      </c>
      <c r="Z257" s="1">
        <f t="shared" si="37"/>
        <v>1.6241115378557047E-2</v>
      </c>
      <c r="AA257" s="1">
        <f t="shared" si="40"/>
        <v>33.473219691030636</v>
      </c>
      <c r="AC257" s="146">
        <f t="shared" si="51"/>
        <v>-1.0200000000000038</v>
      </c>
      <c r="AD257" s="147">
        <v>-1.9240123915052167E-2</v>
      </c>
      <c r="AE257" s="1">
        <f t="shared" ref="AE257:AE269" si="54">AD257*0.5*rho*V^2*SRef</f>
        <v>-5663.981481423717</v>
      </c>
      <c r="AH257" s="150">
        <f>AH256+$AI$2</f>
        <v>5.0199999999999809</v>
      </c>
      <c r="AI257" s="147">
        <v>0.67495761244183894</v>
      </c>
      <c r="AJ257" s="1">
        <f t="shared" si="42"/>
        <v>198696.61102472048</v>
      </c>
    </row>
    <row r="258" spans="20:36">
      <c r="T258" s="140">
        <f t="shared" si="53"/>
        <v>2.6000000000000068</v>
      </c>
      <c r="U258" s="140">
        <v>0.64375188418258444</v>
      </c>
      <c r="V258" s="140">
        <v>7.9601154472915079E-3</v>
      </c>
      <c r="W258" s="1">
        <f t="shared" si="36"/>
        <v>-0.1031204196683347</v>
      </c>
      <c r="X258" s="1">
        <f t="shared" si="52"/>
        <v>-8.059999999999981</v>
      </c>
      <c r="Y258" s="1">
        <f t="shared" si="39"/>
        <v>0.54859157996154118</v>
      </c>
      <c r="Z258" s="1">
        <f t="shared" si="37"/>
        <v>1.6345073180162446E-2</v>
      </c>
      <c r="AA258" s="1">
        <f t="shared" si="40"/>
        <v>33.56311555872086</v>
      </c>
      <c r="AC258" s="146">
        <f t="shared" si="51"/>
        <v>-1.0400000000000038</v>
      </c>
      <c r="AD258" s="147">
        <v>-1.9617381246719856E-2</v>
      </c>
      <c r="AE258" s="1">
        <f t="shared" si="54"/>
        <v>-5775.0399418437892</v>
      </c>
      <c r="AH258" s="150">
        <f t="shared" ref="AH258:AH321" si="55">AH257+$AI$2</f>
        <v>5.0399999999999805</v>
      </c>
      <c r="AI258" s="147">
        <v>0.67718659303178586</v>
      </c>
      <c r="AJ258" s="1">
        <f t="shared" si="42"/>
        <v>199352.78688094948</v>
      </c>
    </row>
    <row r="259" spans="20:36">
      <c r="T259" s="140">
        <f t="shared" si="53"/>
        <v>2.6500000000000066</v>
      </c>
      <c r="U259" s="140">
        <v>0.64932433565745185</v>
      </c>
      <c r="V259" s="140">
        <v>8.1131945905086513E-3</v>
      </c>
      <c r="W259" s="1">
        <f t="shared" si="36"/>
        <v>-0.10389679341869432</v>
      </c>
      <c r="X259" s="1">
        <f t="shared" si="52"/>
        <v>-8.1499999999999808</v>
      </c>
      <c r="Y259" s="1">
        <f t="shared" si="39"/>
        <v>0.55354073682926619</v>
      </c>
      <c r="Z259" s="1">
        <f t="shared" si="37"/>
        <v>1.6450098791780002E-2</v>
      </c>
      <c r="AA259" s="1">
        <f t="shared" si="40"/>
        <v>33.649690730481602</v>
      </c>
      <c r="AC259" s="146">
        <f t="shared" si="51"/>
        <v>-1.0600000000000038</v>
      </c>
      <c r="AD259" s="147">
        <v>-1.9994638578387545E-2</v>
      </c>
      <c r="AE259" s="1">
        <f t="shared" si="54"/>
        <v>-5886.0984022638622</v>
      </c>
      <c r="AH259" s="150">
        <f t="shared" si="55"/>
        <v>5.0599999999999801</v>
      </c>
      <c r="AI259" s="147">
        <v>0.67941557362173277</v>
      </c>
      <c r="AJ259" s="1">
        <f t="shared" si="42"/>
        <v>200008.96273717852</v>
      </c>
    </row>
    <row r="260" spans="20:36">
      <c r="T260" s="140">
        <f t="shared" si="53"/>
        <v>2.7000000000000064</v>
      </c>
      <c r="U260" s="140">
        <v>0.65489678713231914</v>
      </c>
      <c r="V260" s="140">
        <v>8.2662737337257965E-3</v>
      </c>
      <c r="W260" s="1">
        <f t="shared" si="36"/>
        <v>-0.10467316716905392</v>
      </c>
      <c r="X260" s="1">
        <f t="shared" si="52"/>
        <v>-8.2399999999999807</v>
      </c>
      <c r="Y260" s="1">
        <f t="shared" si="39"/>
        <v>0.55848989369699098</v>
      </c>
      <c r="Z260" s="1">
        <f t="shared" si="37"/>
        <v>1.6556192213409714E-2</v>
      </c>
      <c r="AA260" s="1">
        <f t="shared" si="40"/>
        <v>33.732991650377265</v>
      </c>
      <c r="AC260" s="146">
        <f t="shared" si="51"/>
        <v>-1.0800000000000038</v>
      </c>
      <c r="AD260" s="147">
        <v>-2.037189591005523E-2</v>
      </c>
      <c r="AE260" s="1">
        <f t="shared" si="54"/>
        <v>-5997.1568626839344</v>
      </c>
      <c r="AH260" s="150">
        <f t="shared" si="55"/>
        <v>5.0799999999999796</v>
      </c>
      <c r="AI260" s="147">
        <v>0.68164455421167969</v>
      </c>
      <c r="AJ260" s="1">
        <f t="shared" si="42"/>
        <v>200665.13859340758</v>
      </c>
    </row>
    <row r="261" spans="20:36">
      <c r="T261" s="140">
        <f t="shared" si="53"/>
        <v>2.7500000000000062</v>
      </c>
      <c r="U261" s="140">
        <v>0.66046923860718665</v>
      </c>
      <c r="V261" s="140">
        <v>8.4193528769429381E-3</v>
      </c>
      <c r="W261" s="1">
        <f t="shared" ref="W261:W324" si="56">((V261*(x_cdg_avion-x_foyer_fus))-(U261*(-x_foyer_voil+x_cdg_avion))+(Cm_voil*CMA_voil)-((N*FUtile*(DFus+DMoteur)/2)/(0.5*rho*V^2*SRef)))/(x_foyer_emp-x_cdg_avion)</f>
        <v>-0.10544954091941355</v>
      </c>
      <c r="X261" s="1">
        <f t="shared" si="52"/>
        <v>-8.3299999999999788</v>
      </c>
      <c r="Y261" s="1">
        <f t="shared" si="39"/>
        <v>0.56343905056471599</v>
      </c>
      <c r="Z261" s="1">
        <f t="shared" ref="Z261:Z306" si="57">Cx0_avion+((U261)^2/(PI()*all_voil))*Sext_voil/SRef+2*LFus*Czalpha_fus^2*(RADIANS(T261)^2)/(PI()*DFus)+(W261)^2/(PI()*all_emp)*Sext_emp/SRef</f>
        <v>1.6663353445051592E-2</v>
      </c>
      <c r="AA261" s="1">
        <f t="shared" si="40"/>
        <v>33.813064844521847</v>
      </c>
      <c r="AC261" s="146">
        <f t="shared" si="51"/>
        <v>-1.1000000000000039</v>
      </c>
      <c r="AD261" s="147">
        <v>-2.0749153241722922E-2</v>
      </c>
      <c r="AE261" s="1">
        <f t="shared" si="54"/>
        <v>-6108.2153231040074</v>
      </c>
      <c r="AH261" s="150">
        <f t="shared" si="55"/>
        <v>5.0999999999999792</v>
      </c>
      <c r="AI261" s="147">
        <v>0.6838735348016266</v>
      </c>
      <c r="AJ261" s="1">
        <f t="shared" si="42"/>
        <v>201321.31444963659</v>
      </c>
    </row>
    <row r="262" spans="20:36">
      <c r="T262" s="140">
        <f t="shared" si="53"/>
        <v>2.800000000000006</v>
      </c>
      <c r="U262" s="140">
        <v>0.66604169008205405</v>
      </c>
      <c r="V262" s="140">
        <v>8.5724320201600816E-3</v>
      </c>
      <c r="W262" s="1">
        <f t="shared" si="56"/>
        <v>-0.10622591466977317</v>
      </c>
      <c r="X262" s="1">
        <f t="shared" si="52"/>
        <v>-8.4199999999999768</v>
      </c>
      <c r="Y262" s="1">
        <f t="shared" ref="Y262:Y306" si="58">U262+V262+W262</f>
        <v>0.56838820743244101</v>
      </c>
      <c r="Z262" s="1">
        <f t="shared" si="57"/>
        <v>1.677158248670562E-2</v>
      </c>
      <c r="AA262" s="1">
        <f t="shared" ref="AA262:AA306" si="59">Y262/Z262</f>
        <v>33.889956888861676</v>
      </c>
      <c r="AC262" s="146">
        <f t="shared" si="51"/>
        <v>-1.1200000000000039</v>
      </c>
      <c r="AD262" s="147">
        <v>-2.1126410573390611E-2</v>
      </c>
      <c r="AE262" s="1">
        <f t="shared" si="54"/>
        <v>-6219.2737835240796</v>
      </c>
      <c r="AH262" s="150">
        <f t="shared" si="55"/>
        <v>5.1199999999999788</v>
      </c>
      <c r="AI262" s="147">
        <v>0.68610251539157352</v>
      </c>
      <c r="AJ262" s="1">
        <f t="shared" ref="AJ262:AJ325" si="60">AI262*0.5*rho*V^2*SRef</f>
        <v>201977.49030586565</v>
      </c>
    </row>
    <row r="263" spans="20:36">
      <c r="T263" s="140">
        <f t="shared" si="53"/>
        <v>2.8500000000000059</v>
      </c>
      <c r="U263" s="140">
        <v>0.67161414155692134</v>
      </c>
      <c r="V263" s="140">
        <v>8.7255111633772267E-3</v>
      </c>
      <c r="W263" s="1">
        <f t="shared" si="56"/>
        <v>-0.10700228842013279</v>
      </c>
      <c r="X263" s="1">
        <f t="shared" si="52"/>
        <v>-8.5099999999999767</v>
      </c>
      <c r="Y263" s="1">
        <f t="shared" si="58"/>
        <v>0.5733373643001658</v>
      </c>
      <c r="Z263" s="1">
        <f t="shared" si="57"/>
        <v>1.6880879338371811E-2</v>
      </c>
      <c r="AA263" s="1">
        <f t="shared" si="59"/>
        <v>33.963714378131748</v>
      </c>
      <c r="AC263" s="146">
        <f t="shared" si="51"/>
        <v>-1.1400000000000039</v>
      </c>
      <c r="AD263" s="147">
        <v>-2.1503667905058296E-2</v>
      </c>
      <c r="AE263" s="1">
        <f t="shared" si="54"/>
        <v>-6330.3322439441517</v>
      </c>
      <c r="AH263" s="150">
        <f t="shared" si="55"/>
        <v>5.1399999999999784</v>
      </c>
      <c r="AI263" s="147">
        <v>0.68833149598152044</v>
      </c>
      <c r="AJ263" s="1">
        <f t="shared" si="60"/>
        <v>202633.66616209471</v>
      </c>
    </row>
    <row r="264" spans="20:36">
      <c r="T264" s="140">
        <f t="shared" si="53"/>
        <v>2.9000000000000057</v>
      </c>
      <c r="U264" s="140">
        <v>0.67718659303178874</v>
      </c>
      <c r="V264" s="140">
        <v>8.8785903065943684E-3</v>
      </c>
      <c r="W264" s="1">
        <f t="shared" si="56"/>
        <v>-0.10777866217049242</v>
      </c>
      <c r="X264" s="1">
        <f t="shared" si="52"/>
        <v>-8.5999999999999766</v>
      </c>
      <c r="Y264" s="1">
        <f t="shared" si="58"/>
        <v>0.5782865211678907</v>
      </c>
      <c r="Z264" s="1">
        <f t="shared" si="57"/>
        <v>1.6991244000050157E-2</v>
      </c>
      <c r="AA264" s="1">
        <f t="shared" si="59"/>
        <v>34.034383895975104</v>
      </c>
      <c r="AC264" s="146">
        <f t="shared" si="51"/>
        <v>-1.1600000000000039</v>
      </c>
      <c r="AD264" s="147">
        <v>-2.1880925236725988E-2</v>
      </c>
      <c r="AE264" s="1">
        <f t="shared" si="54"/>
        <v>-6441.3907043642257</v>
      </c>
      <c r="AH264" s="150">
        <f t="shared" si="55"/>
        <v>5.1599999999999779</v>
      </c>
      <c r="AI264" s="147">
        <v>0.69056047657146735</v>
      </c>
      <c r="AJ264" s="1">
        <f t="shared" si="60"/>
        <v>203289.84201832375</v>
      </c>
    </row>
    <row r="265" spans="20:36">
      <c r="T265" s="140">
        <f t="shared" si="53"/>
        <v>2.9500000000000055</v>
      </c>
      <c r="U265" s="140">
        <v>0.68275904450665625</v>
      </c>
      <c r="V265" s="140">
        <v>9.0316694498115135E-3</v>
      </c>
      <c r="W265" s="1">
        <f t="shared" si="56"/>
        <v>-0.10855503592085206</v>
      </c>
      <c r="X265" s="1">
        <f t="shared" si="52"/>
        <v>-8.6899999999999746</v>
      </c>
      <c r="Y265" s="1">
        <f t="shared" si="58"/>
        <v>0.58323567803561571</v>
      </c>
      <c r="Z265" s="1">
        <f t="shared" si="57"/>
        <v>1.7102676471740665E-2</v>
      </c>
      <c r="AA265" s="1">
        <f t="shared" si="59"/>
        <v>34.10201198621256</v>
      </c>
      <c r="AC265" s="146">
        <f t="shared" si="51"/>
        <v>-1.1800000000000039</v>
      </c>
      <c r="AD265" s="147">
        <v>-2.2258182568393674E-2</v>
      </c>
      <c r="AE265" s="1">
        <f t="shared" si="54"/>
        <v>-6552.4491647842979</v>
      </c>
      <c r="AH265" s="150">
        <f t="shared" si="55"/>
        <v>5.1799999999999775</v>
      </c>
      <c r="AI265" s="147">
        <v>0.69278945716141427</v>
      </c>
      <c r="AJ265" s="1">
        <f t="shared" si="60"/>
        <v>203946.01787455278</v>
      </c>
    </row>
    <row r="266" spans="20:36">
      <c r="T266" s="140">
        <f t="shared" si="53"/>
        <v>3.0000000000000053</v>
      </c>
      <c r="U266" s="140">
        <v>0.68833149598152354</v>
      </c>
      <c r="V266" s="140">
        <v>9.184748593028657E-3</v>
      </c>
      <c r="W266" s="1">
        <f t="shared" si="56"/>
        <v>-0.10933140967121167</v>
      </c>
      <c r="X266" s="1">
        <f t="shared" si="52"/>
        <v>-8.7799999999999727</v>
      </c>
      <c r="Y266" s="1">
        <f t="shared" si="58"/>
        <v>0.5881848349033405</v>
      </c>
      <c r="Z266" s="1">
        <f t="shared" si="57"/>
        <v>1.7215176753443324E-2</v>
      </c>
      <c r="AA266" s="1">
        <f t="shared" si="59"/>
        <v>34.16664512524936</v>
      </c>
      <c r="AC266" s="146">
        <f t="shared" si="51"/>
        <v>-1.200000000000004</v>
      </c>
      <c r="AD266" s="147">
        <v>-2.2635439900061363E-2</v>
      </c>
      <c r="AE266" s="1">
        <f t="shared" si="54"/>
        <v>-6663.50762520437</v>
      </c>
      <c r="AH266" s="150">
        <f t="shared" si="55"/>
        <v>5.1999999999999771</v>
      </c>
      <c r="AI266" s="147">
        <v>0.69501843775136118</v>
      </c>
      <c r="AJ266" s="1">
        <f t="shared" si="60"/>
        <v>204602.19373078184</v>
      </c>
    </row>
    <row r="267" spans="20:36">
      <c r="T267" s="140">
        <f t="shared" si="53"/>
        <v>3.0500000000000052</v>
      </c>
      <c r="U267" s="140">
        <v>0.69390394745639095</v>
      </c>
      <c r="V267" s="140">
        <v>9.3378277362457986E-3</v>
      </c>
      <c r="W267" s="1">
        <f t="shared" si="56"/>
        <v>-0.11010778342157128</v>
      </c>
      <c r="X267" s="1">
        <f t="shared" si="52"/>
        <v>-8.8699999999999726</v>
      </c>
      <c r="Y267" s="1">
        <f t="shared" si="58"/>
        <v>0.59313399177106552</v>
      </c>
      <c r="Z267" s="1">
        <f t="shared" si="57"/>
        <v>1.7328744845158148E-2</v>
      </c>
      <c r="AA267" s="1">
        <f t="shared" si="59"/>
        <v>34.228329695603662</v>
      </c>
      <c r="AC267" s="146">
        <f t="shared" si="51"/>
        <v>-1.220000000000004</v>
      </c>
      <c r="AD267" s="147">
        <v>-2.3012697231729051E-2</v>
      </c>
      <c r="AE267" s="1">
        <f t="shared" si="54"/>
        <v>-6774.5660856244422</v>
      </c>
      <c r="AH267" s="150">
        <f t="shared" si="55"/>
        <v>5.2199999999999767</v>
      </c>
      <c r="AI267" s="147">
        <v>0.6972474183413081</v>
      </c>
      <c r="AJ267" s="1">
        <f t="shared" si="60"/>
        <v>205258.36958701088</v>
      </c>
    </row>
    <row r="268" spans="20:36">
      <c r="T268" s="140">
        <f>T267+$V$2</f>
        <v>3.100000000000005</v>
      </c>
      <c r="U268" s="140">
        <v>0.69947639893125835</v>
      </c>
      <c r="V268" s="140">
        <v>9.4909068794629438E-3</v>
      </c>
      <c r="W268" s="1">
        <f t="shared" si="56"/>
        <v>-0.1108841571719309</v>
      </c>
      <c r="X268" s="1">
        <f t="shared" si="52"/>
        <v>-8.9599999999999724</v>
      </c>
      <c r="Y268" s="1">
        <f t="shared" si="58"/>
        <v>0.59808314863879042</v>
      </c>
      <c r="Z268" s="1">
        <f t="shared" si="57"/>
        <v>1.7443380746885128E-2</v>
      </c>
      <c r="AA268" s="1">
        <f t="shared" si="59"/>
        <v>34.287111960540699</v>
      </c>
      <c r="AC268" s="146">
        <f t="shared" si="51"/>
        <v>-1.240000000000004</v>
      </c>
      <c r="AD268" s="147">
        <v>-2.338995456339674E-2</v>
      </c>
      <c r="AE268" s="1">
        <f t="shared" si="54"/>
        <v>-6885.6245460445152</v>
      </c>
      <c r="AH268" s="150">
        <f t="shared" si="55"/>
        <v>5.2399999999999762</v>
      </c>
      <c r="AI268" s="147">
        <v>0.69947639893125502</v>
      </c>
      <c r="AJ268" s="1">
        <f t="shared" si="60"/>
        <v>205914.54544323988</v>
      </c>
    </row>
    <row r="269" spans="20:36">
      <c r="T269" s="140">
        <f t="shared" ref="T269:T286" si="61">T268+$V$2</f>
        <v>3.1500000000000048</v>
      </c>
      <c r="U269" s="140">
        <v>0.70504885040612586</v>
      </c>
      <c r="V269" s="140">
        <v>9.6439860226800855E-3</v>
      </c>
      <c r="W269" s="1">
        <f t="shared" si="56"/>
        <v>-0.11166053092229053</v>
      </c>
      <c r="X269" s="1">
        <f t="shared" si="52"/>
        <v>-9.0499999999999705</v>
      </c>
      <c r="Y269" s="1">
        <f t="shared" si="58"/>
        <v>0.60303230550651543</v>
      </c>
      <c r="Z269" s="1">
        <f t="shared" si="57"/>
        <v>1.755908445862427E-2</v>
      </c>
      <c r="AA269" s="1">
        <f t="shared" si="59"/>
        <v>34.343038039795509</v>
      </c>
      <c r="AC269" s="146">
        <f t="shared" si="51"/>
        <v>-1.260000000000004</v>
      </c>
      <c r="AD269" s="147">
        <v>-2.3767211895064432E-2</v>
      </c>
      <c r="AE269" s="1">
        <f t="shared" si="54"/>
        <v>-6996.6830064645892</v>
      </c>
      <c r="AH269" s="150">
        <f t="shared" si="55"/>
        <v>5.2599999999999758</v>
      </c>
      <c r="AI269" s="147">
        <v>0.70170537952120193</v>
      </c>
      <c r="AJ269" s="1">
        <f t="shared" si="60"/>
        <v>206570.72129946895</v>
      </c>
    </row>
    <row r="270" spans="20:36">
      <c r="T270" s="140">
        <f t="shared" si="61"/>
        <v>3.2000000000000046</v>
      </c>
      <c r="U270" s="140">
        <v>0.71062130188099315</v>
      </c>
      <c r="V270" s="140">
        <v>9.7970651658972289E-3</v>
      </c>
      <c r="W270" s="1">
        <f t="shared" si="56"/>
        <v>-0.11243690467265015</v>
      </c>
      <c r="X270" s="1">
        <f t="shared" si="52"/>
        <v>-9.1599999999999682</v>
      </c>
      <c r="Y270" s="1">
        <f t="shared" si="58"/>
        <v>0.60798146237424022</v>
      </c>
      <c r="Z270" s="1">
        <f t="shared" si="57"/>
        <v>1.7675855980375563E-2</v>
      </c>
      <c r="AA270" s="1">
        <f t="shared" si="59"/>
        <v>34.39615388636598</v>
      </c>
      <c r="AC270" s="146">
        <f t="shared" si="51"/>
        <v>-1.280000000000004</v>
      </c>
      <c r="AD270" s="147">
        <v>-2.4144469226732117E-2</v>
      </c>
      <c r="AE270" s="1">
        <f t="shared" ref="AE270:AE320" si="62">AD270*0.5*rho*V^2*SRef</f>
        <v>-7107.7414668846595</v>
      </c>
      <c r="AH270" s="150">
        <f t="shared" si="55"/>
        <v>5.2799999999999754</v>
      </c>
      <c r="AI270" s="147">
        <v>0.70393436011114885</v>
      </c>
      <c r="AJ270" s="1">
        <f t="shared" si="60"/>
        <v>207226.89715569804</v>
      </c>
    </row>
    <row r="271" spans="20:36">
      <c r="T271" s="140">
        <f t="shared" si="61"/>
        <v>3.2500000000000044</v>
      </c>
      <c r="U271" s="140">
        <v>0.71619375335586055</v>
      </c>
      <c r="V271" s="140">
        <v>9.950144309114374E-3</v>
      </c>
      <c r="W271" s="1">
        <f t="shared" si="56"/>
        <v>-0.11321327842300978</v>
      </c>
      <c r="X271" s="1">
        <f t="shared" si="52"/>
        <v>-9.249999999999968</v>
      </c>
      <c r="Y271" s="1">
        <f t="shared" si="58"/>
        <v>0.61293061924196512</v>
      </c>
      <c r="Z271" s="1">
        <f t="shared" si="57"/>
        <v>1.7793695312139018E-2</v>
      </c>
      <c r="AA271" s="1">
        <f t="shared" si="59"/>
        <v>34.446505264357221</v>
      </c>
      <c r="AC271" s="146">
        <f t="shared" si="51"/>
        <v>-1.300000000000004</v>
      </c>
      <c r="AD271" s="147">
        <v>-2.4521726558399806E-2</v>
      </c>
      <c r="AE271" s="1">
        <f t="shared" si="62"/>
        <v>-7218.7999273047335</v>
      </c>
      <c r="AH271" s="150">
        <f t="shared" si="55"/>
        <v>5.299999999999975</v>
      </c>
      <c r="AI271" s="147">
        <v>0.70616334070109577</v>
      </c>
      <c r="AJ271" s="1">
        <f t="shared" si="60"/>
        <v>207883.07301192704</v>
      </c>
    </row>
    <row r="272" spans="20:36">
      <c r="T272" s="140">
        <f t="shared" si="61"/>
        <v>3.3000000000000043</v>
      </c>
      <c r="U272" s="140">
        <v>0.72176620483072795</v>
      </c>
      <c r="V272" s="140">
        <v>1.0103223452331516E-2</v>
      </c>
      <c r="W272" s="1">
        <f t="shared" si="56"/>
        <v>-0.1139896521733694</v>
      </c>
      <c r="X272" s="1">
        <f t="shared" si="52"/>
        <v>-9.3399999999999679</v>
      </c>
      <c r="Y272" s="1">
        <f t="shared" si="58"/>
        <v>0.61787977610969003</v>
      </c>
      <c r="Z272" s="1">
        <f t="shared" si="57"/>
        <v>1.7912602453914631E-2</v>
      </c>
      <c r="AA272" s="1">
        <f t="shared" si="59"/>
        <v>34.494137727857527</v>
      </c>
      <c r="AC272" s="146">
        <f t="shared" si="51"/>
        <v>-1.3200000000000041</v>
      </c>
      <c r="AD272" s="147">
        <v>-2.4898983890067495E-2</v>
      </c>
      <c r="AE272" s="1">
        <f t="shared" si="62"/>
        <v>-7329.8583877248047</v>
      </c>
      <c r="AH272" s="150">
        <f t="shared" si="55"/>
        <v>5.3199999999999745</v>
      </c>
      <c r="AI272" s="147">
        <v>0.70839232129104268</v>
      </c>
      <c r="AJ272" s="1">
        <f t="shared" si="60"/>
        <v>208539.24886815608</v>
      </c>
    </row>
    <row r="273" spans="20:36">
      <c r="T273" s="140">
        <f t="shared" si="61"/>
        <v>3.3500000000000041</v>
      </c>
      <c r="U273" s="140">
        <v>0.72733865630559535</v>
      </c>
      <c r="V273" s="140">
        <v>1.0256302595548661E-2</v>
      </c>
      <c r="W273" s="1">
        <f t="shared" si="56"/>
        <v>-0.11476602592372903</v>
      </c>
      <c r="X273" s="1">
        <f t="shared" si="52"/>
        <v>-9.429999999999966</v>
      </c>
      <c r="Y273" s="1">
        <f t="shared" si="58"/>
        <v>0.62282893297741504</v>
      </c>
      <c r="Z273" s="1">
        <f t="shared" si="57"/>
        <v>1.8032577405702403E-2</v>
      </c>
      <c r="AA273" s="1">
        <f t="shared" si="59"/>
        <v>34.539096600825303</v>
      </c>
      <c r="AC273" s="146">
        <f t="shared" si="51"/>
        <v>-1.3400000000000041</v>
      </c>
      <c r="AD273" s="147">
        <v>-2.5276241221735184E-2</v>
      </c>
      <c r="AE273" s="1">
        <f t="shared" si="62"/>
        <v>-7440.9168481448778</v>
      </c>
      <c r="AH273" s="150">
        <f t="shared" si="55"/>
        <v>5.3399999999999741</v>
      </c>
      <c r="AI273" s="147">
        <v>0.7106213018809896</v>
      </c>
      <c r="AJ273" s="1">
        <f t="shared" si="60"/>
        <v>209195.42472438514</v>
      </c>
    </row>
    <row r="274" spans="20:36">
      <c r="T274" s="140">
        <f t="shared" si="61"/>
        <v>3.4000000000000039</v>
      </c>
      <c r="U274" s="140">
        <v>0.73291110778046276</v>
      </c>
      <c r="V274" s="140">
        <v>1.0409381738765804E-2</v>
      </c>
      <c r="W274" s="1">
        <f t="shared" si="56"/>
        <v>-0.11554239967408862</v>
      </c>
      <c r="X274" s="1">
        <f t="shared" si="52"/>
        <v>-9.519999999999964</v>
      </c>
      <c r="Y274" s="1">
        <f t="shared" si="58"/>
        <v>0.62777808984513994</v>
      </c>
      <c r="Z274" s="1">
        <f t="shared" si="57"/>
        <v>1.8153620167502327E-2</v>
      </c>
      <c r="AA274" s="1">
        <f t="shared" si="59"/>
        <v>34.581426957965988</v>
      </c>
      <c r="AC274" s="146">
        <f t="shared" si="51"/>
        <v>-1.3600000000000041</v>
      </c>
      <c r="AD274" s="147">
        <v>-2.5653498553402869E-2</v>
      </c>
      <c r="AE274" s="1">
        <f t="shared" si="62"/>
        <v>-7551.97530856495</v>
      </c>
      <c r="AH274" s="150">
        <f t="shared" si="55"/>
        <v>5.3599999999999737</v>
      </c>
      <c r="AI274" s="147">
        <v>0.71285028247093651</v>
      </c>
      <c r="AJ274" s="1">
        <f t="shared" si="60"/>
        <v>209851.60058061418</v>
      </c>
    </row>
    <row r="275" spans="20:36">
      <c r="T275" s="140">
        <f t="shared" si="61"/>
        <v>3.4500000000000037</v>
      </c>
      <c r="U275" s="140">
        <v>0.73848355925533016</v>
      </c>
      <c r="V275" s="140">
        <v>1.0562460881982946E-2</v>
      </c>
      <c r="W275" s="1">
        <f t="shared" si="56"/>
        <v>-0.11631877342444825</v>
      </c>
      <c r="X275" s="1">
        <f t="shared" si="52"/>
        <v>-9.6099999999999639</v>
      </c>
      <c r="Y275" s="1">
        <f t="shared" si="58"/>
        <v>0.63272724671286484</v>
      </c>
      <c r="Z275" s="1">
        <f t="shared" si="57"/>
        <v>1.8275730739314416E-2</v>
      </c>
      <c r="AA275" s="1">
        <f t="shared" si="59"/>
        <v>34.621173606577251</v>
      </c>
      <c r="AC275" s="146">
        <f t="shared" si="51"/>
        <v>-1.3800000000000041</v>
      </c>
      <c r="AD275" s="147">
        <v>-2.6030755885070561E-2</v>
      </c>
      <c r="AE275" s="1">
        <f t="shared" si="62"/>
        <v>-7663.0337689850248</v>
      </c>
      <c r="AH275" s="150">
        <f t="shared" si="55"/>
        <v>5.3799999999999732</v>
      </c>
      <c r="AI275" s="147">
        <v>0.71507926306088343</v>
      </c>
      <c r="AJ275" s="1">
        <f t="shared" si="60"/>
        <v>210507.77643684321</v>
      </c>
    </row>
    <row r="276" spans="20:36">
      <c r="T276" s="140">
        <f t="shared" si="61"/>
        <v>3.5000000000000036</v>
      </c>
      <c r="U276" s="140">
        <v>0.74405601073019756</v>
      </c>
      <c r="V276" s="140">
        <v>1.0715540025200091E-2</v>
      </c>
      <c r="W276" s="1">
        <f t="shared" si="56"/>
        <v>-0.1170951471748079</v>
      </c>
      <c r="X276" s="1">
        <f t="shared" si="52"/>
        <v>-9.6999999999999638</v>
      </c>
      <c r="Y276" s="1">
        <f t="shared" si="58"/>
        <v>0.63767640358058975</v>
      </c>
      <c r="Z276" s="1">
        <f t="shared" si="57"/>
        <v>1.8398909121138663E-2</v>
      </c>
      <c r="AA276" s="1">
        <f t="shared" si="59"/>
        <v>34.658381069340571</v>
      </c>
      <c r="AC276" s="146">
        <f t="shared" si="51"/>
        <v>-1.4000000000000041</v>
      </c>
      <c r="AD276" s="147">
        <v>-2.640801321673825E-2</v>
      </c>
      <c r="AE276" s="1">
        <f t="shared" si="62"/>
        <v>-7774.0922294050961</v>
      </c>
      <c r="AH276" s="150">
        <f t="shared" si="55"/>
        <v>5.3999999999999728</v>
      </c>
      <c r="AI276" s="147">
        <v>0.71730824365083035</v>
      </c>
      <c r="AJ276" s="1">
        <f t="shared" si="60"/>
        <v>211163.95229307225</v>
      </c>
    </row>
    <row r="277" spans="20:36">
      <c r="T277" s="140">
        <f t="shared" si="61"/>
        <v>3.5500000000000034</v>
      </c>
      <c r="U277" s="140">
        <v>0.74962846220506496</v>
      </c>
      <c r="V277" s="140">
        <v>1.0868619168417235E-2</v>
      </c>
      <c r="W277" s="1">
        <f t="shared" si="56"/>
        <v>-0.11787152092516751</v>
      </c>
      <c r="X277" s="1">
        <f t="shared" si="52"/>
        <v>-9.7899999999999618</v>
      </c>
      <c r="Y277" s="1">
        <f t="shared" si="58"/>
        <v>0.64262556044831465</v>
      </c>
      <c r="Z277" s="1">
        <f t="shared" si="57"/>
        <v>1.8523155312975065E-2</v>
      </c>
      <c r="AA277" s="1">
        <f t="shared" si="59"/>
        <v>34.69309356803641</v>
      </c>
      <c r="AC277" s="146">
        <f t="shared" si="51"/>
        <v>-1.4200000000000041</v>
      </c>
      <c r="AD277" s="147">
        <v>-2.6785270548405935E-2</v>
      </c>
      <c r="AE277" s="1">
        <f t="shared" si="62"/>
        <v>-7885.1506898251664</v>
      </c>
      <c r="AH277" s="150">
        <f t="shared" si="55"/>
        <v>5.4199999999999724</v>
      </c>
      <c r="AI277" s="147">
        <v>0.71953722424077726</v>
      </c>
      <c r="AJ277" s="1">
        <f t="shared" si="60"/>
        <v>211820.12814930134</v>
      </c>
    </row>
    <row r="278" spans="20:36">
      <c r="T278" s="140">
        <f t="shared" si="61"/>
        <v>3.6000000000000032</v>
      </c>
      <c r="U278" s="140">
        <v>0.75520091367993236</v>
      </c>
      <c r="V278" s="140">
        <v>1.1021698311634378E-2</v>
      </c>
      <c r="W278" s="1">
        <f t="shared" si="56"/>
        <v>-0.11864789467552714</v>
      </c>
      <c r="X278" s="1">
        <f t="shared" si="52"/>
        <v>-9.8799999999999599</v>
      </c>
      <c r="Y278" s="1">
        <f t="shared" si="58"/>
        <v>0.64757471731603955</v>
      </c>
      <c r="Z278" s="1">
        <f t="shared" si="57"/>
        <v>1.8648469314823626E-2</v>
      </c>
      <c r="AA278" s="1">
        <f t="shared" si="59"/>
        <v>34.725355008160584</v>
      </c>
      <c r="AC278" s="146">
        <f t="shared" si="51"/>
        <v>-1.4400000000000042</v>
      </c>
      <c r="AD278" s="147">
        <v>-2.7162527880073627E-2</v>
      </c>
      <c r="AE278" s="1">
        <f t="shared" si="62"/>
        <v>-7996.2091502452413</v>
      </c>
      <c r="AH278" s="150">
        <f t="shared" si="55"/>
        <v>5.439999999999972</v>
      </c>
      <c r="AI278" s="147">
        <v>0.72176620483072418</v>
      </c>
      <c r="AJ278" s="1">
        <f t="shared" si="60"/>
        <v>212476.30400553034</v>
      </c>
    </row>
    <row r="279" spans="20:36">
      <c r="T279" s="140">
        <f t="shared" si="61"/>
        <v>3.650000000000003</v>
      </c>
      <c r="U279" s="140">
        <v>0.76077336515479976</v>
      </c>
      <c r="V279" s="140">
        <v>1.117477745485152E-2</v>
      </c>
      <c r="W279" s="1">
        <f t="shared" si="56"/>
        <v>-0.11942426842588676</v>
      </c>
      <c r="X279" s="1">
        <f t="shared" si="52"/>
        <v>-9.9699999999999598</v>
      </c>
      <c r="Y279" s="1">
        <f t="shared" si="58"/>
        <v>0.65252387418376456</v>
      </c>
      <c r="Z279" s="1">
        <f t="shared" si="57"/>
        <v>1.8774851126684346E-2</v>
      </c>
      <c r="AA279" s="1">
        <f t="shared" si="59"/>
        <v>34.755208964418607</v>
      </c>
      <c r="AC279" s="146">
        <f t="shared" si="51"/>
        <v>-1.4600000000000042</v>
      </c>
      <c r="AD279" s="147">
        <v>-2.7539785211741313E-2</v>
      </c>
      <c r="AE279" s="1">
        <f t="shared" si="62"/>
        <v>-8107.2676106653134</v>
      </c>
      <c r="AH279" s="150">
        <f t="shared" si="55"/>
        <v>5.4599999999999715</v>
      </c>
      <c r="AI279" s="147">
        <v>0.72399518542067109</v>
      </c>
      <c r="AJ279" s="1">
        <f t="shared" si="60"/>
        <v>213132.47986175938</v>
      </c>
    </row>
    <row r="280" spans="20:36">
      <c r="T280" s="140">
        <f t="shared" si="61"/>
        <v>3.7000000000000028</v>
      </c>
      <c r="U280" s="140">
        <v>0.76634581662966716</v>
      </c>
      <c r="V280" s="140">
        <v>1.1327856598068665E-2</v>
      </c>
      <c r="W280" s="1">
        <f t="shared" si="56"/>
        <v>-0.12020064217624639</v>
      </c>
      <c r="X280" s="1">
        <f t="shared" si="52"/>
        <v>-10.05999999999996</v>
      </c>
      <c r="Y280" s="1">
        <f t="shared" si="58"/>
        <v>0.65747303105148946</v>
      </c>
      <c r="Z280" s="1">
        <f t="shared" si="57"/>
        <v>1.8902300748557224E-2</v>
      </c>
      <c r="AA280" s="1">
        <f t="shared" si="59"/>
        <v>34.782698667074861</v>
      </c>
      <c r="AC280" s="146">
        <f t="shared" si="51"/>
        <v>-1.4800000000000042</v>
      </c>
      <c r="AD280" s="147">
        <v>-2.7917042543409001E-2</v>
      </c>
      <c r="AE280" s="1">
        <f t="shared" si="62"/>
        <v>-8218.3260710853847</v>
      </c>
      <c r="AH280" s="150">
        <f t="shared" si="55"/>
        <v>5.4799999999999711</v>
      </c>
      <c r="AI280" s="147">
        <v>0.72622416601061801</v>
      </c>
      <c r="AJ280" s="1">
        <f t="shared" si="60"/>
        <v>213788.65571798844</v>
      </c>
    </row>
    <row r="281" spans="20:36">
      <c r="T281" s="140">
        <f t="shared" si="61"/>
        <v>3.7500000000000027</v>
      </c>
      <c r="U281" s="140">
        <v>0.77191826810453457</v>
      </c>
      <c r="V281" s="140">
        <v>1.1480935741285808E-2</v>
      </c>
      <c r="W281" s="1">
        <f t="shared" si="56"/>
        <v>-0.12097701592660601</v>
      </c>
      <c r="X281" s="1">
        <f t="shared" si="52"/>
        <v>-10.149999999999958</v>
      </c>
      <c r="Y281" s="1">
        <f t="shared" si="58"/>
        <v>0.66242218791921437</v>
      </c>
      <c r="Z281" s="1">
        <f t="shared" si="57"/>
        <v>1.9030818180442256E-2</v>
      </c>
      <c r="AA281" s="1">
        <f t="shared" si="59"/>
        <v>34.807866989133323</v>
      </c>
      <c r="AC281" s="146">
        <f t="shared" si="51"/>
        <v>-1.5000000000000042</v>
      </c>
      <c r="AD281" s="147">
        <v>-2.8294299875076694E-2</v>
      </c>
      <c r="AE281" s="1">
        <f t="shared" si="62"/>
        <v>-8329.3845315054605</v>
      </c>
      <c r="AH281" s="150">
        <f t="shared" si="55"/>
        <v>5.4999999999999707</v>
      </c>
      <c r="AI281" s="147">
        <v>0.72845314660056493</v>
      </c>
      <c r="AJ281" s="1">
        <f t="shared" si="60"/>
        <v>214444.8315742175</v>
      </c>
    </row>
    <row r="282" spans="20:36">
      <c r="T282" s="140">
        <f t="shared" si="61"/>
        <v>3.8000000000000025</v>
      </c>
      <c r="U282" s="140">
        <v>0.77749071957940186</v>
      </c>
      <c r="V282" s="140">
        <v>1.163401488450295E-2</v>
      </c>
      <c r="W282" s="1">
        <f t="shared" si="56"/>
        <v>-0.12175338967696563</v>
      </c>
      <c r="X282" s="1">
        <f t="shared" si="52"/>
        <v>-10.239999999999956</v>
      </c>
      <c r="Y282" s="1">
        <f t="shared" si="58"/>
        <v>0.66737134478693927</v>
      </c>
      <c r="Z282" s="1">
        <f t="shared" si="57"/>
        <v>1.9160403422339455E-2</v>
      </c>
      <c r="AA282" s="1">
        <f t="shared" si="59"/>
        <v>34.830756434326389</v>
      </c>
      <c r="AC282" s="146">
        <f t="shared" si="51"/>
        <v>-1.5200000000000042</v>
      </c>
      <c r="AD282" s="147">
        <v>-2.8671557206744379E-2</v>
      </c>
      <c r="AE282" s="1">
        <f t="shared" si="62"/>
        <v>-8440.4429919255308</v>
      </c>
      <c r="AH282" s="150">
        <f t="shared" si="55"/>
        <v>5.5199999999999703</v>
      </c>
      <c r="AI282" s="147">
        <v>0.73068212719051184</v>
      </c>
      <c r="AJ282" s="1">
        <f t="shared" si="60"/>
        <v>215101.00743044651</v>
      </c>
    </row>
    <row r="283" spans="20:36">
      <c r="T283" s="140">
        <f t="shared" si="61"/>
        <v>3.8500000000000023</v>
      </c>
      <c r="U283" s="140">
        <v>0.78306317105426937</v>
      </c>
      <c r="V283" s="140">
        <v>1.1787094027720095E-2</v>
      </c>
      <c r="W283" s="1">
        <f t="shared" si="56"/>
        <v>-0.12252976342732527</v>
      </c>
      <c r="X283" s="1">
        <f t="shared" si="52"/>
        <v>-10.329999999999956</v>
      </c>
      <c r="Y283" s="1">
        <f t="shared" si="58"/>
        <v>0.67232050165466417</v>
      </c>
      <c r="Z283" s="1">
        <f t="shared" si="57"/>
        <v>1.9291056474248804E-2</v>
      </c>
      <c r="AA283" s="1">
        <f t="shared" si="59"/>
        <v>34.851409125888445</v>
      </c>
      <c r="AC283" s="146">
        <f t="shared" si="51"/>
        <v>-1.5400000000000043</v>
      </c>
      <c r="AD283" s="147">
        <v>-2.9048814538412068E-2</v>
      </c>
      <c r="AE283" s="1">
        <f t="shared" si="62"/>
        <v>-8551.501452345603</v>
      </c>
      <c r="AH283" s="150">
        <f t="shared" si="55"/>
        <v>5.5399999999999698</v>
      </c>
      <c r="AI283" s="147">
        <v>0.73291110778045876</v>
      </c>
      <c r="AJ283" s="1">
        <f t="shared" si="60"/>
        <v>215757.18328667554</v>
      </c>
    </row>
    <row r="284" spans="20:36">
      <c r="T284" s="140">
        <f t="shared" si="61"/>
        <v>3.9000000000000021</v>
      </c>
      <c r="U284" s="140">
        <v>0.78863562252913677</v>
      </c>
      <c r="V284" s="140">
        <v>1.1940173170937238E-2</v>
      </c>
      <c r="W284" s="1">
        <f t="shared" si="56"/>
        <v>-0.12330613717768486</v>
      </c>
      <c r="X284" s="1">
        <f t="shared" si="52"/>
        <v>-10.419999999999956</v>
      </c>
      <c r="Y284" s="1">
        <f t="shared" si="58"/>
        <v>0.67726965852238907</v>
      </c>
      <c r="Z284" s="1">
        <f t="shared" si="57"/>
        <v>1.9422777336170313E-2</v>
      </c>
      <c r="AA284" s="1">
        <f t="shared" si="59"/>
        <v>34.869866796090747</v>
      </c>
      <c r="AC284" s="146">
        <f t="shared" si="51"/>
        <v>-1.5600000000000043</v>
      </c>
      <c r="AD284" s="147">
        <v>-2.9426071870079756E-2</v>
      </c>
      <c r="AE284" s="1">
        <f t="shared" si="62"/>
        <v>-8662.5599127656769</v>
      </c>
      <c r="AH284" s="150">
        <f t="shared" si="55"/>
        <v>5.5599999999999694</v>
      </c>
      <c r="AI284" s="147">
        <v>0.73514008837040568</v>
      </c>
      <c r="AJ284" s="1">
        <f t="shared" si="60"/>
        <v>216413.35914290464</v>
      </c>
    </row>
    <row r="285" spans="20:36">
      <c r="T285" s="140">
        <f t="shared" si="61"/>
        <v>3.950000000000002</v>
      </c>
      <c r="U285" s="140">
        <v>0.79420807400400417</v>
      </c>
      <c r="V285" s="140">
        <v>1.2093252314154382E-2</v>
      </c>
      <c r="W285" s="1">
        <f t="shared" si="56"/>
        <v>-0.12408251092804451</v>
      </c>
      <c r="X285" s="1">
        <f t="shared" si="52"/>
        <v>-10.509999999999954</v>
      </c>
      <c r="Y285" s="1">
        <f t="shared" si="58"/>
        <v>0.68221881539011409</v>
      </c>
      <c r="Z285" s="1">
        <f t="shared" si="57"/>
        <v>1.9555566008103983E-2</v>
      </c>
      <c r="AA285" s="1">
        <f t="shared" si="59"/>
        <v>34.886170776514327</v>
      </c>
      <c r="AC285" s="146">
        <f t="shared" si="51"/>
        <v>-1.5800000000000043</v>
      </c>
      <c r="AD285" s="147">
        <v>-2.9803329201747445E-2</v>
      </c>
      <c r="AE285" s="1">
        <f t="shared" si="62"/>
        <v>-8773.6183731857491</v>
      </c>
      <c r="AH285" s="150">
        <f t="shared" si="55"/>
        <v>5.579999999999969</v>
      </c>
      <c r="AI285" s="147">
        <v>0.73736906896035259</v>
      </c>
      <c r="AJ285" s="1">
        <f t="shared" si="60"/>
        <v>217069.53499913364</v>
      </c>
    </row>
    <row r="286" spans="20:36">
      <c r="T286" s="140">
        <f t="shared" si="61"/>
        <v>4.0000000000000018</v>
      </c>
      <c r="U286" s="140">
        <v>0.79978052547887146</v>
      </c>
      <c r="V286" s="140">
        <v>1.2246331457371525E-2</v>
      </c>
      <c r="W286" s="1">
        <f t="shared" si="56"/>
        <v>-0.12485888467840411</v>
      </c>
      <c r="X286" s="1">
        <f t="shared" si="52"/>
        <v>-10.599999999999952</v>
      </c>
      <c r="Y286" s="1">
        <f t="shared" si="58"/>
        <v>0.68716797225783888</v>
      </c>
      <c r="Z286" s="1">
        <f t="shared" si="57"/>
        <v>1.9689422490049804E-2</v>
      </c>
      <c r="AA286" s="1">
        <f t="shared" si="59"/>
        <v>34.900361989037734</v>
      </c>
      <c r="AC286" s="146">
        <f t="shared" si="51"/>
        <v>-1.6000000000000043</v>
      </c>
      <c r="AD286" s="147">
        <v>-3.018058653341513E-2</v>
      </c>
      <c r="AE286" s="1">
        <f t="shared" si="62"/>
        <v>-8884.6768336058212</v>
      </c>
      <c r="AH286" s="150">
        <f t="shared" si="55"/>
        <v>5.5999999999999686</v>
      </c>
      <c r="AI286" s="147">
        <v>0.73959804955029951</v>
      </c>
      <c r="AJ286" s="1">
        <f t="shared" si="60"/>
        <v>217725.7108553627</v>
      </c>
    </row>
    <row r="287" spans="20:36">
      <c r="T287" s="140">
        <f>T286+$V$2</f>
        <v>4.0500000000000016</v>
      </c>
      <c r="U287" s="140">
        <v>0.80535297695373897</v>
      </c>
      <c r="V287" s="140">
        <v>1.2399410600588669E-2</v>
      </c>
      <c r="W287" s="1">
        <f t="shared" si="56"/>
        <v>-0.12563525842876375</v>
      </c>
      <c r="X287" s="1">
        <f t="shared" si="52"/>
        <v>-10.709999999999951</v>
      </c>
      <c r="Y287" s="1">
        <f t="shared" si="58"/>
        <v>0.69211712912556389</v>
      </c>
      <c r="Z287" s="1">
        <f t="shared" si="57"/>
        <v>1.9824346782007798E-2</v>
      </c>
      <c r="AA287" s="1">
        <f t="shared" si="59"/>
        <v>34.912480937516506</v>
      </c>
      <c r="AC287" s="146">
        <f t="shared" si="51"/>
        <v>-1.6200000000000043</v>
      </c>
      <c r="AD287" s="147">
        <v>-3.0557843865082823E-2</v>
      </c>
      <c r="AE287" s="1">
        <f t="shared" si="62"/>
        <v>-8995.7352940258934</v>
      </c>
      <c r="AH287" s="150">
        <f t="shared" si="55"/>
        <v>5.6199999999999681</v>
      </c>
      <c r="AI287" s="147">
        <v>0.74182703014024642</v>
      </c>
      <c r="AJ287" s="1">
        <f t="shared" si="60"/>
        <v>218381.88671159174</v>
      </c>
    </row>
    <row r="288" spans="20:36">
      <c r="T288" s="140">
        <f t="shared" ref="T288:T351" si="63">T287+$V$2</f>
        <v>4.1000000000000014</v>
      </c>
      <c r="U288" s="140">
        <v>0.81092542842860638</v>
      </c>
      <c r="V288" s="140">
        <v>1.2552489743805812E-2</v>
      </c>
      <c r="W288" s="1">
        <f t="shared" si="56"/>
        <v>-0.12641163217912338</v>
      </c>
      <c r="X288" s="1">
        <f t="shared" si="52"/>
        <v>-10.799999999999951</v>
      </c>
      <c r="Y288" s="1">
        <f t="shared" si="58"/>
        <v>0.69706628599328879</v>
      </c>
      <c r="Z288" s="1">
        <f t="shared" si="57"/>
        <v>1.9960338883977937E-2</v>
      </c>
      <c r="AA288" s="1">
        <f t="shared" si="59"/>
        <v>34.922567700131601</v>
      </c>
      <c r="AC288" s="146">
        <f t="shared" si="51"/>
        <v>-1.6400000000000043</v>
      </c>
      <c r="AD288" s="147">
        <v>-3.0935101196750511E-2</v>
      </c>
      <c r="AE288" s="1">
        <f t="shared" si="62"/>
        <v>-9106.7937544459674</v>
      </c>
      <c r="AH288" s="150">
        <f t="shared" si="55"/>
        <v>5.6399999999999677</v>
      </c>
      <c r="AI288" s="147">
        <v>0.74405601073019334</v>
      </c>
      <c r="AJ288" s="1">
        <f t="shared" si="60"/>
        <v>219038.06256782074</v>
      </c>
    </row>
    <row r="289" spans="20:36">
      <c r="T289" s="140">
        <f t="shared" si="63"/>
        <v>4.1500000000000012</v>
      </c>
      <c r="U289" s="140">
        <v>0.81649787990347378</v>
      </c>
      <c r="V289" s="140">
        <v>1.2705568887022956E-2</v>
      </c>
      <c r="W289" s="1">
        <f t="shared" si="56"/>
        <v>-0.12718800592948301</v>
      </c>
      <c r="X289" s="1">
        <f t="shared" si="52"/>
        <v>-10.889999999999949</v>
      </c>
      <c r="Y289" s="1">
        <f t="shared" si="58"/>
        <v>0.70201544286101369</v>
      </c>
      <c r="Z289" s="1">
        <f t="shared" si="57"/>
        <v>2.0097398795960231E-2</v>
      </c>
      <c r="AA289" s="1">
        <f t="shared" si="59"/>
        <v>34.930661922383983</v>
      </c>
      <c r="AC289" s="146">
        <f t="shared" si="51"/>
        <v>-1.6600000000000044</v>
      </c>
      <c r="AD289" s="147">
        <v>-3.1312358528418203E-2</v>
      </c>
      <c r="AE289" s="1">
        <f t="shared" si="62"/>
        <v>-9217.8522148660395</v>
      </c>
      <c r="AH289" s="150">
        <f t="shared" si="55"/>
        <v>5.6599999999999673</v>
      </c>
      <c r="AI289" s="147">
        <v>0.74628499132014026</v>
      </c>
      <c r="AJ289" s="1">
        <f t="shared" si="60"/>
        <v>219694.23842404981</v>
      </c>
    </row>
    <row r="290" spans="20:36">
      <c r="T290" s="140">
        <f t="shared" si="63"/>
        <v>4.2000000000000011</v>
      </c>
      <c r="U290" s="140">
        <v>0.82207033137834118</v>
      </c>
      <c r="V290" s="140">
        <v>1.2858648030240099E-2</v>
      </c>
      <c r="W290" s="1">
        <f t="shared" si="56"/>
        <v>-0.12796437967984264</v>
      </c>
      <c r="X290" s="1">
        <f t="shared" si="52"/>
        <v>-10.979999999999947</v>
      </c>
      <c r="Y290" s="1">
        <f t="shared" si="58"/>
        <v>0.7069645997287386</v>
      </c>
      <c r="Z290" s="1">
        <f t="shared" si="57"/>
        <v>2.0235526517954697E-2</v>
      </c>
      <c r="AA290" s="1">
        <f t="shared" si="59"/>
        <v>34.936802810713075</v>
      </c>
      <c r="AC290" s="146">
        <f t="shared" si="51"/>
        <v>-1.6800000000000044</v>
      </c>
      <c r="AD290" s="147">
        <v>-3.1689615860085889E-2</v>
      </c>
      <c r="AE290" s="1">
        <f t="shared" si="62"/>
        <v>-9328.9106752861117</v>
      </c>
      <c r="AH290" s="150">
        <f t="shared" si="55"/>
        <v>5.6799999999999669</v>
      </c>
      <c r="AI290" s="147">
        <v>0.74851397191008728</v>
      </c>
      <c r="AJ290" s="1">
        <f t="shared" si="60"/>
        <v>220350.41428027893</v>
      </c>
    </row>
    <row r="291" spans="20:36">
      <c r="T291" s="140">
        <f t="shared" si="63"/>
        <v>4.2500000000000009</v>
      </c>
      <c r="U291" s="140">
        <v>0.82764278285320847</v>
      </c>
      <c r="V291" s="140">
        <v>1.3011727173457242E-2</v>
      </c>
      <c r="W291" s="1">
        <f t="shared" si="56"/>
        <v>-0.12874075343020222</v>
      </c>
      <c r="X291" s="1">
        <f t="shared" si="52"/>
        <v>-11.069999999999947</v>
      </c>
      <c r="Y291" s="1">
        <f t="shared" si="58"/>
        <v>0.7119137565964635</v>
      </c>
      <c r="Z291" s="1">
        <f t="shared" si="57"/>
        <v>2.0374722049961311E-2</v>
      </c>
      <c r="AA291" s="1">
        <f t="shared" si="59"/>
        <v>34.941029126717112</v>
      </c>
      <c r="AC291" s="146">
        <f t="shared" si="51"/>
        <v>-1.7000000000000044</v>
      </c>
      <c r="AD291" s="147">
        <v>-3.2066873191753574E-2</v>
      </c>
      <c r="AE291" s="1">
        <f t="shared" si="62"/>
        <v>-9439.9691357061838</v>
      </c>
      <c r="AH291" s="150">
        <f t="shared" si="55"/>
        <v>5.6999999999999664</v>
      </c>
      <c r="AI291" s="147">
        <v>0.7507429525000342</v>
      </c>
      <c r="AJ291" s="1">
        <f t="shared" si="60"/>
        <v>221006.59013650793</v>
      </c>
    </row>
    <row r="292" spans="20:36">
      <c r="T292" s="140">
        <f t="shared" si="63"/>
        <v>4.3000000000000007</v>
      </c>
      <c r="U292" s="140">
        <v>0.83321523432807587</v>
      </c>
      <c r="V292" s="140">
        <v>1.3164806316674384E-2</v>
      </c>
      <c r="W292" s="1">
        <f t="shared" si="56"/>
        <v>-0.12951712718056185</v>
      </c>
      <c r="X292" s="1">
        <f t="shared" si="52"/>
        <v>-11.159999999999947</v>
      </c>
      <c r="Y292" s="1">
        <f t="shared" si="58"/>
        <v>0.7168629134641884</v>
      </c>
      <c r="Z292" s="1">
        <f t="shared" si="57"/>
        <v>2.0514985391980083E-2</v>
      </c>
      <c r="AA292" s="1">
        <f t="shared" si="59"/>
        <v>34.943379181953084</v>
      </c>
      <c r="AC292" s="146">
        <f t="shared" si="51"/>
        <v>-1.7200000000000044</v>
      </c>
      <c r="AD292" s="147">
        <v>-3.2444130523421266E-2</v>
      </c>
      <c r="AE292" s="1">
        <f t="shared" si="62"/>
        <v>-9551.0275961262578</v>
      </c>
      <c r="AH292" s="150">
        <f t="shared" si="55"/>
        <v>5.719999999999966</v>
      </c>
      <c r="AI292" s="147">
        <v>0.75297193308998112</v>
      </c>
      <c r="AJ292" s="1">
        <f t="shared" si="60"/>
        <v>221662.765992737</v>
      </c>
    </row>
    <row r="293" spans="20:36">
      <c r="T293" s="140">
        <f t="shared" si="63"/>
        <v>4.3500000000000005</v>
      </c>
      <c r="U293" s="140">
        <v>0.83878768580294327</v>
      </c>
      <c r="V293" s="140">
        <v>1.3317885459891529E-2</v>
      </c>
      <c r="W293" s="1">
        <f t="shared" si="56"/>
        <v>-0.13029350093092149</v>
      </c>
      <c r="X293" s="1">
        <f t="shared" si="52"/>
        <v>-11.249999999999945</v>
      </c>
      <c r="Y293" s="1">
        <f t="shared" si="58"/>
        <v>0.7218120703319133</v>
      </c>
      <c r="Z293" s="1">
        <f t="shared" si="57"/>
        <v>2.0656316544011018E-2</v>
      </c>
      <c r="AA293" s="1">
        <f t="shared" si="59"/>
        <v>34.943890833295335</v>
      </c>
      <c r="AC293" s="146">
        <f t="shared" si="51"/>
        <v>-1.7400000000000044</v>
      </c>
      <c r="AD293" s="147">
        <v>-3.2821387855088952E-2</v>
      </c>
      <c r="AE293" s="1">
        <f t="shared" si="62"/>
        <v>-9662.0860565463281</v>
      </c>
      <c r="AH293" s="150">
        <f t="shared" si="55"/>
        <v>5.7399999999999656</v>
      </c>
      <c r="AI293" s="147">
        <v>0.75520091367992803</v>
      </c>
      <c r="AJ293" s="1">
        <f t="shared" si="60"/>
        <v>222318.94184896603</v>
      </c>
    </row>
    <row r="294" spans="20:36">
      <c r="T294" s="140">
        <f t="shared" si="63"/>
        <v>4.4000000000000004</v>
      </c>
      <c r="U294" s="140">
        <v>0.84436013727781078</v>
      </c>
      <c r="V294" s="140">
        <v>1.3470964603108673E-2</v>
      </c>
      <c r="W294" s="1">
        <f t="shared" si="56"/>
        <v>-0.13106987468128112</v>
      </c>
      <c r="X294" s="1">
        <f t="shared" si="52"/>
        <v>-11.339999999999943</v>
      </c>
      <c r="Y294" s="1">
        <f t="shared" si="58"/>
        <v>0.72676122719963843</v>
      </c>
      <c r="Z294" s="1">
        <f t="shared" si="57"/>
        <v>2.0798715506054111E-2</v>
      </c>
      <c r="AA294" s="1">
        <f t="shared" si="59"/>
        <v>34.942601478831328</v>
      </c>
      <c r="AC294" s="146">
        <f t="shared" si="51"/>
        <v>-1.7600000000000044</v>
      </c>
      <c r="AD294" s="147">
        <v>-3.3198645186756644E-2</v>
      </c>
      <c r="AE294" s="1">
        <f t="shared" si="62"/>
        <v>-9773.1445169664021</v>
      </c>
      <c r="AH294" s="150">
        <f t="shared" si="55"/>
        <v>5.7599999999999651</v>
      </c>
      <c r="AI294" s="147">
        <v>0.75742989426987495</v>
      </c>
      <c r="AJ294" s="1">
        <f t="shared" si="60"/>
        <v>222975.11770519504</v>
      </c>
    </row>
    <row r="295" spans="20:36">
      <c r="T295" s="140">
        <f t="shared" si="63"/>
        <v>4.45</v>
      </c>
      <c r="U295" s="140">
        <v>0.84993258875267819</v>
      </c>
      <c r="V295" s="140">
        <v>1.3624043746325814E-2</v>
      </c>
      <c r="W295" s="1">
        <f t="shared" si="56"/>
        <v>-0.13184624843164072</v>
      </c>
      <c r="X295" s="1">
        <f t="shared" si="52"/>
        <v>-11.429999999999943</v>
      </c>
      <c r="Y295" s="1">
        <f t="shared" si="58"/>
        <v>0.73171038406736333</v>
      </c>
      <c r="Z295" s="1">
        <f t="shared" si="57"/>
        <v>2.0942182278109362E-2</v>
      </c>
      <c r="AA295" s="1">
        <f t="shared" si="59"/>
        <v>34.939548054273807</v>
      </c>
      <c r="AC295" s="146">
        <f t="shared" si="51"/>
        <v>-1.7800000000000045</v>
      </c>
      <c r="AD295" s="147">
        <v>-3.3575902518424329E-2</v>
      </c>
      <c r="AE295" s="1">
        <f t="shared" si="62"/>
        <v>-9884.2029773864742</v>
      </c>
      <c r="AH295" s="150">
        <f t="shared" si="55"/>
        <v>5.7799999999999647</v>
      </c>
      <c r="AI295" s="147">
        <v>0.75965887485982186</v>
      </c>
      <c r="AJ295" s="1">
        <f t="shared" si="60"/>
        <v>223631.2935614241</v>
      </c>
    </row>
    <row r="296" spans="20:36">
      <c r="T296" s="140">
        <f t="shared" si="63"/>
        <v>4.5</v>
      </c>
      <c r="U296" s="140">
        <v>0.85550504022754559</v>
      </c>
      <c r="V296" s="140">
        <v>1.3777122889542959E-2</v>
      </c>
      <c r="W296" s="1">
        <f t="shared" si="56"/>
        <v>-0.13262262218200035</v>
      </c>
      <c r="X296" s="1">
        <f t="shared" si="52"/>
        <v>-11.519999999999943</v>
      </c>
      <c r="Y296" s="1">
        <f t="shared" si="58"/>
        <v>0.73665954093508812</v>
      </c>
      <c r="Z296" s="1">
        <f t="shared" si="57"/>
        <v>2.1086716860176772E-2</v>
      </c>
      <c r="AA296" s="1">
        <f t="shared" si="59"/>
        <v>34.934767029869086</v>
      </c>
      <c r="AC296" s="146">
        <f t="shared" si="51"/>
        <v>-1.8000000000000045</v>
      </c>
      <c r="AD296" s="147">
        <v>-3.3953159850092021E-2</v>
      </c>
      <c r="AE296" s="1">
        <f t="shared" si="62"/>
        <v>-9995.2614378065482</v>
      </c>
      <c r="AH296" s="150">
        <f t="shared" si="55"/>
        <v>5.7999999999999643</v>
      </c>
      <c r="AI296" s="147">
        <v>0.76188785544976878</v>
      </c>
      <c r="AJ296" s="1">
        <f t="shared" si="60"/>
        <v>224287.46941765316</v>
      </c>
    </row>
    <row r="297" spans="20:36">
      <c r="T297" s="140">
        <f t="shared" si="63"/>
        <v>4.55</v>
      </c>
      <c r="U297" s="140">
        <v>0.86107749170241288</v>
      </c>
      <c r="V297" s="140">
        <v>1.3930202032760103E-2</v>
      </c>
      <c r="W297" s="1">
        <f t="shared" si="56"/>
        <v>-0.13339899593235996</v>
      </c>
      <c r="X297" s="1">
        <f t="shared" si="52"/>
        <v>-11.609999999999941</v>
      </c>
      <c r="Y297" s="1">
        <f t="shared" si="58"/>
        <v>0.74160869780281302</v>
      </c>
      <c r="Z297" s="1">
        <f t="shared" si="57"/>
        <v>2.1232319252256333E-2</v>
      </c>
      <c r="AA297" s="1">
        <f t="shared" si="59"/>
        <v>34.928294407781344</v>
      </c>
      <c r="AC297" s="146">
        <f t="shared" si="51"/>
        <v>-1.8200000000000045</v>
      </c>
      <c r="AD297" s="147">
        <v>-3.4330417181759706E-2</v>
      </c>
      <c r="AE297" s="1">
        <f t="shared" si="62"/>
        <v>-10106.31989822662</v>
      </c>
      <c r="AH297" s="150">
        <f t="shared" si="55"/>
        <v>5.8199999999999639</v>
      </c>
      <c r="AI297" s="147">
        <v>0.7641168360397157</v>
      </c>
      <c r="AJ297" s="1">
        <f t="shared" si="60"/>
        <v>224943.64527388223</v>
      </c>
    </row>
    <row r="298" spans="20:36">
      <c r="T298" s="140">
        <f t="shared" si="63"/>
        <v>4.5999999999999996</v>
      </c>
      <c r="U298" s="140">
        <v>0.86664994317728028</v>
      </c>
      <c r="V298" s="140">
        <v>1.4083281175977248E-2</v>
      </c>
      <c r="W298" s="1">
        <f t="shared" si="56"/>
        <v>-0.13417536968271959</v>
      </c>
      <c r="X298" s="1">
        <f t="shared" si="52"/>
        <v>-11.699999999999939</v>
      </c>
      <c r="Y298" s="1">
        <f t="shared" si="58"/>
        <v>0.74655785467053792</v>
      </c>
      <c r="Z298" s="1">
        <f t="shared" si="57"/>
        <v>2.1378989454348053E-2</v>
      </c>
      <c r="AA298" s="1">
        <f t="shared" si="59"/>
        <v>34.920165719933181</v>
      </c>
      <c r="AC298" s="146">
        <f t="shared" si="51"/>
        <v>-1.8400000000000045</v>
      </c>
      <c r="AD298" s="147">
        <v>-3.4707674513427392E-2</v>
      </c>
      <c r="AE298" s="1">
        <f t="shared" si="62"/>
        <v>-10217.378358646689</v>
      </c>
      <c r="AH298" s="150">
        <f t="shared" si="55"/>
        <v>5.8399999999999634</v>
      </c>
      <c r="AI298" s="147">
        <v>0.76634581662966261</v>
      </c>
      <c r="AJ298" s="1">
        <f t="shared" si="60"/>
        <v>225599.82113011123</v>
      </c>
    </row>
    <row r="299" spans="20:36">
      <c r="T299" s="140">
        <f t="shared" si="63"/>
        <v>4.6499999999999995</v>
      </c>
      <c r="U299" s="140">
        <v>0.87222239465214768</v>
      </c>
      <c r="V299" s="140">
        <v>1.423636031919439E-2</v>
      </c>
      <c r="W299" s="1">
        <f t="shared" si="56"/>
        <v>-0.13495174343307922</v>
      </c>
      <c r="X299" s="1">
        <f t="shared" si="52"/>
        <v>-11.789999999999939</v>
      </c>
      <c r="Y299" s="1">
        <f t="shared" si="58"/>
        <v>0.75150701153826283</v>
      </c>
      <c r="Z299" s="1">
        <f t="shared" si="57"/>
        <v>2.1526727466451935E-2</v>
      </c>
      <c r="AA299" s="1">
        <f t="shared" si="59"/>
        <v>34.910416026283592</v>
      </c>
      <c r="AC299" s="146">
        <f t="shared" ref="AC299:AC362" si="64">AC298-$AD$2</f>
        <v>-1.8600000000000045</v>
      </c>
      <c r="AD299" s="147">
        <v>-3.5084931845095091E-2</v>
      </c>
      <c r="AE299" s="1">
        <f t="shared" si="62"/>
        <v>-10328.436819066765</v>
      </c>
      <c r="AH299" s="150">
        <f t="shared" si="55"/>
        <v>5.859999999999963</v>
      </c>
      <c r="AI299" s="147">
        <v>0.76857479721960953</v>
      </c>
      <c r="AJ299" s="1">
        <f t="shared" si="60"/>
        <v>226255.99698634029</v>
      </c>
    </row>
    <row r="300" spans="20:36">
      <c r="T300" s="140">
        <f t="shared" si="63"/>
        <v>4.6999999999999993</v>
      </c>
      <c r="U300" s="140">
        <v>0.87779484612701508</v>
      </c>
      <c r="V300" s="140">
        <v>1.4389439462411533E-2</v>
      </c>
      <c r="W300" s="1">
        <f t="shared" si="56"/>
        <v>-0.13572811718343883</v>
      </c>
      <c r="X300" s="1">
        <f t="shared" si="52"/>
        <v>-11.879999999999939</v>
      </c>
      <c r="Y300" s="1">
        <f t="shared" si="58"/>
        <v>0.75645616840598784</v>
      </c>
      <c r="Z300" s="1">
        <f t="shared" si="57"/>
        <v>2.1675533288567972E-2</v>
      </c>
      <c r="AA300" s="1">
        <f t="shared" si="59"/>
        <v>34.899079913524211</v>
      </c>
      <c r="AC300" s="146">
        <f t="shared" si="64"/>
        <v>-1.8800000000000046</v>
      </c>
      <c r="AD300" s="147">
        <v>-3.5462189176762776E-2</v>
      </c>
      <c r="AE300" s="1">
        <f t="shared" si="62"/>
        <v>-10439.495279486837</v>
      </c>
      <c r="AH300" s="150">
        <f t="shared" si="55"/>
        <v>5.8799999999999626</v>
      </c>
      <c r="AI300" s="147">
        <v>0.77080377780955645</v>
      </c>
      <c r="AJ300" s="1">
        <f t="shared" si="60"/>
        <v>226912.17284256933</v>
      </c>
    </row>
    <row r="301" spans="20:36">
      <c r="T301" s="140">
        <f t="shared" si="63"/>
        <v>4.7499999999999991</v>
      </c>
      <c r="U301" s="140">
        <v>0.88336729760188248</v>
      </c>
      <c r="V301" s="140">
        <v>1.4542518605628678E-2</v>
      </c>
      <c r="W301" s="1">
        <f t="shared" si="56"/>
        <v>-0.13650449093379849</v>
      </c>
      <c r="X301" s="1">
        <f t="shared" si="52"/>
        <v>-11.969999999999937</v>
      </c>
      <c r="Y301" s="1">
        <f t="shared" si="58"/>
        <v>0.76140532527371274</v>
      </c>
      <c r="Z301" s="1">
        <f t="shared" si="57"/>
        <v>2.1825406920696174E-2</v>
      </c>
      <c r="AA301" s="1">
        <f t="shared" si="59"/>
        <v>34.886191494175627</v>
      </c>
      <c r="AC301" s="146">
        <f t="shared" si="64"/>
        <v>-1.9000000000000046</v>
      </c>
      <c r="AD301" s="147">
        <v>-3.5839446508430461E-2</v>
      </c>
      <c r="AE301" s="1">
        <f t="shared" si="62"/>
        <v>-10550.553739906909</v>
      </c>
      <c r="AH301" s="150">
        <f t="shared" si="55"/>
        <v>5.8999999999999622</v>
      </c>
      <c r="AI301" s="147">
        <v>0.77303275839950336</v>
      </c>
      <c r="AJ301" s="1">
        <f t="shared" si="60"/>
        <v>227568.34869879836</v>
      </c>
    </row>
    <row r="302" spans="20:36">
      <c r="T302" s="140">
        <f t="shared" si="63"/>
        <v>4.7999999999999989</v>
      </c>
      <c r="U302" s="140">
        <v>0.88893974907675</v>
      </c>
      <c r="V302" s="140">
        <v>1.469559774884582E-2</v>
      </c>
      <c r="W302" s="1">
        <f t="shared" si="56"/>
        <v>-0.13728086468415812</v>
      </c>
      <c r="X302" s="1">
        <f t="shared" si="52"/>
        <v>-12.059999999999935</v>
      </c>
      <c r="Y302" s="1">
        <f t="shared" si="58"/>
        <v>0.76635448214143764</v>
      </c>
      <c r="Z302" s="1">
        <f t="shared" si="57"/>
        <v>2.1976348362836535E-2</v>
      </c>
      <c r="AA302" s="1">
        <f t="shared" si="59"/>
        <v>34.87178440606602</v>
      </c>
      <c r="AC302" s="146">
        <f t="shared" si="64"/>
        <v>-1.9200000000000046</v>
      </c>
      <c r="AD302" s="147">
        <v>-3.6216703840098147E-2</v>
      </c>
      <c r="AE302" s="1">
        <f t="shared" si="62"/>
        <v>-10661.612200326981</v>
      </c>
      <c r="AH302" s="150">
        <f t="shared" si="55"/>
        <v>5.9199999999999617</v>
      </c>
      <c r="AI302" s="147">
        <v>0.77526173898945028</v>
      </c>
      <c r="AJ302" s="1">
        <f t="shared" si="60"/>
        <v>228224.5245550274</v>
      </c>
    </row>
    <row r="303" spans="20:36">
      <c r="T303" s="140">
        <f t="shared" si="63"/>
        <v>4.8499999999999988</v>
      </c>
      <c r="U303" s="140">
        <v>0.89451220055161718</v>
      </c>
      <c r="V303" s="140">
        <v>1.4848676892062963E-2</v>
      </c>
      <c r="W303" s="1">
        <f t="shared" si="56"/>
        <v>-0.1380572384345177</v>
      </c>
      <c r="X303" s="1">
        <f t="shared" si="52"/>
        <v>-12.149999999999935</v>
      </c>
      <c r="Y303" s="1">
        <f t="shared" si="58"/>
        <v>0.77130363900916243</v>
      </c>
      <c r="Z303" s="1">
        <f t="shared" si="57"/>
        <v>2.2128357614989044E-2</v>
      </c>
      <c r="AA303" s="1">
        <f t="shared" si="59"/>
        <v>34.855891812174349</v>
      </c>
      <c r="AC303" s="146">
        <f t="shared" si="64"/>
        <v>-1.9400000000000046</v>
      </c>
      <c r="AD303" s="147">
        <v>-3.6593961171765839E-2</v>
      </c>
      <c r="AE303" s="1">
        <f t="shared" si="62"/>
        <v>-10772.670660747057</v>
      </c>
      <c r="AH303" s="150">
        <f t="shared" si="55"/>
        <v>5.9399999999999613</v>
      </c>
      <c r="AI303" s="147">
        <v>0.77749071957939719</v>
      </c>
      <c r="AJ303" s="1">
        <f t="shared" si="60"/>
        <v>228880.70041125646</v>
      </c>
    </row>
    <row r="304" spans="20:36">
      <c r="T304" s="140">
        <f t="shared" si="63"/>
        <v>4.8999999999999986</v>
      </c>
      <c r="U304" s="140">
        <v>0.90008465202648458</v>
      </c>
      <c r="V304" s="140">
        <v>1.5001756035280108E-2</v>
      </c>
      <c r="W304" s="1">
        <f t="shared" si="56"/>
        <v>-0.13883361218487733</v>
      </c>
      <c r="X304" s="1">
        <f t="shared" si="52"/>
        <v>-12.259999999999934</v>
      </c>
      <c r="Y304" s="1">
        <f t="shared" si="58"/>
        <v>0.77625279587688734</v>
      </c>
      <c r="Z304" s="1">
        <f t="shared" si="57"/>
        <v>2.2281434677153711E-2</v>
      </c>
      <c r="AA304" s="1">
        <f t="shared" si="59"/>
        <v>34.838546400821258</v>
      </c>
      <c r="AC304" s="146">
        <f t="shared" si="64"/>
        <v>-1.9600000000000046</v>
      </c>
      <c r="AD304" s="147">
        <v>-3.6971218503433524E-2</v>
      </c>
      <c r="AE304" s="1">
        <f t="shared" si="62"/>
        <v>-10883.729121167129</v>
      </c>
      <c r="AH304" s="150">
        <f t="shared" si="55"/>
        <v>5.9599999999999609</v>
      </c>
      <c r="AI304" s="147">
        <v>0.77971970016934411</v>
      </c>
      <c r="AJ304" s="1">
        <f t="shared" si="60"/>
        <v>229536.87626748552</v>
      </c>
    </row>
    <row r="305" spans="20:36">
      <c r="T305" s="140">
        <f t="shared" si="63"/>
        <v>4.9499999999999984</v>
      </c>
      <c r="U305" s="140">
        <v>0.9056571035013522</v>
      </c>
      <c r="V305" s="140">
        <v>1.515483517849725E-2</v>
      </c>
      <c r="W305" s="1">
        <f t="shared" si="56"/>
        <v>-0.13960998593523696</v>
      </c>
      <c r="X305" s="1">
        <f t="shared" ref="X305:X368" si="65">INDEX($AC$6:$AC$1006,MATCH(W305,$AD$6:$AD$1006,-1))-T305</f>
        <v>-12.349999999999932</v>
      </c>
      <c r="Y305" s="1">
        <f t="shared" si="58"/>
        <v>0.78120195274461246</v>
      </c>
      <c r="Z305" s="1">
        <f t="shared" si="57"/>
        <v>2.2435579549330554E-2</v>
      </c>
      <c r="AA305" s="1">
        <f t="shared" si="59"/>
        <v>34.819780386191205</v>
      </c>
      <c r="AC305" s="146">
        <f t="shared" si="64"/>
        <v>-1.9800000000000046</v>
      </c>
      <c r="AD305" s="147">
        <v>-3.7348475835101216E-2</v>
      </c>
      <c r="AE305" s="1">
        <f t="shared" si="62"/>
        <v>-10994.787581587199</v>
      </c>
      <c r="AH305" s="150">
        <f t="shared" si="55"/>
        <v>5.9799999999999605</v>
      </c>
      <c r="AI305" s="147">
        <v>0.78194868075929103</v>
      </c>
      <c r="AJ305" s="1">
        <f t="shared" si="60"/>
        <v>230193.05212371453</v>
      </c>
    </row>
    <row r="306" spans="20:36">
      <c r="T306" s="140">
        <f t="shared" si="63"/>
        <v>4.9999999999999982</v>
      </c>
      <c r="U306" s="140">
        <v>0.91122955497621949</v>
      </c>
      <c r="V306" s="140">
        <v>1.5307914321714394E-2</v>
      </c>
      <c r="W306" s="1">
        <f t="shared" si="56"/>
        <v>-0.1403863596855966</v>
      </c>
      <c r="X306" s="1">
        <f t="shared" si="65"/>
        <v>-12.43999999999993</v>
      </c>
      <c r="Y306" s="1">
        <f t="shared" si="58"/>
        <v>0.78615110961233725</v>
      </c>
      <c r="Z306" s="1">
        <f t="shared" si="57"/>
        <v>2.2590792231519535E-2</v>
      </c>
      <c r="AA306" s="1">
        <f t="shared" si="59"/>
        <v>34.79962550916958</v>
      </c>
      <c r="AC306" s="146">
        <f t="shared" si="64"/>
        <v>-2.0000000000000044</v>
      </c>
      <c r="AD306" s="147">
        <v>-3.7725733166768895E-2</v>
      </c>
      <c r="AE306" s="1">
        <f t="shared" si="62"/>
        <v>-11105.846042007272</v>
      </c>
      <c r="AH306" s="150">
        <f t="shared" si="55"/>
        <v>5.99999999999996</v>
      </c>
      <c r="AI306" s="147">
        <v>0.78417766134923794</v>
      </c>
      <c r="AJ306" s="1">
        <f t="shared" si="60"/>
        <v>230849.22797994359</v>
      </c>
    </row>
    <row r="307" spans="20:36">
      <c r="T307" s="140">
        <f t="shared" si="63"/>
        <v>5.049999999999998</v>
      </c>
      <c r="U307" s="140">
        <v>0.91680200645108667</v>
      </c>
      <c r="V307" s="140">
        <v>1.5460993464931539E-2</v>
      </c>
      <c r="W307" s="1">
        <f t="shared" si="56"/>
        <v>-0.14116273343595617</v>
      </c>
      <c r="X307" s="1">
        <f t="shared" si="65"/>
        <v>-12.52999999999993</v>
      </c>
      <c r="Y307" s="1">
        <f t="shared" ref="Y307:Y370" si="66">U307+V307+W307</f>
        <v>0.79110026648006204</v>
      </c>
      <c r="Z307" s="1">
        <f t="shared" ref="Z307:Z370" si="67">Cx0_avion+((U307)^2/(PI()*all_voil))*Sext_voil/SRef+2*LFus*Czalpha_fus^2*(RADIANS(T307)^2)/(PI()*DFus)+(W307)^2/(PI()*all_emp)*Sext_emp/SRef</f>
        <v>2.2747072723720674E-2</v>
      </c>
      <c r="AA307" s="1">
        <f t="shared" ref="AA307:AA370" si="68">Y307/Z307</f>
        <v>34.778113038479091</v>
      </c>
      <c r="AC307" s="146">
        <f t="shared" si="64"/>
        <v>-2.0200000000000045</v>
      </c>
      <c r="AD307" s="147">
        <v>-3.8102990498436587E-2</v>
      </c>
      <c r="AE307" s="1">
        <f t="shared" si="62"/>
        <v>-11216.904502427344</v>
      </c>
      <c r="AH307" s="150">
        <f t="shared" si="55"/>
        <v>6.0199999999999596</v>
      </c>
      <c r="AI307" s="147">
        <v>0.78640664193918486</v>
      </c>
      <c r="AJ307" s="1">
        <f t="shared" si="60"/>
        <v>231505.40383617266</v>
      </c>
    </row>
    <row r="308" spans="20:36">
      <c r="T308" s="140">
        <f t="shared" si="63"/>
        <v>5.0999999999999979</v>
      </c>
      <c r="U308" s="140">
        <v>0.92237445792595429</v>
      </c>
      <c r="V308" s="140">
        <v>1.561407260814868E-2</v>
      </c>
      <c r="W308" s="1">
        <f t="shared" si="56"/>
        <v>-0.14193910718631583</v>
      </c>
      <c r="X308" s="1">
        <f t="shared" si="65"/>
        <v>-12.61999999999993</v>
      </c>
      <c r="Y308" s="1">
        <f t="shared" si="66"/>
        <v>0.79604942334778717</v>
      </c>
      <c r="Z308" s="1">
        <f t="shared" si="67"/>
        <v>2.2904421025933992E-2</v>
      </c>
      <c r="AA308" s="1">
        <f t="shared" si="68"/>
        <v>34.755273772100338</v>
      </c>
      <c r="AC308" s="146">
        <f t="shared" si="64"/>
        <v>-2.0400000000000045</v>
      </c>
      <c r="AD308" s="147">
        <v>-3.8480247830104279E-2</v>
      </c>
      <c r="AE308" s="1">
        <f t="shared" si="62"/>
        <v>-11327.962962847418</v>
      </c>
      <c r="AH308" s="150">
        <f t="shared" si="55"/>
        <v>6.0399999999999592</v>
      </c>
      <c r="AI308" s="147">
        <v>0.78863562252913177</v>
      </c>
      <c r="AJ308" s="1">
        <f t="shared" si="60"/>
        <v>232161.57969240166</v>
      </c>
    </row>
    <row r="309" spans="20:36">
      <c r="T309" s="140">
        <f t="shared" si="63"/>
        <v>5.1499999999999977</v>
      </c>
      <c r="U309" s="140">
        <v>0.9279469094008217</v>
      </c>
      <c r="V309" s="140">
        <v>1.5767151751365824E-2</v>
      </c>
      <c r="W309" s="1">
        <f t="shared" si="56"/>
        <v>-0.14271548093667547</v>
      </c>
      <c r="X309" s="1">
        <f t="shared" si="65"/>
        <v>-12.709999999999928</v>
      </c>
      <c r="Y309" s="1">
        <f t="shared" si="66"/>
        <v>0.80099858021551196</v>
      </c>
      <c r="Z309" s="1">
        <f t="shared" si="67"/>
        <v>2.3062837138159448E-2</v>
      </c>
      <c r="AA309" s="1">
        <f t="shared" si="68"/>
        <v>34.731138038961859</v>
      </c>
      <c r="AC309" s="146">
        <f t="shared" si="64"/>
        <v>-2.0600000000000045</v>
      </c>
      <c r="AD309" s="147">
        <v>-3.8857505161771964E-2</v>
      </c>
      <c r="AE309" s="1">
        <f t="shared" si="62"/>
        <v>-11439.02142326749</v>
      </c>
      <c r="AH309" s="150">
        <f t="shared" si="55"/>
        <v>6.0599999999999588</v>
      </c>
      <c r="AI309" s="147">
        <v>0.79086460311907869</v>
      </c>
      <c r="AJ309" s="1">
        <f t="shared" si="60"/>
        <v>232817.7555486307</v>
      </c>
    </row>
    <row r="310" spans="20:36">
      <c r="T310" s="140">
        <f t="shared" si="63"/>
        <v>5.1999999999999975</v>
      </c>
      <c r="U310" s="140">
        <v>0.93351936087568899</v>
      </c>
      <c r="V310" s="140">
        <v>1.5920230894582967E-2</v>
      </c>
      <c r="W310" s="1">
        <f t="shared" si="56"/>
        <v>-0.14349185468703507</v>
      </c>
      <c r="X310" s="1">
        <f t="shared" si="65"/>
        <v>-12.799999999999926</v>
      </c>
      <c r="Y310" s="1">
        <f t="shared" si="66"/>
        <v>0.80594773708323686</v>
      </c>
      <c r="Z310" s="1">
        <f t="shared" si="67"/>
        <v>2.322232106039707E-2</v>
      </c>
      <c r="AA310" s="1">
        <f t="shared" si="68"/>
        <v>34.705735700885029</v>
      </c>
      <c r="AC310" s="146">
        <f t="shared" si="64"/>
        <v>-2.0800000000000045</v>
      </c>
      <c r="AD310" s="147">
        <v>-3.9234762493439657E-2</v>
      </c>
      <c r="AE310" s="1">
        <f t="shared" si="62"/>
        <v>-11550.079883687562</v>
      </c>
      <c r="AH310" s="150">
        <f t="shared" si="55"/>
        <v>6.0799999999999583</v>
      </c>
      <c r="AI310" s="147">
        <v>0.79309358370902561</v>
      </c>
      <c r="AJ310" s="1">
        <f t="shared" si="60"/>
        <v>233473.93140485976</v>
      </c>
    </row>
    <row r="311" spans="20:36">
      <c r="T311" s="140">
        <f t="shared" si="63"/>
        <v>5.2499999999999973</v>
      </c>
      <c r="U311" s="140">
        <v>0.93909181235055639</v>
      </c>
      <c r="V311" s="140">
        <v>1.6073310037800111E-2</v>
      </c>
      <c r="W311" s="1">
        <f t="shared" si="56"/>
        <v>-0.14426822843739467</v>
      </c>
      <c r="X311" s="1">
        <f t="shared" si="65"/>
        <v>-12.889999999999926</v>
      </c>
      <c r="Y311" s="1">
        <f t="shared" si="66"/>
        <v>0.81089689395096176</v>
      </c>
      <c r="Z311" s="1">
        <f t="shared" si="67"/>
        <v>2.3382872792646846E-2</v>
      </c>
      <c r="AA311" s="1">
        <f t="shared" si="68"/>
        <v>34.679096154770278</v>
      </c>
      <c r="AC311" s="146">
        <f t="shared" si="64"/>
        <v>-2.1000000000000045</v>
      </c>
      <c r="AD311" s="147">
        <v>-3.9612019825107342E-2</v>
      </c>
      <c r="AE311" s="1">
        <f t="shared" si="62"/>
        <v>-11661.138344107634</v>
      </c>
      <c r="AH311" s="150">
        <f t="shared" si="55"/>
        <v>6.0999999999999579</v>
      </c>
      <c r="AI311" s="147">
        <v>0.79532256429897252</v>
      </c>
      <c r="AJ311" s="1">
        <f t="shared" si="60"/>
        <v>234130.10726108876</v>
      </c>
    </row>
    <row r="312" spans="20:36">
      <c r="T312" s="140">
        <f t="shared" si="63"/>
        <v>5.2999999999999972</v>
      </c>
      <c r="U312" s="140">
        <v>0.9446642638254239</v>
      </c>
      <c r="V312" s="140">
        <v>1.6226389181017254E-2</v>
      </c>
      <c r="W312" s="1">
        <f t="shared" si="56"/>
        <v>-0.14504460218775433</v>
      </c>
      <c r="X312" s="1">
        <f t="shared" si="65"/>
        <v>-12.979999999999926</v>
      </c>
      <c r="Y312" s="1">
        <f t="shared" si="66"/>
        <v>0.81584605081868689</v>
      </c>
      <c r="Z312" s="1">
        <f t="shared" si="67"/>
        <v>2.3544492334908788E-2</v>
      </c>
      <c r="AA312" s="1">
        <f t="shared" si="68"/>
        <v>34.651248335010976</v>
      </c>
      <c r="AC312" s="146">
        <f t="shared" si="64"/>
        <v>-2.1200000000000045</v>
      </c>
      <c r="AD312" s="147">
        <v>-3.9989277156775027E-2</v>
      </c>
      <c r="AE312" s="1">
        <f t="shared" si="62"/>
        <v>-11772.196804527706</v>
      </c>
      <c r="AH312" s="150">
        <f t="shared" si="55"/>
        <v>6.1199999999999575</v>
      </c>
      <c r="AI312" s="147">
        <v>0.79755154488891944</v>
      </c>
      <c r="AJ312" s="1">
        <f t="shared" si="60"/>
        <v>234786.28311731786</v>
      </c>
    </row>
    <row r="313" spans="20:36">
      <c r="T313" s="140">
        <f t="shared" si="63"/>
        <v>5.349999999999997</v>
      </c>
      <c r="U313" s="140">
        <v>0.9502367153002913</v>
      </c>
      <c r="V313" s="140">
        <v>1.6379468324234397E-2</v>
      </c>
      <c r="W313" s="1">
        <f t="shared" si="56"/>
        <v>-0.14582097593811397</v>
      </c>
      <c r="X313" s="1">
        <f t="shared" si="65"/>
        <v>-13.069999999999924</v>
      </c>
      <c r="Y313" s="1">
        <f t="shared" si="66"/>
        <v>0.82079520768641179</v>
      </c>
      <c r="Z313" s="1">
        <f t="shared" si="67"/>
        <v>2.3707179687182885E-2</v>
      </c>
      <c r="AA313" s="1">
        <f t="shared" si="68"/>
        <v>34.622220716122079</v>
      </c>
      <c r="AC313" s="146">
        <f t="shared" si="64"/>
        <v>-2.1400000000000046</v>
      </c>
      <c r="AD313" s="147">
        <v>-4.0366534488442712E-2</v>
      </c>
      <c r="AE313" s="1">
        <f t="shared" si="62"/>
        <v>-11883.255264947778</v>
      </c>
      <c r="AH313" s="150">
        <f t="shared" si="55"/>
        <v>6.139999999999957</v>
      </c>
      <c r="AI313" s="147">
        <v>0.79978052547886636</v>
      </c>
      <c r="AJ313" s="1">
        <f t="shared" si="60"/>
        <v>235442.45897354689</v>
      </c>
    </row>
    <row r="314" spans="20:36">
      <c r="T314" s="140">
        <f t="shared" si="63"/>
        <v>5.3999999999999968</v>
      </c>
      <c r="U314" s="140">
        <v>0.9558091667751587</v>
      </c>
      <c r="V314" s="140">
        <v>1.6532547467451544E-2</v>
      </c>
      <c r="W314" s="1">
        <f t="shared" si="56"/>
        <v>-0.1465973496884736</v>
      </c>
      <c r="X314" s="1">
        <f t="shared" si="65"/>
        <v>-13.159999999999922</v>
      </c>
      <c r="Y314" s="1">
        <f t="shared" si="66"/>
        <v>0.82574436455413669</v>
      </c>
      <c r="Z314" s="1">
        <f t="shared" si="67"/>
        <v>2.3870934849469137E-2</v>
      </c>
      <c r="AA314" s="1">
        <f t="shared" si="68"/>
        <v>34.59204131557086</v>
      </c>
      <c r="AC314" s="146">
        <f t="shared" si="64"/>
        <v>-2.1600000000000046</v>
      </c>
      <c r="AD314" s="147">
        <v>-4.0743791820110412E-2</v>
      </c>
      <c r="AE314" s="1">
        <f t="shared" si="62"/>
        <v>-11994.313725367854</v>
      </c>
      <c r="AH314" s="150">
        <f t="shared" si="55"/>
        <v>6.1599999999999566</v>
      </c>
      <c r="AI314" s="147">
        <v>0.80200950606881338</v>
      </c>
      <c r="AJ314" s="1">
        <f t="shared" si="60"/>
        <v>236098.63482977595</v>
      </c>
    </row>
    <row r="315" spans="20:36">
      <c r="T315" s="140">
        <f t="shared" si="63"/>
        <v>5.4499999999999966</v>
      </c>
      <c r="U315" s="140">
        <v>0.96138161825002599</v>
      </c>
      <c r="V315" s="140">
        <v>1.6685626610668684E-2</v>
      </c>
      <c r="W315" s="1">
        <f t="shared" si="56"/>
        <v>-0.1473737234388332</v>
      </c>
      <c r="X315" s="1">
        <f t="shared" si="65"/>
        <v>-13.249999999999922</v>
      </c>
      <c r="Y315" s="1">
        <f t="shared" si="66"/>
        <v>0.83069352142186137</v>
      </c>
      <c r="Z315" s="1">
        <f t="shared" si="67"/>
        <v>2.4035757821767548E-2</v>
      </c>
      <c r="AA315" s="1">
        <f t="shared" si="68"/>
        <v>34.56073769679768</v>
      </c>
      <c r="AC315" s="146">
        <f t="shared" si="64"/>
        <v>-2.1800000000000046</v>
      </c>
      <c r="AD315" s="147">
        <v>-4.1121049151778097E-2</v>
      </c>
      <c r="AE315" s="1">
        <f t="shared" si="62"/>
        <v>-12105.372185787926</v>
      </c>
      <c r="AH315" s="150">
        <f t="shared" si="55"/>
        <v>6.1799999999999562</v>
      </c>
      <c r="AI315" s="147">
        <v>0.80423848665876019</v>
      </c>
      <c r="AJ315" s="1">
        <f t="shared" si="60"/>
        <v>236754.81068600496</v>
      </c>
    </row>
    <row r="316" spans="20:36">
      <c r="T316" s="140">
        <f t="shared" si="63"/>
        <v>5.4999999999999964</v>
      </c>
      <c r="U316" s="140">
        <v>0.96695406972489339</v>
      </c>
      <c r="V316" s="140">
        <v>1.6838705753885828E-2</v>
      </c>
      <c r="W316" s="1">
        <f t="shared" si="56"/>
        <v>-0.14815009718919281</v>
      </c>
      <c r="X316" s="1">
        <f t="shared" si="65"/>
        <v>-13.339999999999922</v>
      </c>
      <c r="Y316" s="1">
        <f t="shared" si="66"/>
        <v>0.83564267828958638</v>
      </c>
      <c r="Z316" s="1">
        <f t="shared" si="67"/>
        <v>2.4201648604078117E-2</v>
      </c>
      <c r="AA316" s="1">
        <f t="shared" si="68"/>
        <v>34.528336972415005</v>
      </c>
      <c r="AC316" s="146">
        <f t="shared" si="64"/>
        <v>-2.2000000000000046</v>
      </c>
      <c r="AD316" s="147">
        <v>-4.1498306483445782E-2</v>
      </c>
      <c r="AE316" s="1">
        <f t="shared" si="62"/>
        <v>-12216.430646207997</v>
      </c>
      <c r="AH316" s="150">
        <f t="shared" si="55"/>
        <v>6.1999999999999558</v>
      </c>
      <c r="AI316" s="147">
        <v>0.80646746724870721</v>
      </c>
      <c r="AJ316" s="1">
        <f t="shared" si="60"/>
        <v>237410.98654223405</v>
      </c>
    </row>
    <row r="317" spans="20:36">
      <c r="T317" s="140">
        <f t="shared" si="63"/>
        <v>5.5499999999999963</v>
      </c>
      <c r="U317" s="140">
        <v>0.97252652119976102</v>
      </c>
      <c r="V317" s="140">
        <v>1.6991784897102975E-2</v>
      </c>
      <c r="W317" s="1">
        <f t="shared" si="56"/>
        <v>-0.14892647093955247</v>
      </c>
      <c r="X317" s="1">
        <f t="shared" si="65"/>
        <v>-13.42999999999992</v>
      </c>
      <c r="Y317" s="1">
        <f t="shared" si="66"/>
        <v>0.84059183515731151</v>
      </c>
      <c r="Z317" s="1">
        <f t="shared" si="67"/>
        <v>2.4368607196400847E-2</v>
      </c>
      <c r="AA317" s="1">
        <f t="shared" si="68"/>
        <v>34.494865807573269</v>
      </c>
      <c r="AC317" s="146">
        <f t="shared" si="64"/>
        <v>-2.2200000000000046</v>
      </c>
      <c r="AD317" s="147">
        <v>-4.1875563815113474E-2</v>
      </c>
      <c r="AE317" s="1">
        <f t="shared" si="62"/>
        <v>-12327.489106628071</v>
      </c>
      <c r="AH317" s="150">
        <f t="shared" si="55"/>
        <v>6.2199999999999553</v>
      </c>
      <c r="AI317" s="147">
        <v>0.80869644783865402</v>
      </c>
      <c r="AJ317" s="1">
        <f t="shared" si="60"/>
        <v>238067.16239846306</v>
      </c>
    </row>
    <row r="318" spans="20:36">
      <c r="T318" s="140">
        <f t="shared" si="63"/>
        <v>5.5999999999999961</v>
      </c>
      <c r="U318" s="140">
        <v>0.9780989726746282</v>
      </c>
      <c r="V318" s="140">
        <v>1.7144864040320115E-2</v>
      </c>
      <c r="W318" s="1">
        <f t="shared" si="56"/>
        <v>-0.14970284468991205</v>
      </c>
      <c r="X318" s="1">
        <f t="shared" si="65"/>
        <v>-13.519999999999918</v>
      </c>
      <c r="Y318" s="1">
        <f t="shared" si="66"/>
        <v>0.8455409920250363</v>
      </c>
      <c r="Z318" s="1">
        <f t="shared" si="67"/>
        <v>2.453663359873573E-2</v>
      </c>
      <c r="AA318" s="1">
        <f t="shared" si="68"/>
        <v>34.460350423482851</v>
      </c>
      <c r="AC318" s="146">
        <f t="shared" si="64"/>
        <v>-2.2400000000000047</v>
      </c>
      <c r="AD318" s="147">
        <v>-4.225282114678116E-2</v>
      </c>
      <c r="AE318" s="1">
        <f t="shared" si="62"/>
        <v>-12438.547567048141</v>
      </c>
      <c r="AH318" s="150">
        <f t="shared" si="55"/>
        <v>6.2399999999999549</v>
      </c>
      <c r="AI318" s="147">
        <v>0.81092542842860105</v>
      </c>
      <c r="AJ318" s="1">
        <f t="shared" si="60"/>
        <v>238723.33825469215</v>
      </c>
    </row>
    <row r="319" spans="20:36">
      <c r="T319" s="140">
        <f t="shared" si="63"/>
        <v>5.6499999999999959</v>
      </c>
      <c r="U319" s="140">
        <v>0.98367142414949549</v>
      </c>
      <c r="V319" s="140">
        <v>1.7297943183537258E-2</v>
      </c>
      <c r="W319" s="1">
        <f t="shared" si="56"/>
        <v>-0.15047921844027168</v>
      </c>
      <c r="X319" s="1">
        <f t="shared" si="65"/>
        <v>-13.609999999999918</v>
      </c>
      <c r="Y319" s="1">
        <f t="shared" si="66"/>
        <v>0.85049014889276098</v>
      </c>
      <c r="Z319" s="1">
        <f t="shared" si="67"/>
        <v>2.4705727811082771E-2</v>
      </c>
      <c r="AA319" s="1">
        <f t="shared" si="68"/>
        <v>34.424816601081417</v>
      </c>
      <c r="AC319" s="146">
        <f t="shared" si="64"/>
        <v>-2.2600000000000047</v>
      </c>
      <c r="AD319" s="147">
        <v>-4.2630078478448845E-2</v>
      </c>
      <c r="AE319" s="1">
        <f t="shared" si="62"/>
        <v>-12549.606027468215</v>
      </c>
      <c r="AH319" s="150">
        <f t="shared" si="55"/>
        <v>6.2599999999999545</v>
      </c>
      <c r="AI319" s="147">
        <v>0.81315440901854785</v>
      </c>
      <c r="AJ319" s="1">
        <f t="shared" si="60"/>
        <v>239379.51411092115</v>
      </c>
    </row>
    <row r="320" spans="20:36">
      <c r="T320" s="140">
        <f t="shared" si="63"/>
        <v>5.6999999999999957</v>
      </c>
      <c r="U320" s="140">
        <v>0.98924387562436311</v>
      </c>
      <c r="V320" s="140">
        <v>1.7451022326754405E-2</v>
      </c>
      <c r="W320" s="1">
        <f t="shared" si="56"/>
        <v>-0.15125559219063134</v>
      </c>
      <c r="X320" s="1">
        <f t="shared" si="65"/>
        <v>-13.699999999999918</v>
      </c>
      <c r="Y320" s="1">
        <f t="shared" si="66"/>
        <v>0.8554393057604861</v>
      </c>
      <c r="Z320" s="1">
        <f t="shared" si="67"/>
        <v>2.4875889833441977E-2</v>
      </c>
      <c r="AA320" s="1">
        <f t="shared" si="68"/>
        <v>34.388289684836671</v>
      </c>
      <c r="AC320" s="146">
        <f t="shared" si="64"/>
        <v>-2.2800000000000047</v>
      </c>
      <c r="AD320" s="147">
        <v>-4.3007335810116544E-2</v>
      </c>
      <c r="AE320" s="1">
        <f t="shared" si="62"/>
        <v>-12660.664487888291</v>
      </c>
      <c r="AH320" s="150">
        <f t="shared" si="55"/>
        <v>6.2799999999999541</v>
      </c>
      <c r="AI320" s="147">
        <v>0.81538338960849488</v>
      </c>
      <c r="AJ320" s="1">
        <f t="shared" si="60"/>
        <v>240035.68996715025</v>
      </c>
    </row>
    <row r="321" spans="20:36">
      <c r="T321" s="140">
        <f t="shared" si="63"/>
        <v>5.7499999999999956</v>
      </c>
      <c r="U321" s="140">
        <v>0.99481632709923051</v>
      </c>
      <c r="V321" s="140">
        <v>1.7604101469971545E-2</v>
      </c>
      <c r="W321" s="1">
        <f t="shared" si="56"/>
        <v>-0.15203196594099094</v>
      </c>
      <c r="X321" s="1">
        <f t="shared" si="65"/>
        <v>-13.789999999999917</v>
      </c>
      <c r="Y321" s="1">
        <f t="shared" si="66"/>
        <v>0.860388462628211</v>
      </c>
      <c r="Z321" s="1">
        <f t="shared" si="67"/>
        <v>2.5047119665813338E-2</v>
      </c>
      <c r="AA321" s="1">
        <f t="shared" si="68"/>
        <v>34.350794586674574</v>
      </c>
      <c r="AC321" s="146">
        <f t="shared" si="64"/>
        <v>-2.3000000000000047</v>
      </c>
      <c r="AD321" s="147">
        <v>-4.3384593141784229E-2</v>
      </c>
      <c r="AE321" s="1">
        <f t="shared" ref="AE321:AE384" si="69">AD321*0.5*rho*V^2*SRef</f>
        <v>-12771.722948308359</v>
      </c>
      <c r="AH321" s="150">
        <f t="shared" si="55"/>
        <v>6.2999999999999536</v>
      </c>
      <c r="AI321" s="147">
        <v>0.81761237019844168</v>
      </c>
      <c r="AJ321" s="1">
        <f t="shared" si="60"/>
        <v>240691.86582337925</v>
      </c>
    </row>
    <row r="322" spans="20:36">
      <c r="T322" s="140">
        <f t="shared" si="63"/>
        <v>5.7999999999999954</v>
      </c>
      <c r="U322" s="140">
        <v>1.0003887785740979</v>
      </c>
      <c r="V322" s="140">
        <v>1.7757180613188688E-2</v>
      </c>
      <c r="W322" s="1">
        <f t="shared" si="56"/>
        <v>-0.15280833969135058</v>
      </c>
      <c r="X322" s="1">
        <f t="shared" si="65"/>
        <v>-13.899999999999915</v>
      </c>
      <c r="Y322" s="1">
        <f t="shared" si="66"/>
        <v>0.86533761949593602</v>
      </c>
      <c r="Z322" s="1">
        <f t="shared" si="67"/>
        <v>2.5219417308196858E-2</v>
      </c>
      <c r="AA322" s="1">
        <f t="shared" si="68"/>
        <v>34.312355790023844</v>
      </c>
      <c r="AC322" s="146">
        <f t="shared" si="64"/>
        <v>-2.3200000000000047</v>
      </c>
      <c r="AD322" s="147">
        <v>-4.3761850473451915E-2</v>
      </c>
      <c r="AE322" s="1">
        <f t="shared" si="69"/>
        <v>-12882.781408728431</v>
      </c>
      <c r="AH322" s="150">
        <f t="shared" ref="AH322:AH385" si="70">AH321+$AI$2</f>
        <v>6.3199999999999532</v>
      </c>
      <c r="AI322" s="147">
        <v>0.81984135078838871</v>
      </c>
      <c r="AJ322" s="1">
        <f t="shared" si="60"/>
        <v>241348.04167960829</v>
      </c>
    </row>
    <row r="323" spans="20:36">
      <c r="T323" s="140">
        <f t="shared" si="63"/>
        <v>5.8499999999999952</v>
      </c>
      <c r="U323" s="140">
        <v>1.0059612300489651</v>
      </c>
      <c r="V323" s="140">
        <v>1.7910259756405835E-2</v>
      </c>
      <c r="W323" s="1">
        <f t="shared" si="56"/>
        <v>-0.15358471344171015</v>
      </c>
      <c r="X323" s="1">
        <f t="shared" si="65"/>
        <v>-13.989999999999913</v>
      </c>
      <c r="Y323" s="1">
        <f t="shared" si="66"/>
        <v>0.87028677636366081</v>
      </c>
      <c r="Z323" s="1">
        <f t="shared" si="67"/>
        <v>2.5392782760592529E-2</v>
      </c>
      <c r="AA323" s="1">
        <f t="shared" si="68"/>
        <v>34.272997353967561</v>
      </c>
      <c r="AC323" s="146">
        <f t="shared" si="64"/>
        <v>-2.3400000000000047</v>
      </c>
      <c r="AD323" s="147">
        <v>-4.41391078051196E-2</v>
      </c>
      <c r="AE323" s="1">
        <f t="shared" si="69"/>
        <v>-12993.839869148504</v>
      </c>
      <c r="AH323" s="150">
        <f t="shared" si="70"/>
        <v>6.3399999999999528</v>
      </c>
      <c r="AI323" s="147">
        <v>0.82207033137833552</v>
      </c>
      <c r="AJ323" s="1">
        <f t="shared" si="60"/>
        <v>242004.21753583732</v>
      </c>
    </row>
    <row r="324" spans="20:36">
      <c r="T324" s="140">
        <f t="shared" si="63"/>
        <v>5.899999999999995</v>
      </c>
      <c r="U324" s="140">
        <v>1.0115336815238325</v>
      </c>
      <c r="V324" s="140">
        <v>1.8063338899622975E-2</v>
      </c>
      <c r="W324" s="1">
        <f t="shared" si="56"/>
        <v>-0.15436108719206978</v>
      </c>
      <c r="X324" s="1">
        <f t="shared" si="65"/>
        <v>-14.079999999999913</v>
      </c>
      <c r="Y324" s="1">
        <f t="shared" si="66"/>
        <v>0.87523593323138571</v>
      </c>
      <c r="Z324" s="1">
        <f t="shared" si="67"/>
        <v>2.5567216023000362E-2</v>
      </c>
      <c r="AA324" s="1">
        <f t="shared" si="68"/>
        <v>34.232742917493255</v>
      </c>
      <c r="AC324" s="146">
        <f t="shared" si="64"/>
        <v>-2.3600000000000048</v>
      </c>
      <c r="AD324" s="147">
        <v>-4.4516365136787292E-2</v>
      </c>
      <c r="AE324" s="1">
        <f t="shared" si="69"/>
        <v>-13104.898329568579</v>
      </c>
      <c r="AH324" s="150">
        <f t="shared" si="70"/>
        <v>6.3599999999999524</v>
      </c>
      <c r="AI324" s="147">
        <v>0.82429931196828254</v>
      </c>
      <c r="AJ324" s="1">
        <f t="shared" si="60"/>
        <v>242660.39339206635</v>
      </c>
    </row>
    <row r="325" spans="20:36">
      <c r="T325" s="140">
        <f t="shared" si="63"/>
        <v>5.9499999999999948</v>
      </c>
      <c r="U325" s="140">
        <v>1.0171061329987001</v>
      </c>
      <c r="V325" s="140">
        <v>1.8216418042840118E-2</v>
      </c>
      <c r="W325" s="1">
        <f t="shared" ref="W325:W388" si="71">((V325*(x_cdg_avion-x_foyer_fus))-(U325*(-x_foyer_voil+x_cdg_avion))+(Cm_voil*CMA_voil)-((N*FUtile*(DFus+DMoteur)/2)/(0.5*rho*V^2*SRef)))/(x_foyer_emp-x_cdg_avion)</f>
        <v>-0.15513746094242942</v>
      </c>
      <c r="X325" s="1">
        <f t="shared" si="65"/>
        <v>-14.169999999999913</v>
      </c>
      <c r="Y325" s="1">
        <f t="shared" si="66"/>
        <v>0.88018509009911083</v>
      </c>
      <c r="Z325" s="1">
        <f t="shared" si="67"/>
        <v>2.5742717095420357E-2</v>
      </c>
      <c r="AA325" s="1">
        <f t="shared" si="68"/>
        <v>34.191615703833229</v>
      </c>
      <c r="AC325" s="146">
        <f t="shared" si="64"/>
        <v>-2.3800000000000048</v>
      </c>
      <c r="AD325" s="147">
        <v>-4.4893622468454977E-2</v>
      </c>
      <c r="AE325" s="1">
        <f t="shared" si="69"/>
        <v>-13215.95678998865</v>
      </c>
      <c r="AH325" s="150">
        <f t="shared" si="70"/>
        <v>6.3799999999999519</v>
      </c>
      <c r="AI325" s="147">
        <v>0.82652829255822935</v>
      </c>
      <c r="AJ325" s="1">
        <f t="shared" si="60"/>
        <v>243316.56924829536</v>
      </c>
    </row>
    <row r="326" spans="20:36">
      <c r="T326" s="140">
        <f t="shared" si="63"/>
        <v>5.9999999999999947</v>
      </c>
      <c r="U326" s="140">
        <v>1.0226785844735675</v>
      </c>
      <c r="V326" s="140">
        <v>1.8369497186057262E-2</v>
      </c>
      <c r="W326" s="1">
        <f t="shared" si="71"/>
        <v>-0.15591383469278905</v>
      </c>
      <c r="X326" s="1">
        <f t="shared" si="65"/>
        <v>-14.259999999999911</v>
      </c>
      <c r="Y326" s="1">
        <f t="shared" si="66"/>
        <v>0.88513424696683574</v>
      </c>
      <c r="Z326" s="1">
        <f t="shared" si="67"/>
        <v>2.5919285977852511E-2</v>
      </c>
      <c r="AA326" s="1">
        <f t="shared" si="68"/>
        <v>34.14963852488701</v>
      </c>
      <c r="AC326" s="146">
        <f t="shared" si="64"/>
        <v>-2.4000000000000048</v>
      </c>
      <c r="AD326" s="147">
        <v>-4.5270879800122669E-2</v>
      </c>
      <c r="AE326" s="1">
        <f t="shared" si="69"/>
        <v>-13327.015250408722</v>
      </c>
      <c r="AH326" s="150">
        <f t="shared" si="70"/>
        <v>6.3999999999999515</v>
      </c>
      <c r="AI326" s="147">
        <v>0.82875727314817638</v>
      </c>
      <c r="AJ326" s="1">
        <f t="shared" ref="AJ326:AJ389" si="72">AI326*0.5*rho*V^2*SRef</f>
        <v>243972.74510452448</v>
      </c>
    </row>
    <row r="327" spans="20:36">
      <c r="T327" s="140">
        <f t="shared" si="63"/>
        <v>6.0499999999999945</v>
      </c>
      <c r="U327" s="140">
        <v>1.0282510359484347</v>
      </c>
      <c r="V327" s="140">
        <v>1.8522576329274405E-2</v>
      </c>
      <c r="W327" s="1">
        <f t="shared" si="71"/>
        <v>-0.15669020844314868</v>
      </c>
      <c r="X327" s="1">
        <f t="shared" si="65"/>
        <v>-14.349999999999909</v>
      </c>
      <c r="Y327" s="1">
        <f t="shared" si="66"/>
        <v>0.89008340383456042</v>
      </c>
      <c r="Z327" s="1">
        <f t="shared" si="67"/>
        <v>2.6096922670296813E-2</v>
      </c>
      <c r="AA327" s="1">
        <f t="shared" si="68"/>
        <v>34.106833785718422</v>
      </c>
      <c r="AC327" s="146">
        <f t="shared" si="64"/>
        <v>-2.4200000000000048</v>
      </c>
      <c r="AD327" s="147">
        <v>-4.5648137131790362E-2</v>
      </c>
      <c r="AE327" s="1">
        <f t="shared" si="69"/>
        <v>-13438.073710828799</v>
      </c>
      <c r="AH327" s="150">
        <f t="shared" si="70"/>
        <v>6.4199999999999511</v>
      </c>
      <c r="AI327" s="147">
        <v>0.83098625373812318</v>
      </c>
      <c r="AJ327" s="1">
        <f t="shared" si="72"/>
        <v>244628.92096075352</v>
      </c>
    </row>
    <row r="328" spans="20:36">
      <c r="T328" s="140">
        <f t="shared" si="63"/>
        <v>6.0999999999999943</v>
      </c>
      <c r="U328" s="140">
        <v>1.0338234874233023</v>
      </c>
      <c r="V328" s="140">
        <v>1.8675655472491549E-2</v>
      </c>
      <c r="W328" s="1">
        <f t="shared" si="71"/>
        <v>-0.15746658219350831</v>
      </c>
      <c r="X328" s="1">
        <f t="shared" si="65"/>
        <v>-14.439999999999909</v>
      </c>
      <c r="Y328" s="1">
        <f t="shared" si="66"/>
        <v>0.89503256070228565</v>
      </c>
      <c r="Z328" s="1">
        <f t="shared" si="67"/>
        <v>2.6275627172753287E-2</v>
      </c>
      <c r="AA328" s="1">
        <f t="shared" si="68"/>
        <v>34.063223489119856</v>
      </c>
      <c r="AC328" s="146">
        <f t="shared" si="64"/>
        <v>-2.4400000000000048</v>
      </c>
      <c r="AD328" s="147">
        <v>-4.6025394463458047E-2</v>
      </c>
      <c r="AE328" s="1">
        <f t="shared" si="69"/>
        <v>-13549.132171248868</v>
      </c>
      <c r="AH328" s="150">
        <f t="shared" si="70"/>
        <v>6.4399999999999507</v>
      </c>
      <c r="AI328" s="147">
        <v>0.83321523432807021</v>
      </c>
      <c r="AJ328" s="1">
        <f t="shared" si="72"/>
        <v>245285.09681698255</v>
      </c>
    </row>
    <row r="329" spans="20:36">
      <c r="T329" s="140">
        <f t="shared" si="63"/>
        <v>6.1499999999999941</v>
      </c>
      <c r="U329" s="140">
        <v>1.0393959388981697</v>
      </c>
      <c r="V329" s="140">
        <v>1.8828734615708692E-2</v>
      </c>
      <c r="W329" s="1">
        <f t="shared" si="71"/>
        <v>-0.15824295594386795</v>
      </c>
      <c r="X329" s="1">
        <f t="shared" si="65"/>
        <v>-14.529999999999909</v>
      </c>
      <c r="Y329" s="1">
        <f t="shared" si="66"/>
        <v>0.89998171757001055</v>
      </c>
      <c r="Z329" s="1">
        <f t="shared" si="67"/>
        <v>2.6455399485221919E-2</v>
      </c>
      <c r="AA329" s="1">
        <f t="shared" si="68"/>
        <v>34.018829240236705</v>
      </c>
      <c r="AC329" s="146">
        <f t="shared" si="64"/>
        <v>-2.4600000000000048</v>
      </c>
      <c r="AD329" s="147">
        <v>-4.6402651795125732E-2</v>
      </c>
      <c r="AE329" s="1">
        <f t="shared" si="69"/>
        <v>-13660.190631668938</v>
      </c>
      <c r="AH329" s="150">
        <f t="shared" si="70"/>
        <v>6.4599999999999502</v>
      </c>
      <c r="AI329" s="147">
        <v>0.83544421491801701</v>
      </c>
      <c r="AJ329" s="1">
        <f t="shared" si="72"/>
        <v>245941.27267321156</v>
      </c>
    </row>
    <row r="330" spans="20:36">
      <c r="T330" s="140">
        <f t="shared" si="63"/>
        <v>6.199999999999994</v>
      </c>
      <c r="U330" s="140">
        <v>1.0449683903730371</v>
      </c>
      <c r="V330" s="140">
        <v>1.8981813758925839E-2</v>
      </c>
      <c r="W330" s="1">
        <f t="shared" si="71"/>
        <v>-0.15901932969422755</v>
      </c>
      <c r="X330" s="1">
        <f t="shared" si="65"/>
        <v>-14.619999999999907</v>
      </c>
      <c r="Y330" s="1">
        <f t="shared" si="66"/>
        <v>0.90493087443773557</v>
      </c>
      <c r="Z330" s="1">
        <f t="shared" si="67"/>
        <v>2.6636239607702693E-2</v>
      </c>
      <c r="AA330" s="1">
        <f t="shared" si="68"/>
        <v>33.97367225124551</v>
      </c>
      <c r="AC330" s="146">
        <f t="shared" si="64"/>
        <v>-2.4800000000000049</v>
      </c>
      <c r="AD330" s="147">
        <v>-4.6779909126793418E-2</v>
      </c>
      <c r="AE330" s="1">
        <f t="shared" si="69"/>
        <v>-13771.249092089012</v>
      </c>
      <c r="AH330" s="150">
        <f t="shared" si="70"/>
        <v>6.4799999999999498</v>
      </c>
      <c r="AI330" s="147">
        <v>0.83767319550796404</v>
      </c>
      <c r="AJ330" s="1">
        <f t="shared" si="72"/>
        <v>246597.44852944065</v>
      </c>
    </row>
    <row r="331" spans="20:36">
      <c r="T331" s="140">
        <f t="shared" si="63"/>
        <v>6.2499999999999938</v>
      </c>
      <c r="U331" s="140">
        <v>1.0505408418479043</v>
      </c>
      <c r="V331" s="140">
        <v>1.9134892902142979E-2</v>
      </c>
      <c r="W331" s="1">
        <f t="shared" si="71"/>
        <v>-0.15979570344458716</v>
      </c>
      <c r="X331" s="1">
        <f t="shared" si="65"/>
        <v>-14.709999999999905</v>
      </c>
      <c r="Y331" s="1">
        <f t="shared" si="66"/>
        <v>0.90988003130546002</v>
      </c>
      <c r="Z331" s="1">
        <f t="shared" si="67"/>
        <v>2.6818147540195632E-2</v>
      </c>
      <c r="AA331" s="1">
        <f t="shared" si="68"/>
        <v>33.927773346078872</v>
      </c>
      <c r="AC331" s="146">
        <f t="shared" si="64"/>
        <v>-2.5000000000000049</v>
      </c>
      <c r="AD331" s="147">
        <v>-4.7157166458461117E-2</v>
      </c>
      <c r="AE331" s="1">
        <f t="shared" si="69"/>
        <v>-13882.307552509088</v>
      </c>
      <c r="AH331" s="150">
        <f t="shared" si="70"/>
        <v>6.4999999999999494</v>
      </c>
      <c r="AI331" s="147">
        <v>0.83990217609791085</v>
      </c>
      <c r="AJ331" s="1">
        <f t="shared" si="72"/>
        <v>247253.62438566965</v>
      </c>
    </row>
    <row r="332" spans="20:36">
      <c r="T332" s="140">
        <f t="shared" si="63"/>
        <v>6.2999999999999936</v>
      </c>
      <c r="U332" s="140">
        <v>1.0561132933227717</v>
      </c>
      <c r="V332" s="140">
        <v>1.9287972045360122E-2</v>
      </c>
      <c r="W332" s="1">
        <f t="shared" si="71"/>
        <v>-0.16057207719494676</v>
      </c>
      <c r="X332" s="1">
        <f t="shared" si="65"/>
        <v>-14.799999999999905</v>
      </c>
      <c r="Y332" s="1">
        <f t="shared" si="66"/>
        <v>0.91482918817318493</v>
      </c>
      <c r="Z332" s="1">
        <f t="shared" si="67"/>
        <v>2.7001123282700729E-2</v>
      </c>
      <c r="AA332" s="1">
        <f t="shared" si="68"/>
        <v>33.881152965191788</v>
      </c>
      <c r="AC332" s="146">
        <f t="shared" si="64"/>
        <v>-2.5200000000000049</v>
      </c>
      <c r="AD332" s="147">
        <v>-4.7534423790128802E-2</v>
      </c>
      <c r="AE332" s="1">
        <f t="shared" si="69"/>
        <v>-13993.366012929157</v>
      </c>
      <c r="AH332" s="150">
        <f t="shared" si="70"/>
        <v>6.5199999999999489</v>
      </c>
      <c r="AI332" s="147">
        <v>0.84213115668785787</v>
      </c>
      <c r="AJ332" s="1">
        <f t="shared" si="72"/>
        <v>247909.80024189875</v>
      </c>
    </row>
    <row r="333" spans="20:36">
      <c r="T333" s="140">
        <f t="shared" si="63"/>
        <v>6.3499999999999934</v>
      </c>
      <c r="U333" s="140">
        <v>1.0616857447976393</v>
      </c>
      <c r="V333" s="140">
        <v>1.9441051188577269E-2</v>
      </c>
      <c r="W333" s="1">
        <f t="shared" si="71"/>
        <v>-0.16134845094530645</v>
      </c>
      <c r="X333" s="1">
        <f t="shared" si="65"/>
        <v>-14.889999999999905</v>
      </c>
      <c r="Y333" s="1">
        <f t="shared" si="66"/>
        <v>0.91977834504091005</v>
      </c>
      <c r="Z333" s="1">
        <f t="shared" si="67"/>
        <v>2.7185166835217996E-2</v>
      </c>
      <c r="AA333" s="1">
        <f t="shared" si="68"/>
        <v>33.833831170362743</v>
      </c>
      <c r="AC333" s="146">
        <f t="shared" si="64"/>
        <v>-2.5400000000000049</v>
      </c>
      <c r="AD333" s="147">
        <v>-4.7911681121796487E-2</v>
      </c>
      <c r="AE333" s="1">
        <f t="shared" si="69"/>
        <v>-14104.424473349231</v>
      </c>
      <c r="AH333" s="150">
        <f t="shared" si="70"/>
        <v>6.5399999999999485</v>
      </c>
      <c r="AI333" s="147">
        <v>0.84436013727780468</v>
      </c>
      <c r="AJ333" s="1">
        <f t="shared" si="72"/>
        <v>248565.97609812775</v>
      </c>
    </row>
    <row r="334" spans="20:36">
      <c r="T334" s="140">
        <f t="shared" si="63"/>
        <v>6.3999999999999932</v>
      </c>
      <c r="U334" s="140">
        <v>1.0672581962725067</v>
      </c>
      <c r="V334" s="140">
        <v>1.9594130331794409E-2</v>
      </c>
      <c r="W334" s="1">
        <f t="shared" si="71"/>
        <v>-0.16212482469566605</v>
      </c>
      <c r="X334" s="1">
        <f t="shared" si="65"/>
        <v>-14.979999999999903</v>
      </c>
      <c r="Y334" s="1">
        <f t="shared" si="66"/>
        <v>0.92472750190863506</v>
      </c>
      <c r="Z334" s="1">
        <f t="shared" si="67"/>
        <v>2.7370278197747414E-2</v>
      </c>
      <c r="AA334" s="1">
        <f t="shared" si="68"/>
        <v>33.785827649524606</v>
      </c>
      <c r="AC334" s="146">
        <f t="shared" si="64"/>
        <v>-2.5600000000000049</v>
      </c>
      <c r="AD334" s="147">
        <v>-4.8288938453464179E-2</v>
      </c>
      <c r="AE334" s="1">
        <f t="shared" si="69"/>
        <v>-14215.482933769305</v>
      </c>
      <c r="AH334" s="150">
        <f t="shared" si="70"/>
        <v>6.5599999999999481</v>
      </c>
      <c r="AI334" s="147">
        <v>0.84658911786775171</v>
      </c>
      <c r="AJ334" s="1">
        <f t="shared" si="72"/>
        <v>249222.15195435681</v>
      </c>
    </row>
    <row r="335" spans="20:36">
      <c r="T335" s="140">
        <f t="shared" si="63"/>
        <v>6.4499999999999931</v>
      </c>
      <c r="U335" s="140">
        <v>1.0728306477473739</v>
      </c>
      <c r="V335" s="140">
        <v>1.9747209475011553E-2</v>
      </c>
      <c r="W335" s="1">
        <f t="shared" si="71"/>
        <v>-0.16290119844602566</v>
      </c>
      <c r="X335" s="1">
        <f t="shared" si="65"/>
        <v>-15.069999999999901</v>
      </c>
      <c r="Y335" s="1">
        <f t="shared" si="66"/>
        <v>0.92967665877635974</v>
      </c>
      <c r="Z335" s="1">
        <f t="shared" si="67"/>
        <v>2.755645737028898E-2</v>
      </c>
      <c r="AA335" s="1">
        <f t="shared" si="68"/>
        <v>33.737161721619749</v>
      </c>
      <c r="AC335" s="146">
        <f t="shared" si="64"/>
        <v>-2.580000000000005</v>
      </c>
      <c r="AD335" s="147">
        <v>-4.8666195785131865E-2</v>
      </c>
      <c r="AE335" s="1">
        <f t="shared" si="69"/>
        <v>-14326.541394189377</v>
      </c>
      <c r="AH335" s="150">
        <f t="shared" si="70"/>
        <v>6.5799999999999477</v>
      </c>
      <c r="AI335" s="147">
        <v>0.84881809845769851</v>
      </c>
      <c r="AJ335" s="1">
        <f t="shared" si="72"/>
        <v>249878.32781058582</v>
      </c>
    </row>
    <row r="336" spans="20:36">
      <c r="T336" s="140">
        <f t="shared" si="63"/>
        <v>6.4999999999999929</v>
      </c>
      <c r="U336" s="140">
        <v>1.0784030992222413</v>
      </c>
      <c r="V336" s="140">
        <v>1.9900288618228699E-2</v>
      </c>
      <c r="W336" s="1">
        <f t="shared" si="71"/>
        <v>-0.16367757219638529</v>
      </c>
      <c r="X336" s="1">
        <f t="shared" si="65"/>
        <v>-15.159999999999901</v>
      </c>
      <c r="Y336" s="1">
        <f t="shared" si="66"/>
        <v>0.93462581564408476</v>
      </c>
      <c r="Z336" s="1">
        <f t="shared" si="67"/>
        <v>2.7743704352842714E-2</v>
      </c>
      <c r="AA336" s="1">
        <f t="shared" si="68"/>
        <v>33.687852341474354</v>
      </c>
      <c r="AC336" s="146">
        <f t="shared" si="64"/>
        <v>-2.600000000000005</v>
      </c>
      <c r="AD336" s="147">
        <v>-4.904345311679955E-2</v>
      </c>
      <c r="AE336" s="1">
        <f t="shared" si="69"/>
        <v>-14437.599854609447</v>
      </c>
      <c r="AH336" s="150">
        <f t="shared" si="70"/>
        <v>6.5999999999999472</v>
      </c>
      <c r="AI336" s="147">
        <v>0.85104707904764554</v>
      </c>
      <c r="AJ336" s="1">
        <f t="shared" si="72"/>
        <v>250534.50366681491</v>
      </c>
    </row>
    <row r="337" spans="20:36">
      <c r="T337" s="140">
        <f t="shared" si="63"/>
        <v>6.5499999999999927</v>
      </c>
      <c r="U337" s="140">
        <v>1.0839755506971089</v>
      </c>
      <c r="V337" s="140">
        <v>2.0053367761445839E-2</v>
      </c>
      <c r="W337" s="1">
        <f t="shared" si="71"/>
        <v>-0.16445394594674492</v>
      </c>
      <c r="X337" s="1">
        <f t="shared" si="65"/>
        <v>-15.249999999999901</v>
      </c>
      <c r="Y337" s="1">
        <f t="shared" si="66"/>
        <v>0.93957497251180988</v>
      </c>
      <c r="Z337" s="1">
        <f t="shared" si="67"/>
        <v>2.7932019145408608E-2</v>
      </c>
      <c r="AA337" s="1">
        <f t="shared" si="68"/>
        <v>33.637918104687209</v>
      </c>
      <c r="AC337" s="146">
        <f t="shared" si="64"/>
        <v>-2.620000000000005</v>
      </c>
      <c r="AD337" s="147">
        <v>-4.9420710448467242E-2</v>
      </c>
      <c r="AE337" s="1">
        <f t="shared" si="69"/>
        <v>-14548.658315029519</v>
      </c>
      <c r="AH337" s="150">
        <f t="shared" si="70"/>
        <v>6.6199999999999468</v>
      </c>
      <c r="AI337" s="147">
        <v>0.85327605963759234</v>
      </c>
      <c r="AJ337" s="1">
        <f t="shared" si="72"/>
        <v>251190.67952304392</v>
      </c>
    </row>
    <row r="338" spans="20:36">
      <c r="T338" s="140">
        <f t="shared" si="63"/>
        <v>6.5999999999999925</v>
      </c>
      <c r="U338" s="140">
        <v>1.0895480021719763</v>
      </c>
      <c r="V338" s="140">
        <v>2.0206446904662983E-2</v>
      </c>
      <c r="W338" s="1">
        <f t="shared" si="71"/>
        <v>-0.16523031969710456</v>
      </c>
      <c r="X338" s="1">
        <f t="shared" si="65"/>
        <v>-15.339999999999899</v>
      </c>
      <c r="Y338" s="1">
        <f t="shared" si="66"/>
        <v>0.94452412937953478</v>
      </c>
      <c r="Z338" s="1">
        <f t="shared" si="67"/>
        <v>2.8121401747986659E-2</v>
      </c>
      <c r="AA338" s="1">
        <f t="shared" si="68"/>
        <v>33.587377252528235</v>
      </c>
      <c r="AC338" s="146">
        <f t="shared" si="64"/>
        <v>-2.640000000000005</v>
      </c>
      <c r="AD338" s="147">
        <v>-4.9797967780134934E-2</v>
      </c>
      <c r="AE338" s="1">
        <f t="shared" si="69"/>
        <v>-14659.716775449595</v>
      </c>
      <c r="AH338" s="150">
        <f t="shared" si="70"/>
        <v>6.6399999999999464</v>
      </c>
      <c r="AI338" s="147">
        <v>0.85550504022753937</v>
      </c>
      <c r="AJ338" s="1">
        <f t="shared" si="72"/>
        <v>251846.85537927298</v>
      </c>
    </row>
    <row r="339" spans="20:36">
      <c r="T339" s="140">
        <f t="shared" si="63"/>
        <v>6.6499999999999924</v>
      </c>
      <c r="U339" s="140">
        <v>1.0951204536468435</v>
      </c>
      <c r="V339" s="140">
        <v>2.035952604788013E-2</v>
      </c>
      <c r="W339" s="1">
        <f t="shared" si="71"/>
        <v>-0.16600669344746416</v>
      </c>
      <c r="X339" s="1">
        <f t="shared" si="65"/>
        <v>-15.449999999999896</v>
      </c>
      <c r="Y339" s="1">
        <f t="shared" si="66"/>
        <v>0.94947328624725946</v>
      </c>
      <c r="Z339" s="1">
        <f t="shared" si="67"/>
        <v>2.8311852160576856E-2</v>
      </c>
      <c r="AA339" s="1">
        <f t="shared" si="68"/>
        <v>33.536247676842699</v>
      </c>
      <c r="AC339" s="146">
        <f t="shared" si="64"/>
        <v>-2.660000000000005</v>
      </c>
      <c r="AD339" s="147">
        <v>-5.017522511180262E-2</v>
      </c>
      <c r="AE339" s="1">
        <f t="shared" si="69"/>
        <v>-14770.775235869665</v>
      </c>
      <c r="AH339" s="150">
        <f t="shared" si="70"/>
        <v>6.659999999999946</v>
      </c>
      <c r="AI339" s="147">
        <v>0.85773402081748618</v>
      </c>
      <c r="AJ339" s="1">
        <f t="shared" si="72"/>
        <v>252503.03123550199</v>
      </c>
    </row>
    <row r="340" spans="20:36">
      <c r="T340" s="140">
        <f t="shared" si="63"/>
        <v>6.6999999999999922</v>
      </c>
      <c r="U340" s="140">
        <v>1.1006929051217111</v>
      </c>
      <c r="V340" s="140">
        <v>2.051260519109727E-2</v>
      </c>
      <c r="W340" s="1">
        <f t="shared" si="71"/>
        <v>-0.16678306719782379</v>
      </c>
      <c r="X340" s="1">
        <f t="shared" si="65"/>
        <v>-15.539999999999896</v>
      </c>
      <c r="Y340" s="1">
        <f t="shared" si="66"/>
        <v>0.9544224431149847</v>
      </c>
      <c r="Z340" s="1">
        <f t="shared" si="67"/>
        <v>2.8503370383179228E-2</v>
      </c>
      <c r="AA340" s="1">
        <f t="shared" si="68"/>
        <v>33.484546924956661</v>
      </c>
      <c r="AC340" s="146">
        <f t="shared" si="64"/>
        <v>-2.680000000000005</v>
      </c>
      <c r="AD340" s="147">
        <v>-5.0552482443470305E-2</v>
      </c>
      <c r="AE340" s="1">
        <f t="shared" si="69"/>
        <v>-14881.833696289737</v>
      </c>
      <c r="AH340" s="150">
        <f t="shared" si="70"/>
        <v>6.6799999999999455</v>
      </c>
      <c r="AI340" s="147">
        <v>0.8599630014074332</v>
      </c>
      <c r="AJ340" s="1">
        <f t="shared" si="72"/>
        <v>253159.20709173111</v>
      </c>
    </row>
    <row r="341" spans="20:36">
      <c r="T341" s="140">
        <f t="shared" si="63"/>
        <v>6.749999999999992</v>
      </c>
      <c r="U341" s="140">
        <v>1.1062653565965785</v>
      </c>
      <c r="V341" s="140">
        <v>2.0665684334314413E-2</v>
      </c>
      <c r="W341" s="1">
        <f t="shared" si="71"/>
        <v>-0.16755944094818342</v>
      </c>
      <c r="X341" s="1">
        <f t="shared" si="65"/>
        <v>-15.629999999999896</v>
      </c>
      <c r="Y341" s="1">
        <f t="shared" si="66"/>
        <v>0.9593715999827096</v>
      </c>
      <c r="Z341" s="1">
        <f t="shared" si="67"/>
        <v>2.8695956415793748E-2</v>
      </c>
      <c r="AA341" s="1">
        <f t="shared" si="68"/>
        <v>33.43229220458003</v>
      </c>
      <c r="AC341" s="146">
        <f t="shared" si="64"/>
        <v>-2.7000000000000051</v>
      </c>
      <c r="AD341" s="147">
        <v>-5.0929739775137997E-2</v>
      </c>
      <c r="AE341" s="1">
        <f t="shared" si="69"/>
        <v>-14992.892156709813</v>
      </c>
      <c r="AH341" s="150">
        <f t="shared" si="70"/>
        <v>6.6999999999999451</v>
      </c>
      <c r="AI341" s="147">
        <v>0.86219198199738001</v>
      </c>
      <c r="AJ341" s="1">
        <f t="shared" si="72"/>
        <v>253815.38294796011</v>
      </c>
    </row>
    <row r="342" spans="20:36">
      <c r="T342" s="140">
        <f t="shared" si="63"/>
        <v>6.7999999999999918</v>
      </c>
      <c r="U342" s="140">
        <v>1.1118378080714462</v>
      </c>
      <c r="V342" s="140">
        <v>2.081876347753156E-2</v>
      </c>
      <c r="W342" s="1">
        <f t="shared" si="71"/>
        <v>-0.16833581469854308</v>
      </c>
      <c r="X342" s="1">
        <f t="shared" si="65"/>
        <v>-15.719999999999894</v>
      </c>
      <c r="Y342" s="1">
        <f t="shared" si="66"/>
        <v>0.96432075685043472</v>
      </c>
      <c r="Z342" s="1">
        <f t="shared" si="67"/>
        <v>2.888961025842043E-2</v>
      </c>
      <c r="AA342" s="1">
        <f t="shared" si="68"/>
        <v>33.379500388703406</v>
      </c>
      <c r="AC342" s="146">
        <f t="shared" si="64"/>
        <v>-2.7200000000000051</v>
      </c>
      <c r="AD342" s="147">
        <v>-5.1306997106805682E-2</v>
      </c>
      <c r="AE342" s="1">
        <f t="shared" si="69"/>
        <v>-15103.950617129884</v>
      </c>
      <c r="AH342" s="150">
        <f t="shared" si="70"/>
        <v>6.7199999999999447</v>
      </c>
      <c r="AI342" s="147">
        <v>0.86442096258732704</v>
      </c>
      <c r="AJ342" s="1">
        <f t="shared" si="72"/>
        <v>254471.55880418918</v>
      </c>
    </row>
    <row r="343" spans="20:36">
      <c r="T343" s="140">
        <f t="shared" si="63"/>
        <v>6.8499999999999917</v>
      </c>
      <c r="U343" s="140">
        <v>1.1174102595463131</v>
      </c>
      <c r="V343" s="140">
        <v>2.0971842620748703E-2</v>
      </c>
      <c r="W343" s="1">
        <f t="shared" si="71"/>
        <v>-0.16911218844890263</v>
      </c>
      <c r="X343" s="1">
        <f t="shared" si="65"/>
        <v>-15.809999999999892</v>
      </c>
      <c r="Y343" s="1">
        <f t="shared" si="66"/>
        <v>0.96926991371815929</v>
      </c>
      <c r="Z343" s="1">
        <f t="shared" si="67"/>
        <v>2.9084331911059261E-2</v>
      </c>
      <c r="AA343" s="1">
        <f t="shared" si="68"/>
        <v>33.326188020485226</v>
      </c>
      <c r="AC343" s="146">
        <f t="shared" si="64"/>
        <v>-2.7400000000000051</v>
      </c>
      <c r="AD343" s="147">
        <v>-5.1684254438473375E-2</v>
      </c>
      <c r="AE343" s="1">
        <f t="shared" si="69"/>
        <v>-15215.009077549956</v>
      </c>
      <c r="AH343" s="150">
        <f t="shared" si="70"/>
        <v>6.7399999999999443</v>
      </c>
      <c r="AI343" s="147">
        <v>0.86664994317727406</v>
      </c>
      <c r="AJ343" s="1">
        <f t="shared" si="72"/>
        <v>255127.73466041824</v>
      </c>
    </row>
    <row r="344" spans="20:36">
      <c r="T344" s="140">
        <f t="shared" si="63"/>
        <v>6.8999999999999915</v>
      </c>
      <c r="U344" s="140">
        <v>1.1229827110211805</v>
      </c>
      <c r="V344" s="140">
        <v>2.1124921763965843E-2</v>
      </c>
      <c r="W344" s="1">
        <f t="shared" si="71"/>
        <v>-0.16988856219926227</v>
      </c>
      <c r="X344" s="1">
        <f t="shared" si="65"/>
        <v>-15.899999999999892</v>
      </c>
      <c r="Y344" s="1">
        <f t="shared" si="66"/>
        <v>0.97421907058588397</v>
      </c>
      <c r="Z344" s="1">
        <f t="shared" si="67"/>
        <v>2.9280121373710263E-2</v>
      </c>
      <c r="AA344" s="1">
        <f t="shared" si="68"/>
        <v>33.272371318125948</v>
      </c>
      <c r="AC344" s="146">
        <f t="shared" si="64"/>
        <v>-2.7600000000000051</v>
      </c>
      <c r="AD344" s="147">
        <v>-5.206151177014106E-2</v>
      </c>
      <c r="AE344" s="1">
        <f t="shared" si="69"/>
        <v>-15326.067537970028</v>
      </c>
      <c r="AH344" s="150">
        <f t="shared" si="70"/>
        <v>6.7599999999999438</v>
      </c>
      <c r="AI344" s="147">
        <v>0.86887892376722087</v>
      </c>
      <c r="AJ344" s="1">
        <f t="shared" si="72"/>
        <v>255783.91051664727</v>
      </c>
    </row>
    <row r="345" spans="20:36">
      <c r="T345" s="140">
        <f t="shared" si="63"/>
        <v>6.9499999999999913</v>
      </c>
      <c r="U345" s="140">
        <v>1.1285551624960481</v>
      </c>
      <c r="V345" s="140">
        <v>2.127800090718299E-2</v>
      </c>
      <c r="W345" s="1">
        <f t="shared" si="71"/>
        <v>-0.17066493594962193</v>
      </c>
      <c r="X345" s="1">
        <f t="shared" si="65"/>
        <v>-15.989999999999892</v>
      </c>
      <c r="Y345" s="1">
        <f t="shared" si="66"/>
        <v>0.9791682274536091</v>
      </c>
      <c r="Z345" s="1">
        <f t="shared" si="67"/>
        <v>2.9476978646373417E-2</v>
      </c>
      <c r="AA345" s="1">
        <f t="shared" si="68"/>
        <v>33.218066179726229</v>
      </c>
      <c r="AC345" s="146">
        <f t="shared" si="64"/>
        <v>-2.7800000000000051</v>
      </c>
      <c r="AD345" s="147">
        <v>-5.2438769101808752E-2</v>
      </c>
      <c r="AE345" s="1">
        <f t="shared" si="69"/>
        <v>-15437.125998390102</v>
      </c>
      <c r="AH345" s="150">
        <f t="shared" si="70"/>
        <v>6.7799999999999434</v>
      </c>
      <c r="AI345" s="147">
        <v>0.87110790435716789</v>
      </c>
      <c r="AJ345" s="1">
        <f t="shared" si="72"/>
        <v>256440.08637287634</v>
      </c>
    </row>
    <row r="346" spans="20:36">
      <c r="T346" s="140">
        <f t="shared" si="63"/>
        <v>6.9999999999999911</v>
      </c>
      <c r="U346" s="140">
        <v>1.1341276139709155</v>
      </c>
      <c r="V346" s="140">
        <v>2.1431080050400134E-2</v>
      </c>
      <c r="W346" s="1">
        <f t="shared" si="71"/>
        <v>-0.17144130969998153</v>
      </c>
      <c r="X346" s="1">
        <f t="shared" si="65"/>
        <v>-16.079999999999892</v>
      </c>
      <c r="Y346" s="1">
        <f t="shared" si="66"/>
        <v>0.98411738432133411</v>
      </c>
      <c r="Z346" s="1">
        <f t="shared" si="67"/>
        <v>2.9674903729048734E-2</v>
      </c>
      <c r="AA346" s="1">
        <f t="shared" si="68"/>
        <v>33.163288188125868</v>
      </c>
      <c r="AC346" s="146">
        <f t="shared" si="64"/>
        <v>-2.8000000000000052</v>
      </c>
      <c r="AD346" s="147">
        <v>-5.2816026433476437E-2</v>
      </c>
      <c r="AE346" s="1">
        <f t="shared" si="69"/>
        <v>-15548.184458810176</v>
      </c>
      <c r="AH346" s="150">
        <f t="shared" si="70"/>
        <v>6.799999999999943</v>
      </c>
      <c r="AI346" s="147">
        <v>0.8733368849471147</v>
      </c>
      <c r="AJ346" s="1">
        <f t="shared" si="72"/>
        <v>257096.26222910534</v>
      </c>
    </row>
    <row r="347" spans="20:36">
      <c r="T347" s="140">
        <f t="shared" si="63"/>
        <v>7.0499999999999909</v>
      </c>
      <c r="U347" s="140">
        <v>1.1397000654457827</v>
      </c>
      <c r="V347" s="140">
        <v>2.1584159193617274E-2</v>
      </c>
      <c r="W347" s="1">
        <f t="shared" si="71"/>
        <v>-0.17221768345034114</v>
      </c>
      <c r="X347" s="1">
        <f t="shared" si="65"/>
        <v>-16.169999999999888</v>
      </c>
      <c r="Y347" s="1">
        <f t="shared" si="66"/>
        <v>0.98906654118905879</v>
      </c>
      <c r="Z347" s="1">
        <f t="shared" si="67"/>
        <v>2.9873896621736201E-2</v>
      </c>
      <c r="AA347" s="1">
        <f t="shared" si="68"/>
        <v>33.108052615721228</v>
      </c>
      <c r="AC347" s="146">
        <f t="shared" si="64"/>
        <v>-2.8200000000000052</v>
      </c>
      <c r="AD347" s="147">
        <v>-5.3193283765144123E-2</v>
      </c>
      <c r="AE347" s="1">
        <f t="shared" si="69"/>
        <v>-15659.242919230246</v>
      </c>
      <c r="AH347" s="150">
        <f t="shared" si="70"/>
        <v>6.8199999999999426</v>
      </c>
      <c r="AI347" s="147">
        <v>0.87556586553706173</v>
      </c>
      <c r="AJ347" s="1">
        <f t="shared" si="72"/>
        <v>257752.4380853344</v>
      </c>
    </row>
    <row r="348" spans="20:36">
      <c r="T348" s="140">
        <f t="shared" si="63"/>
        <v>7.0999999999999908</v>
      </c>
      <c r="U348" s="140">
        <v>1.1452725169206501</v>
      </c>
      <c r="V348" s="140">
        <v>2.173723833683442E-2</v>
      </c>
      <c r="W348" s="1">
        <f t="shared" si="71"/>
        <v>-0.17299405720070077</v>
      </c>
      <c r="X348" s="1">
        <f t="shared" si="65"/>
        <v>-16.259999999999888</v>
      </c>
      <c r="Y348" s="1">
        <f t="shared" si="66"/>
        <v>0.9940156980567838</v>
      </c>
      <c r="Z348" s="1">
        <f t="shared" si="67"/>
        <v>3.0073957324435831E-2</v>
      </c>
      <c r="AA348" s="1">
        <f t="shared" si="68"/>
        <v>33.052374429258151</v>
      </c>
      <c r="AC348" s="146">
        <f t="shared" si="64"/>
        <v>-2.8400000000000052</v>
      </c>
      <c r="AD348" s="147">
        <v>-5.3570541096811822E-2</v>
      </c>
      <c r="AE348" s="1">
        <f t="shared" si="69"/>
        <v>-15770.301379650322</v>
      </c>
      <c r="AH348" s="150">
        <f t="shared" si="70"/>
        <v>6.8399999999999421</v>
      </c>
      <c r="AI348" s="147">
        <v>0.87779484612700853</v>
      </c>
      <c r="AJ348" s="1">
        <f t="shared" si="72"/>
        <v>258408.61394156341</v>
      </c>
    </row>
    <row r="349" spans="20:36">
      <c r="T349" s="140">
        <f t="shared" si="63"/>
        <v>7.1499999999999906</v>
      </c>
      <c r="U349" s="140">
        <v>1.1508449683955178</v>
      </c>
      <c r="V349" s="140">
        <v>2.1890317480051564E-2</v>
      </c>
      <c r="W349" s="1">
        <f t="shared" si="71"/>
        <v>-0.17377043095106043</v>
      </c>
      <c r="X349" s="1">
        <f t="shared" si="65"/>
        <v>-16.349999999999888</v>
      </c>
      <c r="Y349" s="1">
        <f t="shared" si="66"/>
        <v>0.99896485492450893</v>
      </c>
      <c r="Z349" s="1">
        <f t="shared" si="67"/>
        <v>3.0275085837147622E-2</v>
      </c>
      <c r="AA349" s="1">
        <f t="shared" si="68"/>
        <v>32.99626829459806</v>
      </c>
      <c r="AC349" s="146">
        <f t="shared" si="64"/>
        <v>-2.8600000000000052</v>
      </c>
      <c r="AD349" s="147">
        <v>-5.3947798428479507E-2</v>
      </c>
      <c r="AE349" s="1">
        <f t="shared" si="69"/>
        <v>-15881.35984007039</v>
      </c>
      <c r="AH349" s="150">
        <f t="shared" si="70"/>
        <v>6.8599999999999417</v>
      </c>
      <c r="AI349" s="147">
        <v>0.88002382671695556</v>
      </c>
      <c r="AJ349" s="1">
        <f t="shared" si="72"/>
        <v>259064.7897977925</v>
      </c>
    </row>
    <row r="350" spans="20:36">
      <c r="T350" s="140">
        <f t="shared" si="63"/>
        <v>7.1999999999999904</v>
      </c>
      <c r="U350" s="140">
        <v>1.1564174198703852</v>
      </c>
      <c r="V350" s="140">
        <v>2.2043396623268707E-2</v>
      </c>
      <c r="W350" s="1">
        <f t="shared" si="71"/>
        <v>-0.17454680470142006</v>
      </c>
      <c r="X350" s="1">
        <f t="shared" si="65"/>
        <v>-16.439999999999884</v>
      </c>
      <c r="Y350" s="1">
        <f t="shared" si="66"/>
        <v>1.0039140117922338</v>
      </c>
      <c r="Z350" s="1">
        <f t="shared" si="67"/>
        <v>3.0477282159871565E-2</v>
      </c>
      <c r="AA350" s="1">
        <f t="shared" si="68"/>
        <v>32.939748581455021</v>
      </c>
      <c r="AC350" s="146">
        <f t="shared" si="64"/>
        <v>-2.8800000000000052</v>
      </c>
      <c r="AD350" s="147">
        <v>-5.4325055760147192E-2</v>
      </c>
      <c r="AE350" s="1">
        <f t="shared" si="69"/>
        <v>-15992.418300490464</v>
      </c>
      <c r="AH350" s="150">
        <f t="shared" si="70"/>
        <v>6.8799999999999413</v>
      </c>
      <c r="AI350" s="147">
        <v>0.88225280730690236</v>
      </c>
      <c r="AJ350" s="1">
        <f t="shared" si="72"/>
        <v>259720.96565402151</v>
      </c>
    </row>
    <row r="351" spans="20:36">
      <c r="T351" s="140">
        <f t="shared" si="63"/>
        <v>7.2499999999999902</v>
      </c>
      <c r="U351" s="140">
        <v>1.1619898713452521</v>
      </c>
      <c r="V351" s="140">
        <v>2.2196475766485851E-2</v>
      </c>
      <c r="W351" s="1">
        <f t="shared" si="71"/>
        <v>-0.17532317845177961</v>
      </c>
      <c r="X351" s="1">
        <f t="shared" si="65"/>
        <v>-16.529999999999884</v>
      </c>
      <c r="Y351" s="1">
        <f t="shared" si="66"/>
        <v>1.0088631686599583</v>
      </c>
      <c r="Z351" s="1">
        <f t="shared" si="67"/>
        <v>3.068054629260766E-2</v>
      </c>
      <c r="AA351" s="1">
        <f t="shared" si="68"/>
        <v>32.882829368101547</v>
      </c>
      <c r="AC351" s="146">
        <f t="shared" si="64"/>
        <v>-2.9000000000000052</v>
      </c>
      <c r="AD351" s="147">
        <v>-5.4702313091814878E-2</v>
      </c>
      <c r="AE351" s="1">
        <f t="shared" si="69"/>
        <v>-16103.476760910535</v>
      </c>
      <c r="AH351" s="150">
        <f t="shared" si="70"/>
        <v>6.8999999999999408</v>
      </c>
      <c r="AI351" s="147">
        <v>0.88448178789684939</v>
      </c>
      <c r="AJ351" s="1">
        <f t="shared" si="72"/>
        <v>260377.14151025057</v>
      </c>
    </row>
    <row r="352" spans="20:36">
      <c r="T352" s="140">
        <f t="shared" ref="T352:T415" si="73">T351+$V$2</f>
        <v>7.2999999999999901</v>
      </c>
      <c r="U352" s="140">
        <v>1.1675623228201197</v>
      </c>
      <c r="V352" s="140">
        <v>2.2349554909702991E-2</v>
      </c>
      <c r="W352" s="1">
        <f t="shared" si="71"/>
        <v>-0.17609955220213924</v>
      </c>
      <c r="X352" s="1">
        <f t="shared" si="65"/>
        <v>-16.619999999999884</v>
      </c>
      <c r="Y352" s="1">
        <f t="shared" si="66"/>
        <v>1.0138123255276836</v>
      </c>
      <c r="Z352" s="1">
        <f t="shared" si="67"/>
        <v>3.0884878235355927E-2</v>
      </c>
      <c r="AA352" s="1">
        <f t="shared" si="68"/>
        <v>32.825524446041257</v>
      </c>
      <c r="AC352" s="146">
        <f t="shared" si="64"/>
        <v>-2.9200000000000053</v>
      </c>
      <c r="AD352" s="147">
        <v>-5.507957042348257E-2</v>
      </c>
      <c r="AE352" s="1">
        <f t="shared" si="69"/>
        <v>-16214.535221330611</v>
      </c>
      <c r="AH352" s="150">
        <f t="shared" si="70"/>
        <v>6.9199999999999404</v>
      </c>
      <c r="AI352" s="147">
        <v>0.8867107684867962</v>
      </c>
      <c r="AJ352" s="1">
        <f t="shared" si="72"/>
        <v>261033.31736647958</v>
      </c>
    </row>
    <row r="353" spans="20:36">
      <c r="T353" s="140">
        <f t="shared" si="73"/>
        <v>7.3499999999999899</v>
      </c>
      <c r="U353" s="140">
        <v>1.1731347742949871</v>
      </c>
      <c r="V353" s="140">
        <v>2.2502634052920134E-2</v>
      </c>
      <c r="W353" s="1">
        <f t="shared" si="71"/>
        <v>-0.17687592595249887</v>
      </c>
      <c r="X353" s="1">
        <f t="shared" si="65"/>
        <v>-16.709999999999884</v>
      </c>
      <c r="Y353" s="1">
        <f t="shared" si="66"/>
        <v>1.0187614823954085</v>
      </c>
      <c r="Z353" s="1">
        <f t="shared" si="67"/>
        <v>3.1090277988116345E-2</v>
      </c>
      <c r="AA353" s="1">
        <f t="shared" si="68"/>
        <v>32.767847324646318</v>
      </c>
      <c r="AC353" s="146">
        <f t="shared" si="64"/>
        <v>-2.9400000000000053</v>
      </c>
      <c r="AD353" s="147">
        <v>-5.5456827755150255E-2</v>
      </c>
      <c r="AE353" s="1">
        <f t="shared" si="69"/>
        <v>-16325.593681750681</v>
      </c>
      <c r="AH353" s="150">
        <f t="shared" si="70"/>
        <v>6.93999999999994</v>
      </c>
      <c r="AI353" s="147">
        <v>0.88893974907674322</v>
      </c>
      <c r="AJ353" s="1">
        <f t="shared" si="72"/>
        <v>261689.4932227087</v>
      </c>
    </row>
    <row r="354" spans="20:36">
      <c r="T354" s="140">
        <f t="shared" si="73"/>
        <v>7.3999999999999897</v>
      </c>
      <c r="U354" s="140">
        <v>1.1787072257698548</v>
      </c>
      <c r="V354" s="140">
        <v>2.2655713196137281E-2</v>
      </c>
      <c r="W354" s="1">
        <f t="shared" si="71"/>
        <v>-0.17765229970285853</v>
      </c>
      <c r="X354" s="1">
        <f t="shared" si="65"/>
        <v>-16.799999999999883</v>
      </c>
      <c r="Y354" s="1">
        <f t="shared" si="66"/>
        <v>1.0237106392631337</v>
      </c>
      <c r="Z354" s="1">
        <f t="shared" si="67"/>
        <v>3.1296745550888933E-2</v>
      </c>
      <c r="AA354" s="1">
        <f t="shared" si="68"/>
        <v>32.709811235758245</v>
      </c>
      <c r="AC354" s="146">
        <f t="shared" si="64"/>
        <v>-2.9600000000000053</v>
      </c>
      <c r="AD354" s="147">
        <v>-5.5834085086817947E-2</v>
      </c>
      <c r="AE354" s="1">
        <f t="shared" si="69"/>
        <v>-16436.652142170755</v>
      </c>
      <c r="AH354" s="150">
        <f t="shared" si="70"/>
        <v>6.9599999999999396</v>
      </c>
      <c r="AI354" s="147">
        <v>0.89116872966669003</v>
      </c>
      <c r="AJ354" s="1">
        <f t="shared" si="72"/>
        <v>262345.66907893767</v>
      </c>
    </row>
    <row r="355" spans="20:36">
      <c r="T355" s="140">
        <f t="shared" si="73"/>
        <v>7.4499999999999895</v>
      </c>
      <c r="U355" s="140">
        <v>1.1842796772447219</v>
      </c>
      <c r="V355" s="140">
        <v>2.2808792339354424E-2</v>
      </c>
      <c r="W355" s="1">
        <f t="shared" si="71"/>
        <v>-0.17842867345321811</v>
      </c>
      <c r="X355" s="1">
        <f t="shared" si="65"/>
        <v>-16.88999999999988</v>
      </c>
      <c r="Y355" s="1">
        <f t="shared" si="66"/>
        <v>1.0286597961308583</v>
      </c>
      <c r="Z355" s="1">
        <f t="shared" si="67"/>
        <v>3.1504280923673661E-2</v>
      </c>
      <c r="AA355" s="1">
        <f t="shared" si="68"/>
        <v>32.651429138250208</v>
      </c>
      <c r="AC355" s="146">
        <f t="shared" si="64"/>
        <v>-2.9800000000000053</v>
      </c>
      <c r="AD355" s="147">
        <v>-5.6211342418485639E-2</v>
      </c>
      <c r="AE355" s="1">
        <f t="shared" si="69"/>
        <v>-16547.710602590829</v>
      </c>
      <c r="AH355" s="150">
        <f t="shared" si="70"/>
        <v>6.9799999999999391</v>
      </c>
      <c r="AI355" s="147">
        <v>0.89339771025663706</v>
      </c>
      <c r="AJ355" s="1">
        <f t="shared" si="72"/>
        <v>263001.84493516677</v>
      </c>
    </row>
    <row r="356" spans="20:36">
      <c r="T356" s="140">
        <f t="shared" si="73"/>
        <v>7.4999999999999893</v>
      </c>
      <c r="U356" s="140">
        <v>1.1898521287195893</v>
      </c>
      <c r="V356" s="140">
        <v>2.2961871482571568E-2</v>
      </c>
      <c r="W356" s="1">
        <f t="shared" si="71"/>
        <v>-0.17920504720357774</v>
      </c>
      <c r="X356" s="1">
        <f t="shared" si="65"/>
        <v>-16.999999999999879</v>
      </c>
      <c r="Y356" s="1">
        <f t="shared" si="66"/>
        <v>1.0336089529985832</v>
      </c>
      <c r="Z356" s="1">
        <f t="shared" si="67"/>
        <v>3.1712884106470551E-2</v>
      </c>
      <c r="AA356" s="1">
        <f t="shared" si="68"/>
        <v>32.592713722549455</v>
      </c>
      <c r="AC356" s="146">
        <f t="shared" si="64"/>
        <v>-3.0000000000000053</v>
      </c>
      <c r="AD356" s="147">
        <v>-5.6588599750153325E-2</v>
      </c>
      <c r="AE356" s="1">
        <f t="shared" si="69"/>
        <v>-16658.769063010899</v>
      </c>
      <c r="AH356" s="150">
        <f t="shared" si="70"/>
        <v>6.9999999999999387</v>
      </c>
      <c r="AI356" s="147">
        <v>0.89562669084658386</v>
      </c>
      <c r="AJ356" s="1">
        <f t="shared" si="72"/>
        <v>263658.0207913958</v>
      </c>
    </row>
    <row r="357" spans="20:36">
      <c r="T357" s="140">
        <f t="shared" si="73"/>
        <v>7.5499999999999892</v>
      </c>
      <c r="U357" s="140">
        <v>1.195424580194457</v>
      </c>
      <c r="V357" s="140">
        <v>2.3114950625788711E-2</v>
      </c>
      <c r="W357" s="1">
        <f t="shared" si="71"/>
        <v>-0.1799814209539374</v>
      </c>
      <c r="X357" s="1">
        <f t="shared" si="65"/>
        <v>-17.089999999999879</v>
      </c>
      <c r="Y357" s="1">
        <f t="shared" si="66"/>
        <v>1.0385581098663081</v>
      </c>
      <c r="Z357" s="1">
        <f t="shared" si="67"/>
        <v>3.1922555099279618E-2</v>
      </c>
      <c r="AA357" s="1">
        <f t="shared" si="68"/>
        <v>32.533677415118468</v>
      </c>
      <c r="AC357" s="146">
        <f t="shared" si="64"/>
        <v>-3.0200000000000053</v>
      </c>
      <c r="AD357" s="147">
        <v>-5.696585708182101E-2</v>
      </c>
      <c r="AE357" s="1">
        <f t="shared" si="69"/>
        <v>-16769.827523430973</v>
      </c>
      <c r="AH357" s="150">
        <f t="shared" si="70"/>
        <v>7.0199999999999383</v>
      </c>
      <c r="AI357" s="147">
        <v>0.89785567143653089</v>
      </c>
      <c r="AJ357" s="1">
        <f t="shared" si="72"/>
        <v>264314.19664762489</v>
      </c>
    </row>
    <row r="358" spans="20:36">
      <c r="T358" s="140">
        <f t="shared" si="73"/>
        <v>7.599999999999989</v>
      </c>
      <c r="U358" s="140">
        <v>1.2009970316693244</v>
      </c>
      <c r="V358" s="140">
        <v>2.3268029769005851E-2</v>
      </c>
      <c r="W358" s="1">
        <f t="shared" si="71"/>
        <v>-0.18075779470429704</v>
      </c>
      <c r="X358" s="1">
        <f t="shared" si="65"/>
        <v>-17.179999999999879</v>
      </c>
      <c r="Y358" s="1">
        <f t="shared" si="66"/>
        <v>1.043507266734033</v>
      </c>
      <c r="Z358" s="1">
        <f t="shared" si="67"/>
        <v>3.2133293902100825E-2</v>
      </c>
      <c r="AA358" s="1">
        <f t="shared" si="68"/>
        <v>32.474332382893685</v>
      </c>
      <c r="AC358" s="146">
        <f t="shared" si="64"/>
        <v>-3.0400000000000054</v>
      </c>
      <c r="AD358" s="147">
        <v>-5.7343114413488695E-2</v>
      </c>
      <c r="AE358" s="1">
        <f t="shared" si="69"/>
        <v>-16880.885983851043</v>
      </c>
      <c r="AH358" s="150">
        <f t="shared" si="70"/>
        <v>7.0399999999999379</v>
      </c>
      <c r="AI358" s="147">
        <v>0.90008465202647769</v>
      </c>
      <c r="AJ358" s="1">
        <f t="shared" si="72"/>
        <v>264970.37250385387</v>
      </c>
    </row>
    <row r="359" spans="20:36">
      <c r="T359" s="140">
        <f t="shared" si="73"/>
        <v>7.6499999999999888</v>
      </c>
      <c r="U359" s="140">
        <v>1.2065694831441913</v>
      </c>
      <c r="V359" s="140">
        <v>2.3421108912222995E-2</v>
      </c>
      <c r="W359" s="1">
        <f t="shared" si="71"/>
        <v>-0.18153416845465659</v>
      </c>
      <c r="X359" s="1">
        <f t="shared" si="65"/>
        <v>-17.269999999999875</v>
      </c>
      <c r="Y359" s="1">
        <f t="shared" si="66"/>
        <v>1.0484564236017577</v>
      </c>
      <c r="Z359" s="1">
        <f t="shared" si="67"/>
        <v>3.2345100514934187E-2</v>
      </c>
      <c r="AA359" s="1">
        <f t="shared" si="68"/>
        <v>32.414690537680372</v>
      </c>
      <c r="AC359" s="146">
        <f t="shared" si="64"/>
        <v>-3.0600000000000054</v>
      </c>
      <c r="AD359" s="147">
        <v>-5.7720371745156387E-2</v>
      </c>
      <c r="AE359" s="1">
        <f t="shared" si="69"/>
        <v>-16991.944444271117</v>
      </c>
      <c r="AH359" s="150">
        <f t="shared" si="70"/>
        <v>7.0599999999999374</v>
      </c>
      <c r="AI359" s="147">
        <v>0.90231363261642472</v>
      </c>
      <c r="AJ359" s="1">
        <f t="shared" si="72"/>
        <v>265626.54836008296</v>
      </c>
    </row>
    <row r="360" spans="20:36">
      <c r="T360" s="140">
        <f t="shared" si="73"/>
        <v>7.6999999999999886</v>
      </c>
      <c r="U360" s="140">
        <v>1.2121419346190589</v>
      </c>
      <c r="V360" s="140">
        <v>2.3574188055440141E-2</v>
      </c>
      <c r="W360" s="1">
        <f t="shared" si="71"/>
        <v>-0.18231054220501622</v>
      </c>
      <c r="X360" s="1">
        <f t="shared" si="65"/>
        <v>-17.359999999999875</v>
      </c>
      <c r="Y360" s="1">
        <f t="shared" si="66"/>
        <v>1.0534055804694828</v>
      </c>
      <c r="Z360" s="1">
        <f t="shared" si="67"/>
        <v>3.2557974937779711E-2</v>
      </c>
      <c r="AA360" s="1">
        <f t="shared" si="68"/>
        <v>32.354763540502923</v>
      </c>
      <c r="AC360" s="146">
        <f t="shared" si="64"/>
        <v>-3.0800000000000054</v>
      </c>
      <c r="AD360" s="147">
        <v>-5.809762907682408E-2</v>
      </c>
      <c r="AE360" s="1">
        <f t="shared" si="69"/>
        <v>-17103.002904691191</v>
      </c>
      <c r="AH360" s="150">
        <f t="shared" si="70"/>
        <v>7.079999999999937</v>
      </c>
      <c r="AI360" s="147">
        <v>0.90454261320637153</v>
      </c>
      <c r="AJ360" s="1">
        <f t="shared" si="72"/>
        <v>266282.72421631194</v>
      </c>
    </row>
    <row r="361" spans="20:36">
      <c r="T361" s="140">
        <f t="shared" si="73"/>
        <v>7.7499999999999885</v>
      </c>
      <c r="U361" s="140">
        <v>1.2177143860939263</v>
      </c>
      <c r="V361" s="140">
        <v>2.3727267198657285E-2</v>
      </c>
      <c r="W361" s="1">
        <f t="shared" si="71"/>
        <v>-0.18308691595537588</v>
      </c>
      <c r="X361" s="1">
        <f t="shared" si="65"/>
        <v>-17.449999999999875</v>
      </c>
      <c r="Y361" s="1">
        <f t="shared" si="66"/>
        <v>1.0583547373372078</v>
      </c>
      <c r="Z361" s="1">
        <f t="shared" si="67"/>
        <v>3.2771917170637398E-2</v>
      </c>
      <c r="AA361" s="1">
        <f t="shared" si="68"/>
        <v>32.294562805909329</v>
      </c>
      <c r="AC361" s="146">
        <f t="shared" si="64"/>
        <v>-3.1000000000000054</v>
      </c>
      <c r="AD361" s="147">
        <v>-5.8474886408491765E-2</v>
      </c>
      <c r="AE361" s="1">
        <f t="shared" si="69"/>
        <v>-17214.061365111262</v>
      </c>
      <c r="AH361" s="150">
        <f t="shared" si="70"/>
        <v>7.0999999999999366</v>
      </c>
      <c r="AI361" s="147">
        <v>0.90677159379631855</v>
      </c>
      <c r="AJ361" s="1">
        <f t="shared" si="72"/>
        <v>266938.90007254097</v>
      </c>
    </row>
    <row r="362" spans="20:36">
      <c r="T362" s="140">
        <f t="shared" si="73"/>
        <v>7.7999999999999883</v>
      </c>
      <c r="U362" s="140">
        <v>1.2232868375687938</v>
      </c>
      <c r="V362" s="140">
        <v>2.3880346341874428E-2</v>
      </c>
      <c r="W362" s="1">
        <f t="shared" si="71"/>
        <v>-0.18386328970573548</v>
      </c>
      <c r="X362" s="1">
        <f t="shared" si="65"/>
        <v>-17.539999999999871</v>
      </c>
      <c r="Y362" s="1">
        <f t="shared" si="66"/>
        <v>1.0633038942049327</v>
      </c>
      <c r="Z362" s="1">
        <f t="shared" si="67"/>
        <v>3.2986927213507246E-2</v>
      </c>
      <c r="AA362" s="1">
        <f t="shared" si="68"/>
        <v>32.234099506229207</v>
      </c>
      <c r="AC362" s="146">
        <f t="shared" si="64"/>
        <v>-3.1200000000000054</v>
      </c>
      <c r="AD362" s="147">
        <v>-5.8852143740159457E-2</v>
      </c>
      <c r="AE362" s="1">
        <f t="shared" si="69"/>
        <v>-17325.119825531336</v>
      </c>
      <c r="AH362" s="150">
        <f t="shared" si="70"/>
        <v>7.1199999999999362</v>
      </c>
      <c r="AI362" s="147">
        <v>0.90900057438626536</v>
      </c>
      <c r="AJ362" s="1">
        <f t="shared" si="72"/>
        <v>267595.07592877001</v>
      </c>
    </row>
    <row r="363" spans="20:36">
      <c r="T363" s="140">
        <f t="shared" si="73"/>
        <v>7.8499999999999881</v>
      </c>
      <c r="U363" s="140">
        <v>1.2288592890436612</v>
      </c>
      <c r="V363" s="140">
        <v>2.4033425485091572E-2</v>
      </c>
      <c r="W363" s="1">
        <f t="shared" si="71"/>
        <v>-0.18463966345609512</v>
      </c>
      <c r="X363" s="1">
        <f t="shared" si="65"/>
        <v>-17.629999999999871</v>
      </c>
      <c r="Y363" s="1">
        <f t="shared" si="66"/>
        <v>1.0682530510726576</v>
      </c>
      <c r="Z363" s="1">
        <f t="shared" si="67"/>
        <v>3.3203005066389242E-2</v>
      </c>
      <c r="AA363" s="1">
        <f t="shared" si="68"/>
        <v>32.173384575784361</v>
      </c>
      <c r="AC363" s="146">
        <f t="shared" ref="AC363:AC426" si="74">AC362-$AD$2</f>
        <v>-3.1400000000000055</v>
      </c>
      <c r="AD363" s="147">
        <v>-5.9229401071827142E-2</v>
      </c>
      <c r="AE363" s="1">
        <f t="shared" si="69"/>
        <v>-17436.178285951406</v>
      </c>
      <c r="AH363" s="150">
        <f t="shared" si="70"/>
        <v>7.1399999999999357</v>
      </c>
      <c r="AI363" s="147">
        <v>0.91122955497621239</v>
      </c>
      <c r="AJ363" s="1">
        <f t="shared" si="72"/>
        <v>268251.2517849991</v>
      </c>
    </row>
    <row r="364" spans="20:36">
      <c r="T364" s="140">
        <f t="shared" si="73"/>
        <v>7.8999999999999879</v>
      </c>
      <c r="U364" s="140">
        <v>1.2344317405185286</v>
      </c>
      <c r="V364" s="140">
        <v>2.4186504628308712E-2</v>
      </c>
      <c r="W364" s="1">
        <f t="shared" si="71"/>
        <v>-0.18541603720645475</v>
      </c>
      <c r="X364" s="1">
        <f t="shared" si="65"/>
        <v>-17.719999999999871</v>
      </c>
      <c r="Y364" s="1">
        <f t="shared" si="66"/>
        <v>1.0732022079403825</v>
      </c>
      <c r="Z364" s="1">
        <f t="shared" si="67"/>
        <v>3.34201507292834E-2</v>
      </c>
      <c r="AA364" s="1">
        <f t="shared" si="68"/>
        <v>32.112428715051287</v>
      </c>
      <c r="AC364" s="146">
        <f t="shared" si="74"/>
        <v>-3.1600000000000055</v>
      </c>
      <c r="AD364" s="147">
        <v>-5.9606658403494828E-2</v>
      </c>
      <c r="AE364" s="1">
        <f t="shared" si="69"/>
        <v>-17547.23674637148</v>
      </c>
      <c r="AH364" s="150">
        <f t="shared" si="70"/>
        <v>7.1599999999999353</v>
      </c>
      <c r="AI364" s="147">
        <v>0.91345853556615919</v>
      </c>
      <c r="AJ364" s="1">
        <f t="shared" si="72"/>
        <v>268907.42764122813</v>
      </c>
    </row>
    <row r="365" spans="20:36">
      <c r="T365" s="140">
        <f t="shared" si="73"/>
        <v>7.9499999999999877</v>
      </c>
      <c r="U365" s="140">
        <v>1.240004191993396</v>
      </c>
      <c r="V365" s="140">
        <v>2.4339583771525855E-2</v>
      </c>
      <c r="W365" s="1">
        <f t="shared" si="71"/>
        <v>-0.18619241095681435</v>
      </c>
      <c r="X365" s="1">
        <f t="shared" si="65"/>
        <v>-17.809999999999871</v>
      </c>
      <c r="Y365" s="1">
        <f t="shared" si="66"/>
        <v>1.0781513648081076</v>
      </c>
      <c r="Z365" s="1">
        <f t="shared" si="67"/>
        <v>3.363836420218972E-2</v>
      </c>
      <c r="AA365" s="1">
        <f t="shared" si="68"/>
        <v>32.05124239477508</v>
      </c>
      <c r="AC365" s="146">
        <f t="shared" si="74"/>
        <v>-3.1800000000000055</v>
      </c>
      <c r="AD365" s="147">
        <v>-5.9983915735162513E-2</v>
      </c>
      <c r="AE365" s="1">
        <f t="shared" si="69"/>
        <v>-17658.29520679155</v>
      </c>
      <c r="AH365" s="150">
        <f t="shared" si="70"/>
        <v>7.1799999999999349</v>
      </c>
      <c r="AI365" s="147">
        <v>0.91568751615610622</v>
      </c>
      <c r="AJ365" s="1">
        <f t="shared" si="72"/>
        <v>269563.60349745717</v>
      </c>
    </row>
    <row r="366" spans="20:36">
      <c r="T366" s="140">
        <f t="shared" si="73"/>
        <v>7.9999999999999876</v>
      </c>
      <c r="U366" s="140">
        <v>1.2455766434682636</v>
      </c>
      <c r="V366" s="140">
        <v>2.4492662914743002E-2</v>
      </c>
      <c r="W366" s="1">
        <f t="shared" si="71"/>
        <v>-0.18696878470717401</v>
      </c>
      <c r="X366" s="1">
        <f t="shared" si="65"/>
        <v>-17.899999999999871</v>
      </c>
      <c r="Y366" s="1">
        <f t="shared" si="66"/>
        <v>1.0831005216758327</v>
      </c>
      <c r="Z366" s="1">
        <f t="shared" si="67"/>
        <v>3.3857645485108202E-2</v>
      </c>
      <c r="AA366" s="1">
        <f t="shared" si="68"/>
        <v>31.989835860034002</v>
      </c>
      <c r="AC366" s="146">
        <f t="shared" si="74"/>
        <v>-3.2000000000000055</v>
      </c>
      <c r="AD366" s="147">
        <v>-6.0361173066830212E-2</v>
      </c>
      <c r="AE366" s="1">
        <f t="shared" si="69"/>
        <v>-17769.353667211628</v>
      </c>
      <c r="AH366" s="150">
        <f t="shared" si="70"/>
        <v>7.1999999999999345</v>
      </c>
      <c r="AI366" s="147">
        <v>0.91791649674605302</v>
      </c>
      <c r="AJ366" s="1">
        <f t="shared" si="72"/>
        <v>270219.7793536862</v>
      </c>
    </row>
    <row r="367" spans="20:36">
      <c r="T367" s="140">
        <f t="shared" si="73"/>
        <v>8.0499999999999883</v>
      </c>
      <c r="U367" s="140">
        <v>1.251149094943131</v>
      </c>
      <c r="V367" s="140">
        <v>2.4645742057960149E-2</v>
      </c>
      <c r="W367" s="1">
        <f t="shared" si="71"/>
        <v>-0.18774515845753365</v>
      </c>
      <c r="X367" s="1">
        <f t="shared" si="65"/>
        <v>-17.989999999999867</v>
      </c>
      <c r="Y367" s="1">
        <f t="shared" si="66"/>
        <v>1.0880496785435576</v>
      </c>
      <c r="Z367" s="1">
        <f t="shared" si="67"/>
        <v>3.4077994578038832E-2</v>
      </c>
      <c r="AA367" s="1">
        <f t="shared" si="68"/>
        <v>31.928219134254412</v>
      </c>
      <c r="AC367" s="146">
        <f t="shared" si="74"/>
        <v>-3.2200000000000055</v>
      </c>
      <c r="AD367" s="147">
        <v>-6.0738430398497897E-2</v>
      </c>
      <c r="AE367" s="1">
        <f t="shared" si="69"/>
        <v>-17880.412127631698</v>
      </c>
      <c r="AH367" s="150">
        <f t="shared" si="70"/>
        <v>7.219999999999934</v>
      </c>
      <c r="AI367" s="147">
        <v>0.92014547733600005</v>
      </c>
      <c r="AJ367" s="1">
        <f t="shared" si="72"/>
        <v>270875.95520991529</v>
      </c>
    </row>
    <row r="368" spans="20:36">
      <c r="T368" s="140">
        <f t="shared" si="73"/>
        <v>8.099999999999989</v>
      </c>
      <c r="U368" s="140">
        <v>1.2567215464179986</v>
      </c>
      <c r="V368" s="140">
        <v>2.4798821201177292E-2</v>
      </c>
      <c r="W368" s="1">
        <f t="shared" si="71"/>
        <v>-0.18852153220789331</v>
      </c>
      <c r="X368" s="1">
        <f t="shared" si="65"/>
        <v>-18.07999999999987</v>
      </c>
      <c r="Y368" s="1">
        <f t="shared" si="66"/>
        <v>1.0929988354112827</v>
      </c>
      <c r="Z368" s="1">
        <f t="shared" si="67"/>
        <v>3.4299411480981638E-2</v>
      </c>
      <c r="AA368" s="1">
        <f t="shared" si="68"/>
        <v>31.866402023175514</v>
      </c>
      <c r="AC368" s="146">
        <f t="shared" si="74"/>
        <v>-3.2400000000000055</v>
      </c>
      <c r="AD368" s="147">
        <v>-6.1115687730165583E-2</v>
      </c>
      <c r="AE368" s="1">
        <f t="shared" si="69"/>
        <v>-17991.470588051769</v>
      </c>
      <c r="AH368" s="150">
        <f t="shared" si="70"/>
        <v>7.2399999999999336</v>
      </c>
      <c r="AI368" s="147">
        <v>0.92237445792594686</v>
      </c>
      <c r="AJ368" s="1">
        <f t="shared" si="72"/>
        <v>271532.13106614427</v>
      </c>
    </row>
    <row r="369" spans="20:36">
      <c r="T369" s="140">
        <f t="shared" si="73"/>
        <v>8.1499999999999897</v>
      </c>
      <c r="U369" s="140">
        <v>1.262293997892866</v>
      </c>
      <c r="V369" s="140">
        <v>2.4951900344394439E-2</v>
      </c>
      <c r="W369" s="1">
        <f t="shared" si="71"/>
        <v>-0.18929790595825291</v>
      </c>
      <c r="X369" s="1">
        <f t="shared" ref="X369:X432" si="75">INDEX($AC$6:$AC$1006,MATCH(W369,$AD$6:$AD$1006,-1))-T369</f>
        <v>-18.169999999999867</v>
      </c>
      <c r="Y369" s="1">
        <f t="shared" si="66"/>
        <v>1.0979479922790076</v>
      </c>
      <c r="Z369" s="1">
        <f t="shared" si="67"/>
        <v>3.4521896193936585E-2</v>
      </c>
      <c r="AA369" s="1">
        <f t="shared" si="68"/>
        <v>31.8043941187637</v>
      </c>
      <c r="AC369" s="146">
        <f t="shared" si="74"/>
        <v>-3.2600000000000056</v>
      </c>
      <c r="AD369" s="147">
        <v>-6.1492945061833275E-2</v>
      </c>
      <c r="AE369" s="1">
        <f t="shared" si="69"/>
        <v>-18102.529048471843</v>
      </c>
      <c r="AH369" s="150">
        <f t="shared" si="70"/>
        <v>7.2599999999999332</v>
      </c>
      <c r="AI369" s="147">
        <v>0.92460343851589388</v>
      </c>
      <c r="AJ369" s="1">
        <f t="shared" si="72"/>
        <v>272188.30692237336</v>
      </c>
    </row>
    <row r="370" spans="20:36">
      <c r="T370" s="140">
        <f t="shared" si="73"/>
        <v>8.1999999999999904</v>
      </c>
      <c r="U370" s="140">
        <v>1.2678664493677334</v>
      </c>
      <c r="V370" s="140">
        <v>2.5104979487611586E-2</v>
      </c>
      <c r="W370" s="1">
        <f t="shared" si="71"/>
        <v>-0.19007427970861254</v>
      </c>
      <c r="X370" s="1">
        <f t="shared" si="75"/>
        <v>-18.25999999999987</v>
      </c>
      <c r="Y370" s="1">
        <f t="shared" si="66"/>
        <v>1.1028971491467323</v>
      </c>
      <c r="Z370" s="1">
        <f t="shared" si="67"/>
        <v>3.4745448716903694E-2</v>
      </c>
      <c r="AA370" s="1">
        <f t="shared" si="68"/>
        <v>31.742204803076028</v>
      </c>
      <c r="AC370" s="146">
        <f t="shared" si="74"/>
        <v>-3.2800000000000056</v>
      </c>
      <c r="AD370" s="147">
        <v>-6.187020239350096E-2</v>
      </c>
      <c r="AE370" s="1">
        <f t="shared" si="69"/>
        <v>-18213.587508891913</v>
      </c>
      <c r="AH370" s="150">
        <f t="shared" si="70"/>
        <v>7.2799999999999327</v>
      </c>
      <c r="AI370" s="147">
        <v>0.92683241910584069</v>
      </c>
      <c r="AJ370" s="1">
        <f t="shared" si="72"/>
        <v>272844.4827786024</v>
      </c>
    </row>
    <row r="371" spans="20:36">
      <c r="T371" s="140">
        <f t="shared" si="73"/>
        <v>8.2499999999999911</v>
      </c>
      <c r="U371" s="140">
        <v>1.273438900842601</v>
      </c>
      <c r="V371" s="140">
        <v>2.5258058630828729E-2</v>
      </c>
      <c r="W371" s="1">
        <f t="shared" si="71"/>
        <v>-0.19085065345897217</v>
      </c>
      <c r="X371" s="1">
        <f t="shared" si="75"/>
        <v>-18.349999999999866</v>
      </c>
      <c r="Y371" s="1">
        <f t="shared" ref="Y371:Y434" si="76">U371+V371+W371</f>
        <v>1.1078463060144574</v>
      </c>
      <c r="Z371" s="1">
        <f t="shared" ref="Z371:Z434" si="77">Cx0_avion+((U371)^2/(PI()*all_voil))*Sext_voil/SRef+2*LFus*Czalpha_fus^2*(RADIANS(T371)^2)/(PI()*DFus)+(W371)^2/(PI()*all_emp)*Sext_emp/SRef</f>
        <v>3.4970069049882972E-2</v>
      </c>
      <c r="AA371" s="1">
        <f t="shared" ref="AA371:AA434" si="78">Y371/Z371</f>
        <v>31.679843252072871</v>
      </c>
      <c r="AC371" s="146">
        <f t="shared" si="74"/>
        <v>-3.3000000000000056</v>
      </c>
      <c r="AD371" s="147">
        <v>-6.2247459725168652E-2</v>
      </c>
      <c r="AE371" s="1">
        <f t="shared" si="69"/>
        <v>-18324.645969311987</v>
      </c>
      <c r="AH371" s="150">
        <f t="shared" si="70"/>
        <v>7.2999999999999323</v>
      </c>
      <c r="AI371" s="147">
        <v>0.92906139969578772</v>
      </c>
      <c r="AJ371" s="1">
        <f t="shared" si="72"/>
        <v>273500.65863483143</v>
      </c>
    </row>
    <row r="372" spans="20:36">
      <c r="T372" s="140">
        <f t="shared" si="73"/>
        <v>8.2999999999999918</v>
      </c>
      <c r="U372" s="140">
        <v>1.2790113523174684</v>
      </c>
      <c r="V372" s="140">
        <v>2.541113777404588E-2</v>
      </c>
      <c r="W372" s="1">
        <f t="shared" si="71"/>
        <v>-0.19162702720933181</v>
      </c>
      <c r="X372" s="1">
        <f t="shared" si="75"/>
        <v>-18.43999999999987</v>
      </c>
      <c r="Y372" s="1">
        <f t="shared" si="76"/>
        <v>1.1127954628821823</v>
      </c>
      <c r="Z372" s="1">
        <f t="shared" si="77"/>
        <v>3.5195757192874398E-2</v>
      </c>
      <c r="AA372" s="1">
        <f t="shared" si="78"/>
        <v>31.617318439379243</v>
      </c>
      <c r="AC372" s="146">
        <f t="shared" si="74"/>
        <v>-3.3200000000000056</v>
      </c>
      <c r="AD372" s="147">
        <v>-6.2624717056836338E-2</v>
      </c>
      <c r="AE372" s="1">
        <f t="shared" si="69"/>
        <v>-18435.704429732061</v>
      </c>
      <c r="AH372" s="150">
        <f t="shared" si="70"/>
        <v>7.3199999999999319</v>
      </c>
      <c r="AI372" s="147">
        <v>0.93129038028573452</v>
      </c>
      <c r="AJ372" s="1">
        <f t="shared" si="72"/>
        <v>274156.83449106046</v>
      </c>
    </row>
    <row r="373" spans="20:36">
      <c r="T373" s="140">
        <f t="shared" si="73"/>
        <v>8.3499999999999925</v>
      </c>
      <c r="U373" s="140">
        <v>1.2845838037923361</v>
      </c>
      <c r="V373" s="140">
        <v>2.5564216917263023E-2</v>
      </c>
      <c r="W373" s="1">
        <f t="shared" si="71"/>
        <v>-0.1924034009596915</v>
      </c>
      <c r="X373" s="1">
        <f t="shared" si="75"/>
        <v>-18.549999999999869</v>
      </c>
      <c r="Y373" s="1">
        <f t="shared" si="76"/>
        <v>1.1177446197499075</v>
      </c>
      <c r="Z373" s="1">
        <f t="shared" si="77"/>
        <v>3.5422513145877986E-2</v>
      </c>
      <c r="AA373" s="1">
        <f t="shared" si="78"/>
        <v>31.554639139994958</v>
      </c>
      <c r="AC373" s="146">
        <f t="shared" si="74"/>
        <v>-3.3400000000000056</v>
      </c>
      <c r="AD373" s="147">
        <v>-6.3001974388504023E-2</v>
      </c>
      <c r="AE373" s="1">
        <f t="shared" si="69"/>
        <v>-18546.762890152131</v>
      </c>
      <c r="AH373" s="150">
        <f t="shared" si="70"/>
        <v>7.3399999999999315</v>
      </c>
      <c r="AI373" s="147">
        <v>0.93351936087568155</v>
      </c>
      <c r="AJ373" s="1">
        <f t="shared" si="72"/>
        <v>274813.01034728956</v>
      </c>
    </row>
    <row r="374" spans="20:36">
      <c r="T374" s="140">
        <f t="shared" si="73"/>
        <v>8.3999999999999932</v>
      </c>
      <c r="U374" s="140">
        <v>1.2901562552672035</v>
      </c>
      <c r="V374" s="140">
        <v>2.571729606048017E-2</v>
      </c>
      <c r="W374" s="1">
        <f t="shared" si="71"/>
        <v>-0.1931797747100511</v>
      </c>
      <c r="X374" s="1">
        <f t="shared" si="75"/>
        <v>-18.639999999999866</v>
      </c>
      <c r="Y374" s="1">
        <f t="shared" si="76"/>
        <v>1.1226937766176324</v>
      </c>
      <c r="Z374" s="1">
        <f t="shared" si="77"/>
        <v>3.5650336908893729E-2</v>
      </c>
      <c r="AA374" s="1">
        <f t="shared" si="78"/>
        <v>31.491813933953392</v>
      </c>
      <c r="AC374" s="146">
        <f t="shared" si="74"/>
        <v>-3.3600000000000056</v>
      </c>
      <c r="AD374" s="147">
        <v>-6.3379231720171722E-2</v>
      </c>
      <c r="AE374" s="1">
        <f t="shared" si="69"/>
        <v>-18657.821350572205</v>
      </c>
      <c r="AH374" s="150">
        <f t="shared" si="70"/>
        <v>7.359999999999931</v>
      </c>
      <c r="AI374" s="147">
        <v>0.93574834146562835</v>
      </c>
      <c r="AJ374" s="1">
        <f t="shared" si="72"/>
        <v>275469.18620351853</v>
      </c>
    </row>
    <row r="375" spans="20:36">
      <c r="T375" s="140">
        <f t="shared" si="73"/>
        <v>8.449999999999994</v>
      </c>
      <c r="U375" s="140">
        <v>1.2957287067420709</v>
      </c>
      <c r="V375" s="140">
        <v>2.5870375203697317E-2</v>
      </c>
      <c r="W375" s="1">
        <f t="shared" si="71"/>
        <v>-0.19395614846041073</v>
      </c>
      <c r="X375" s="1">
        <f t="shared" si="75"/>
        <v>-18.729999999999869</v>
      </c>
      <c r="Y375" s="1">
        <f t="shared" si="76"/>
        <v>1.1276429334853575</v>
      </c>
      <c r="Z375" s="1">
        <f t="shared" si="77"/>
        <v>3.5879228481921627E-2</v>
      </c>
      <c r="AA375" s="1">
        <f t="shared" si="78"/>
        <v>31.428851209928887</v>
      </c>
      <c r="AC375" s="146">
        <f t="shared" si="74"/>
        <v>-3.3800000000000057</v>
      </c>
      <c r="AD375" s="147">
        <v>-6.3756489051839407E-2</v>
      </c>
      <c r="AE375" s="1">
        <f t="shared" si="69"/>
        <v>-18768.879810992279</v>
      </c>
      <c r="AH375" s="150">
        <f t="shared" si="70"/>
        <v>7.3799999999999306</v>
      </c>
      <c r="AI375" s="147">
        <v>0.93797732205557538</v>
      </c>
      <c r="AJ375" s="1">
        <f t="shared" si="72"/>
        <v>276125.36205974763</v>
      </c>
    </row>
    <row r="376" spans="20:36">
      <c r="T376" s="140">
        <f t="shared" si="73"/>
        <v>8.4999999999999947</v>
      </c>
      <c r="U376" s="140">
        <v>1.3013011582169385</v>
      </c>
      <c r="V376" s="140">
        <v>2.602345434691446E-2</v>
      </c>
      <c r="W376" s="1">
        <f t="shared" si="71"/>
        <v>-0.19473252221077039</v>
      </c>
      <c r="X376" s="1">
        <f t="shared" si="75"/>
        <v>-18.819999999999865</v>
      </c>
      <c r="Y376" s="1">
        <f t="shared" si="76"/>
        <v>1.1325920903530826</v>
      </c>
      <c r="Z376" s="1">
        <f t="shared" si="77"/>
        <v>3.61091878649617E-2</v>
      </c>
      <c r="AA376" s="1">
        <f t="shared" si="78"/>
        <v>31.365759168792756</v>
      </c>
      <c r="AC376" s="146">
        <f t="shared" si="74"/>
        <v>-3.4000000000000057</v>
      </c>
      <c r="AD376" s="147">
        <v>-6.4133746383507093E-2</v>
      </c>
      <c r="AE376" s="1">
        <f t="shared" si="69"/>
        <v>-18879.938271412349</v>
      </c>
      <c r="AH376" s="150">
        <f t="shared" si="70"/>
        <v>7.3999999999999302</v>
      </c>
      <c r="AI376" s="147">
        <v>0.94020630264552219</v>
      </c>
      <c r="AJ376" s="1">
        <f t="shared" si="72"/>
        <v>276781.5379159766</v>
      </c>
    </row>
    <row r="377" spans="20:36">
      <c r="T377" s="140">
        <f t="shared" si="73"/>
        <v>8.5499999999999954</v>
      </c>
      <c r="U377" s="140">
        <v>1.3068736096918059</v>
      </c>
      <c r="V377" s="140">
        <v>2.6176533490131611E-2</v>
      </c>
      <c r="W377" s="1">
        <f t="shared" si="71"/>
        <v>-0.19550889596113002</v>
      </c>
      <c r="X377" s="1">
        <f t="shared" si="75"/>
        <v>-18.909999999999869</v>
      </c>
      <c r="Y377" s="1">
        <f t="shared" si="76"/>
        <v>1.1375412472208075</v>
      </c>
      <c r="Z377" s="1">
        <f t="shared" si="77"/>
        <v>3.6340215058013908E-2</v>
      </c>
      <c r="AA377" s="1">
        <f t="shared" si="78"/>
        <v>31.302545827118099</v>
      </c>
      <c r="AC377" s="146">
        <f t="shared" si="74"/>
        <v>-3.4200000000000057</v>
      </c>
      <c r="AD377" s="147">
        <v>-6.4511003715174792E-2</v>
      </c>
      <c r="AE377" s="1">
        <f t="shared" si="69"/>
        <v>-18990.996731832427</v>
      </c>
      <c r="AH377" s="150">
        <f t="shared" si="70"/>
        <v>7.4199999999999298</v>
      </c>
      <c r="AI377" s="147">
        <v>0.94243528323546921</v>
      </c>
      <c r="AJ377" s="1">
        <f t="shared" si="72"/>
        <v>277437.71377220575</v>
      </c>
    </row>
    <row r="378" spans="20:36">
      <c r="T378" s="140">
        <f t="shared" si="73"/>
        <v>8.5999999999999961</v>
      </c>
      <c r="U378" s="140">
        <v>1.3124460611666735</v>
      </c>
      <c r="V378" s="140">
        <v>2.6329612633348754E-2</v>
      </c>
      <c r="W378" s="1">
        <f t="shared" si="71"/>
        <v>-0.19628526971148966</v>
      </c>
      <c r="X378" s="1">
        <f t="shared" si="75"/>
        <v>-18.999999999999865</v>
      </c>
      <c r="Y378" s="1">
        <f t="shared" si="76"/>
        <v>1.1424904040885326</v>
      </c>
      <c r="Z378" s="1">
        <f t="shared" si="77"/>
        <v>3.6572310061078285E-2</v>
      </c>
      <c r="AA378" s="1">
        <f t="shared" si="78"/>
        <v>31.239219020633225</v>
      </c>
      <c r="AC378" s="146">
        <f t="shared" si="74"/>
        <v>-3.4400000000000057</v>
      </c>
      <c r="AD378" s="147">
        <v>-6.4888261046842477E-2</v>
      </c>
      <c r="AE378" s="1">
        <f t="shared" si="69"/>
        <v>-19102.055192252497</v>
      </c>
      <c r="AH378" s="150">
        <f t="shared" si="70"/>
        <v>7.4399999999999293</v>
      </c>
      <c r="AI378" s="147">
        <v>0.94466426382541624</v>
      </c>
      <c r="AJ378" s="1">
        <f t="shared" si="72"/>
        <v>278093.88962843479</v>
      </c>
    </row>
    <row r="379" spans="20:36">
      <c r="T379" s="140">
        <f t="shared" si="73"/>
        <v>8.6499999999999968</v>
      </c>
      <c r="U379" s="140">
        <v>1.3180185126415409</v>
      </c>
      <c r="V379" s="140">
        <v>2.6482691776565901E-2</v>
      </c>
      <c r="W379" s="1">
        <f t="shared" si="71"/>
        <v>-0.19706164346184929</v>
      </c>
      <c r="X379" s="1">
        <f t="shared" si="75"/>
        <v>-19.089999999999868</v>
      </c>
      <c r="Y379" s="1">
        <f t="shared" si="76"/>
        <v>1.1474395609562575</v>
      </c>
      <c r="Z379" s="1">
        <f t="shared" si="77"/>
        <v>3.6805472874154824E-2</v>
      </c>
      <c r="AA379" s="1">
        <f t="shared" si="78"/>
        <v>31.175786407624212</v>
      </c>
      <c r="AC379" s="146">
        <f t="shared" si="74"/>
        <v>-3.4600000000000057</v>
      </c>
      <c r="AD379" s="147">
        <v>-6.5265518378510162E-2</v>
      </c>
      <c r="AE379" s="1">
        <f t="shared" si="69"/>
        <v>-19213.113652672571</v>
      </c>
      <c r="AH379" s="150">
        <f t="shared" si="70"/>
        <v>7.4599999999999289</v>
      </c>
      <c r="AI379" s="147">
        <v>0.94689324441536304</v>
      </c>
      <c r="AJ379" s="1">
        <f t="shared" si="72"/>
        <v>278750.06548466382</v>
      </c>
    </row>
    <row r="380" spans="20:36">
      <c r="T380" s="140">
        <f t="shared" si="73"/>
        <v>8.6999999999999975</v>
      </c>
      <c r="U380" s="140">
        <v>1.3235909641164083</v>
      </c>
      <c r="V380" s="140">
        <v>2.6635770919783048E-2</v>
      </c>
      <c r="W380" s="1">
        <f t="shared" si="71"/>
        <v>-0.19783801721220889</v>
      </c>
      <c r="X380" s="1">
        <f t="shared" si="75"/>
        <v>-19.179999999999865</v>
      </c>
      <c r="Y380" s="1">
        <f t="shared" si="76"/>
        <v>1.1523887178239824</v>
      </c>
      <c r="Z380" s="1">
        <f t="shared" si="77"/>
        <v>3.7039703497243524E-2</v>
      </c>
      <c r="AA380" s="1">
        <f t="shared" si="78"/>
        <v>31.112255472286453</v>
      </c>
      <c r="AC380" s="146">
        <f t="shared" si="74"/>
        <v>-3.4800000000000058</v>
      </c>
      <c r="AD380" s="147">
        <v>-6.5642775710177848E-2</v>
      </c>
      <c r="AE380" s="1">
        <f t="shared" si="69"/>
        <v>-19324.172113092642</v>
      </c>
      <c r="AH380" s="150">
        <f t="shared" si="70"/>
        <v>7.4799999999999285</v>
      </c>
      <c r="AI380" s="147">
        <v>0.94912222500531007</v>
      </c>
      <c r="AJ380" s="1">
        <f t="shared" si="72"/>
        <v>279406.24134089286</v>
      </c>
    </row>
    <row r="381" spans="20:36">
      <c r="T381" s="140">
        <f t="shared" si="73"/>
        <v>8.7499999999999982</v>
      </c>
      <c r="U381" s="140">
        <v>1.3291634155912759</v>
      </c>
      <c r="V381" s="140">
        <v>2.6788850063000191E-2</v>
      </c>
      <c r="W381" s="1">
        <f t="shared" si="71"/>
        <v>-0.19861439096256855</v>
      </c>
      <c r="X381" s="1">
        <f t="shared" si="75"/>
        <v>-19.269999999999868</v>
      </c>
      <c r="Y381" s="1">
        <f t="shared" si="76"/>
        <v>1.1573378746917076</v>
      </c>
      <c r="Z381" s="1">
        <f t="shared" si="77"/>
        <v>3.7275001930344373E-2</v>
      </c>
      <c r="AA381" s="1">
        <f t="shared" si="78"/>
        <v>31.048633528025555</v>
      </c>
      <c r="AC381" s="146">
        <f t="shared" si="74"/>
        <v>-3.5000000000000058</v>
      </c>
      <c r="AD381" s="147">
        <v>-6.6020033041845533E-2</v>
      </c>
      <c r="AE381" s="1">
        <f t="shared" si="69"/>
        <v>-19435.230573512712</v>
      </c>
      <c r="AH381" s="150">
        <f t="shared" si="70"/>
        <v>7.4999999999999281</v>
      </c>
      <c r="AI381" s="147">
        <v>0.95135120559525688</v>
      </c>
      <c r="AJ381" s="1">
        <f t="shared" si="72"/>
        <v>280062.41719712189</v>
      </c>
    </row>
    <row r="382" spans="20:36">
      <c r="T382" s="140">
        <f t="shared" si="73"/>
        <v>8.7999999999999989</v>
      </c>
      <c r="U382" s="140">
        <v>1.3347358670661433</v>
      </c>
      <c r="V382" s="140">
        <v>2.6941929206217342E-2</v>
      </c>
      <c r="W382" s="1">
        <f t="shared" si="71"/>
        <v>-0.19939076471292819</v>
      </c>
      <c r="X382" s="1">
        <f t="shared" si="75"/>
        <v>-19.359999999999864</v>
      </c>
      <c r="Y382" s="1">
        <f t="shared" si="76"/>
        <v>1.1622870315594325</v>
      </c>
      <c r="Z382" s="1">
        <f t="shared" si="77"/>
        <v>3.7511368173457377E-2</v>
      </c>
      <c r="AA382" s="1">
        <f t="shared" si="78"/>
        <v>30.984927720707713</v>
      </c>
      <c r="AC382" s="146">
        <f t="shared" si="74"/>
        <v>-3.5200000000000058</v>
      </c>
      <c r="AD382" s="147">
        <v>-6.6397290373513218E-2</v>
      </c>
      <c r="AE382" s="1">
        <f t="shared" si="69"/>
        <v>-19546.289033932786</v>
      </c>
      <c r="AH382" s="150">
        <f t="shared" si="70"/>
        <v>7.5199999999999276</v>
      </c>
      <c r="AI382" s="147">
        <v>0.9535801861852039</v>
      </c>
      <c r="AJ382" s="1">
        <f t="shared" si="72"/>
        <v>280718.59305335098</v>
      </c>
    </row>
    <row r="383" spans="20:36">
      <c r="T383" s="140">
        <f t="shared" si="73"/>
        <v>8.85</v>
      </c>
      <c r="U383" s="140">
        <v>1.340308318541011</v>
      </c>
      <c r="V383" s="140">
        <v>2.7095008349434485E-2</v>
      </c>
      <c r="W383" s="1">
        <f t="shared" si="71"/>
        <v>-0.20016713846328782</v>
      </c>
      <c r="X383" s="1">
        <f t="shared" si="75"/>
        <v>-19.449999999999868</v>
      </c>
      <c r="Y383" s="1">
        <f t="shared" si="76"/>
        <v>1.1672361884271578</v>
      </c>
      <c r="Z383" s="1">
        <f t="shared" si="77"/>
        <v>3.7748802226582549E-2</v>
      </c>
      <c r="AA383" s="1">
        <f t="shared" si="78"/>
        <v>30.921145031859975</v>
      </c>
      <c r="AC383" s="146">
        <f t="shared" si="74"/>
        <v>-3.5400000000000058</v>
      </c>
      <c r="AD383" s="147">
        <v>-6.6774547705180917E-2</v>
      </c>
      <c r="AE383" s="1">
        <f t="shared" si="69"/>
        <v>-19657.34749435286</v>
      </c>
      <c r="AH383" s="150">
        <f t="shared" si="70"/>
        <v>7.5399999999999272</v>
      </c>
      <c r="AI383" s="147">
        <v>0.95580916677515071</v>
      </c>
      <c r="AJ383" s="1">
        <f t="shared" si="72"/>
        <v>281374.76890957996</v>
      </c>
    </row>
    <row r="384" spans="20:36">
      <c r="T384" s="140">
        <f t="shared" si="73"/>
        <v>8.9</v>
      </c>
      <c r="U384" s="140">
        <v>1.3458807700158784</v>
      </c>
      <c r="V384" s="140">
        <v>2.7248087492651629E-2</v>
      </c>
      <c r="W384" s="1">
        <f t="shared" si="71"/>
        <v>-0.20094351221364748</v>
      </c>
      <c r="X384" s="1">
        <f t="shared" si="75"/>
        <v>-19.539999999999864</v>
      </c>
      <c r="Y384" s="1">
        <f t="shared" si="76"/>
        <v>1.1721853452948827</v>
      </c>
      <c r="Z384" s="1">
        <f t="shared" si="77"/>
        <v>3.798730408971987E-2</v>
      </c>
      <c r="AA384" s="1">
        <f t="shared" si="78"/>
        <v>30.857292281820538</v>
      </c>
      <c r="AC384" s="146">
        <f t="shared" si="74"/>
        <v>-3.5600000000000058</v>
      </c>
      <c r="AD384" s="147">
        <v>-6.7151805036848602E-2</v>
      </c>
      <c r="AE384" s="1">
        <f t="shared" si="69"/>
        <v>-19768.405954772934</v>
      </c>
      <c r="AH384" s="150">
        <f t="shared" si="70"/>
        <v>7.5599999999999268</v>
      </c>
      <c r="AI384" s="147">
        <v>0.95803814736509774</v>
      </c>
      <c r="AJ384" s="1">
        <f t="shared" si="72"/>
        <v>282030.94476580905</v>
      </c>
    </row>
    <row r="385" spans="20:36">
      <c r="T385" s="140">
        <f t="shared" si="73"/>
        <v>8.9500000000000011</v>
      </c>
      <c r="U385" s="140">
        <v>1.3514532214907458</v>
      </c>
      <c r="V385" s="140">
        <v>2.7401166635868779E-2</v>
      </c>
      <c r="W385" s="1">
        <f t="shared" si="71"/>
        <v>-0.20171988596400708</v>
      </c>
      <c r="X385" s="1">
        <f t="shared" si="75"/>
        <v>-19.629999999999868</v>
      </c>
      <c r="Y385" s="1">
        <f t="shared" si="76"/>
        <v>1.1771345021626074</v>
      </c>
      <c r="Z385" s="1">
        <f t="shared" si="77"/>
        <v>3.8226873762869346E-2</v>
      </c>
      <c r="AA385" s="1">
        <f t="shared" si="78"/>
        <v>30.793376132839448</v>
      </c>
      <c r="AC385" s="146">
        <f t="shared" si="74"/>
        <v>-3.5800000000000058</v>
      </c>
      <c r="AD385" s="147">
        <v>-6.7529062368516288E-2</v>
      </c>
      <c r="AE385" s="1">
        <f t="shared" ref="AE385:AE448" si="79">AD385*0.5*rho*V^2*SRef</f>
        <v>-19879.464415193004</v>
      </c>
      <c r="AH385" s="150">
        <f t="shared" si="70"/>
        <v>7.5799999999999264</v>
      </c>
      <c r="AI385" s="147">
        <v>0.96026712795504454</v>
      </c>
      <c r="AJ385" s="1">
        <f t="shared" si="72"/>
        <v>282687.12062203803</v>
      </c>
    </row>
    <row r="386" spans="20:36">
      <c r="T386" s="140">
        <f t="shared" si="73"/>
        <v>9.0000000000000018</v>
      </c>
      <c r="U386" s="140">
        <v>1.3570256729656134</v>
      </c>
      <c r="V386" s="140">
        <v>2.7554245779085922E-2</v>
      </c>
      <c r="W386" s="1">
        <f t="shared" si="71"/>
        <v>-0.20249625971436674</v>
      </c>
      <c r="X386" s="1">
        <f t="shared" si="75"/>
        <v>-19.719999999999864</v>
      </c>
      <c r="Y386" s="1">
        <f t="shared" si="76"/>
        <v>1.1820836590303325</v>
      </c>
      <c r="Z386" s="1">
        <f t="shared" si="77"/>
        <v>3.846751124603099E-2</v>
      </c>
      <c r="AA386" s="1">
        <f t="shared" si="78"/>
        <v>30.72940309213006</v>
      </c>
      <c r="AC386" s="146">
        <f t="shared" si="74"/>
        <v>-3.6000000000000059</v>
      </c>
      <c r="AD386" s="147">
        <v>-6.7906319700183973E-2</v>
      </c>
      <c r="AE386" s="1">
        <f t="shared" si="79"/>
        <v>-19990.522875613075</v>
      </c>
      <c r="AH386" s="150">
        <f t="shared" ref="AH386:AH449" si="80">AH385+$AI$2</f>
        <v>7.5999999999999259</v>
      </c>
      <c r="AI386" s="147">
        <v>0.96249610854499157</v>
      </c>
      <c r="AJ386" s="1">
        <f t="shared" si="72"/>
        <v>283343.29647826712</v>
      </c>
    </row>
    <row r="387" spans="20:36">
      <c r="T387" s="140">
        <f t="shared" si="73"/>
        <v>9.0500000000000025</v>
      </c>
      <c r="U387" s="140">
        <v>1.3625981244404808</v>
      </c>
      <c r="V387" s="140">
        <v>2.7707324922303073E-2</v>
      </c>
      <c r="W387" s="1">
        <f t="shared" si="71"/>
        <v>-0.20327263346472635</v>
      </c>
      <c r="X387" s="1">
        <f t="shared" si="75"/>
        <v>-19.809999999999867</v>
      </c>
      <c r="Y387" s="1">
        <f t="shared" si="76"/>
        <v>1.1870328158980574</v>
      </c>
      <c r="Z387" s="1">
        <f t="shared" si="77"/>
        <v>3.8709216539204797E-2</v>
      </c>
      <c r="AA387" s="1">
        <f t="shared" si="78"/>
        <v>30.665379514871542</v>
      </c>
      <c r="AC387" s="146">
        <f t="shared" si="74"/>
        <v>-3.6200000000000059</v>
      </c>
      <c r="AD387" s="147">
        <v>-6.8283577031851672E-2</v>
      </c>
      <c r="AE387" s="1">
        <f t="shared" si="79"/>
        <v>-20101.581336033152</v>
      </c>
      <c r="AH387" s="150">
        <f t="shared" si="80"/>
        <v>7.6199999999999255</v>
      </c>
      <c r="AI387" s="147">
        <v>0.96472508913493837</v>
      </c>
      <c r="AJ387" s="1">
        <f t="shared" si="72"/>
        <v>283999.47233449615</v>
      </c>
    </row>
    <row r="388" spans="20:36">
      <c r="T388" s="140">
        <f t="shared" si="73"/>
        <v>9.1000000000000032</v>
      </c>
      <c r="U388" s="140">
        <v>1.3681705759153484</v>
      </c>
      <c r="V388" s="140">
        <v>2.7860404065520216E-2</v>
      </c>
      <c r="W388" s="1">
        <f t="shared" si="71"/>
        <v>-0.20404900721508601</v>
      </c>
      <c r="X388" s="1">
        <f t="shared" si="75"/>
        <v>-19.899999999999864</v>
      </c>
      <c r="Y388" s="1">
        <f t="shared" si="76"/>
        <v>1.1919819727657825</v>
      </c>
      <c r="Z388" s="1">
        <f t="shared" si="77"/>
        <v>3.8951989642390751E-2</v>
      </c>
      <c r="AA388" s="1">
        <f t="shared" si="78"/>
        <v>30.601311607162938</v>
      </c>
      <c r="AC388" s="146">
        <f t="shared" si="74"/>
        <v>-3.6400000000000059</v>
      </c>
      <c r="AD388" s="147">
        <v>-6.8660834363519357E-2</v>
      </c>
      <c r="AE388" s="1">
        <f t="shared" si="79"/>
        <v>-20212.639796453223</v>
      </c>
      <c r="AH388" s="150">
        <f t="shared" si="80"/>
        <v>7.6399999999999251</v>
      </c>
      <c r="AI388" s="147">
        <v>0.9669540697248854</v>
      </c>
      <c r="AJ388" s="1">
        <f t="shared" si="72"/>
        <v>284655.64819072519</v>
      </c>
    </row>
    <row r="389" spans="20:36">
      <c r="T389" s="140">
        <f t="shared" si="73"/>
        <v>9.1500000000000039</v>
      </c>
      <c r="U389" s="140">
        <v>1.3737430273902158</v>
      </c>
      <c r="V389" s="140">
        <v>2.8013483208737359E-2</v>
      </c>
      <c r="W389" s="1">
        <f t="shared" ref="W389:W452" si="81">((V389*(x_cdg_avion-x_foyer_fus))-(U389*(-x_foyer_voil+x_cdg_avion))+(Cm_voil*CMA_voil)-((N*FUtile*(DFus+DMoteur)/2)/(0.5*rho*V^2*SRef)))/(x_foyer_emp-x_cdg_avion)</f>
        <v>-0.20482538096544561</v>
      </c>
      <c r="X389" s="1">
        <f t="shared" si="75"/>
        <v>-19.989999999999867</v>
      </c>
      <c r="Y389" s="1">
        <f t="shared" si="76"/>
        <v>1.1969311296335075</v>
      </c>
      <c r="Z389" s="1">
        <f t="shared" si="77"/>
        <v>3.9195830555588868E-2</v>
      </c>
      <c r="AA389" s="1">
        <f t="shared" si="78"/>
        <v>30.537205428928946</v>
      </c>
      <c r="AC389" s="146">
        <f t="shared" si="74"/>
        <v>-3.6600000000000059</v>
      </c>
      <c r="AD389" s="147">
        <v>-6.9038091695187043E-2</v>
      </c>
      <c r="AE389" s="1">
        <f t="shared" si="79"/>
        <v>-20323.698256873296</v>
      </c>
      <c r="AH389" s="150">
        <f t="shared" si="80"/>
        <v>7.6599999999999246</v>
      </c>
      <c r="AI389" s="147">
        <v>0.96918305031483221</v>
      </c>
      <c r="AJ389" s="1">
        <f t="shared" si="72"/>
        <v>285311.82404695422</v>
      </c>
    </row>
    <row r="390" spans="20:36">
      <c r="T390" s="140">
        <f t="shared" si="73"/>
        <v>9.2000000000000046</v>
      </c>
      <c r="U390" s="140">
        <v>1.3793154788650834</v>
      </c>
      <c r="V390" s="140">
        <v>2.816656235195451E-2</v>
      </c>
      <c r="W390" s="1">
        <f t="shared" si="81"/>
        <v>-0.20560175471580527</v>
      </c>
      <c r="X390" s="1">
        <f t="shared" si="75"/>
        <v>-20.079999999999863</v>
      </c>
      <c r="Y390" s="1">
        <f t="shared" si="76"/>
        <v>1.2018802865012326</v>
      </c>
      <c r="Z390" s="1">
        <f t="shared" si="77"/>
        <v>3.9440739278799146E-2</v>
      </c>
      <c r="AA390" s="1">
        <f t="shared" si="78"/>
        <v>30.473066896778164</v>
      </c>
      <c r="AC390" s="146">
        <f t="shared" si="74"/>
        <v>-3.6800000000000059</v>
      </c>
      <c r="AD390" s="147">
        <v>-6.9415349026854728E-2</v>
      </c>
      <c r="AE390" s="1">
        <f t="shared" si="79"/>
        <v>-20434.756717293363</v>
      </c>
      <c r="AH390" s="150">
        <f t="shared" si="80"/>
        <v>7.6799999999999242</v>
      </c>
      <c r="AI390" s="147">
        <v>0.97141203090477923</v>
      </c>
      <c r="AJ390" s="1">
        <f t="shared" ref="AJ390:AJ453" si="82">AI390*0.5*rho*V^2*SRef</f>
        <v>285967.99990318331</v>
      </c>
    </row>
    <row r="391" spans="20:36">
      <c r="T391" s="140">
        <f t="shared" si="73"/>
        <v>9.2500000000000053</v>
      </c>
      <c r="U391" s="140">
        <v>1.3848879303399508</v>
      </c>
      <c r="V391" s="140">
        <v>2.8319641495171653E-2</v>
      </c>
      <c r="W391" s="1">
        <f t="shared" si="81"/>
        <v>-0.20637812846616493</v>
      </c>
      <c r="X391" s="1">
        <f t="shared" si="75"/>
        <v>-20.189999999999863</v>
      </c>
      <c r="Y391" s="1">
        <f t="shared" si="76"/>
        <v>1.2068294433689575</v>
      </c>
      <c r="Z391" s="1">
        <f t="shared" si="77"/>
        <v>3.9686715812021572E-2</v>
      </c>
      <c r="AA391" s="1">
        <f t="shared" si="78"/>
        <v>30.408901786813882</v>
      </c>
      <c r="AC391" s="146">
        <f t="shared" si="74"/>
        <v>-3.700000000000006</v>
      </c>
      <c r="AD391" s="147">
        <v>-6.9792606358522427E-2</v>
      </c>
      <c r="AE391" s="1">
        <f t="shared" si="79"/>
        <v>-20545.815177713437</v>
      </c>
      <c r="AH391" s="150">
        <f t="shared" si="80"/>
        <v>7.6999999999999238</v>
      </c>
      <c r="AI391" s="147">
        <v>0.97364101149472604</v>
      </c>
      <c r="AJ391" s="1">
        <f t="shared" si="82"/>
        <v>286624.17575941235</v>
      </c>
    </row>
    <row r="392" spans="20:36">
      <c r="T392" s="140">
        <f t="shared" si="73"/>
        <v>9.300000000000006</v>
      </c>
      <c r="U392" s="140">
        <v>1.3904603818148185</v>
      </c>
      <c r="V392" s="140">
        <v>2.8472720638388804E-2</v>
      </c>
      <c r="W392" s="1">
        <f t="shared" si="81"/>
        <v>-0.20715450221652457</v>
      </c>
      <c r="X392" s="1">
        <f t="shared" si="75"/>
        <v>-20.279999999999866</v>
      </c>
      <c r="Y392" s="1">
        <f t="shared" si="76"/>
        <v>1.2117786002366826</v>
      </c>
      <c r="Z392" s="1">
        <f t="shared" si="77"/>
        <v>3.9933760155256175E-2</v>
      </c>
      <c r="AA392" s="1">
        <f t="shared" si="78"/>
        <v>30.344715737398083</v>
      </c>
      <c r="AC392" s="146">
        <f t="shared" si="74"/>
        <v>-3.720000000000006</v>
      </c>
      <c r="AD392" s="147">
        <v>-7.0169863690190112E-2</v>
      </c>
      <c r="AE392" s="1">
        <f t="shared" si="79"/>
        <v>-20656.873638133515</v>
      </c>
      <c r="AH392" s="150">
        <f t="shared" si="80"/>
        <v>7.7199999999999234</v>
      </c>
      <c r="AI392" s="147">
        <v>0.97586999208467307</v>
      </c>
      <c r="AJ392" s="1">
        <f t="shared" si="82"/>
        <v>287280.35161564138</v>
      </c>
    </row>
    <row r="393" spans="20:36">
      <c r="T393" s="140">
        <f t="shared" si="73"/>
        <v>9.3500000000000068</v>
      </c>
      <c r="U393" s="140">
        <v>1.3960328332896859</v>
      </c>
      <c r="V393" s="140">
        <v>2.8625799781605947E-2</v>
      </c>
      <c r="W393" s="1">
        <f t="shared" si="81"/>
        <v>-0.2079308759668842</v>
      </c>
      <c r="X393" s="1">
        <f t="shared" si="75"/>
        <v>-20.369999999999862</v>
      </c>
      <c r="Y393" s="1">
        <f t="shared" si="76"/>
        <v>1.2167277571044077</v>
      </c>
      <c r="Z393" s="1">
        <f t="shared" si="77"/>
        <v>4.0181872308502918E-2</v>
      </c>
      <c r="AA393" s="1">
        <f t="shared" si="78"/>
        <v>30.280514251869118</v>
      </c>
      <c r="AC393" s="146">
        <f t="shared" si="74"/>
        <v>-3.740000000000006</v>
      </c>
      <c r="AD393" s="147">
        <v>-7.0547121021857798E-2</v>
      </c>
      <c r="AE393" s="1">
        <f t="shared" si="79"/>
        <v>-20767.932098553581</v>
      </c>
      <c r="AH393" s="150">
        <f t="shared" si="80"/>
        <v>7.7399999999999229</v>
      </c>
      <c r="AI393" s="147">
        <v>0.97809897267461987</v>
      </c>
      <c r="AJ393" s="1">
        <f t="shared" si="82"/>
        <v>287936.52747187042</v>
      </c>
    </row>
    <row r="394" spans="20:36">
      <c r="T394" s="140">
        <f t="shared" si="73"/>
        <v>9.4000000000000075</v>
      </c>
      <c r="U394" s="140">
        <v>1.4016052847645535</v>
      </c>
      <c r="V394" s="140">
        <v>2.877887892482309E-2</v>
      </c>
      <c r="W394" s="1">
        <f t="shared" si="81"/>
        <v>-0.20870724971724383</v>
      </c>
      <c r="X394" s="1">
        <f t="shared" si="75"/>
        <v>-20.459999999999866</v>
      </c>
      <c r="Y394" s="1">
        <f t="shared" si="76"/>
        <v>1.2216769139721328</v>
      </c>
      <c r="Z394" s="1">
        <f t="shared" si="77"/>
        <v>4.043105227176183E-2</v>
      </c>
      <c r="AA394" s="1">
        <f t="shared" si="78"/>
        <v>30.216302701213294</v>
      </c>
      <c r="AC394" s="146">
        <f t="shared" si="74"/>
        <v>-3.760000000000006</v>
      </c>
      <c r="AD394" s="147">
        <v>-7.0924378353525483E-2</v>
      </c>
      <c r="AE394" s="1">
        <f t="shared" si="79"/>
        <v>-20878.990558973659</v>
      </c>
      <c r="AH394" s="150">
        <f t="shared" si="80"/>
        <v>7.7599999999999225</v>
      </c>
      <c r="AI394" s="147">
        <v>0.9803279532645669</v>
      </c>
      <c r="AJ394" s="1">
        <f t="shared" si="82"/>
        <v>288592.70332809945</v>
      </c>
    </row>
    <row r="395" spans="20:36">
      <c r="T395" s="140">
        <f t="shared" si="73"/>
        <v>9.4500000000000082</v>
      </c>
      <c r="U395" s="140">
        <v>1.4071777362394209</v>
      </c>
      <c r="V395" s="140">
        <v>2.8931958068040241E-2</v>
      </c>
      <c r="W395" s="1">
        <f t="shared" si="81"/>
        <v>-0.20948362346760349</v>
      </c>
      <c r="X395" s="1">
        <f t="shared" si="75"/>
        <v>-20.549999999999862</v>
      </c>
      <c r="Y395" s="1">
        <f t="shared" si="76"/>
        <v>1.2266260708398578</v>
      </c>
      <c r="Z395" s="1">
        <f t="shared" si="77"/>
        <v>4.0681300045032898E-2</v>
      </c>
      <c r="AA395" s="1">
        <f t="shared" si="78"/>
        <v>30.15208632669118</v>
      </c>
      <c r="AC395" s="146">
        <f t="shared" si="74"/>
        <v>-3.780000000000006</v>
      </c>
      <c r="AD395" s="147">
        <v>-7.1301635685193168E-2</v>
      </c>
      <c r="AE395" s="1">
        <f t="shared" si="79"/>
        <v>-20990.049019393726</v>
      </c>
      <c r="AH395" s="150">
        <f t="shared" si="80"/>
        <v>7.7799999999999221</v>
      </c>
      <c r="AI395" s="147">
        <v>0.9825569338545137</v>
      </c>
      <c r="AJ395" s="1">
        <f t="shared" si="82"/>
        <v>289248.87918432849</v>
      </c>
    </row>
    <row r="396" spans="20:36">
      <c r="T396" s="140">
        <f t="shared" si="73"/>
        <v>9.5000000000000089</v>
      </c>
      <c r="U396" s="140">
        <v>1.4127501877142885</v>
      </c>
      <c r="V396" s="140">
        <v>2.9085037211257384E-2</v>
      </c>
      <c r="W396" s="1">
        <f t="shared" si="81"/>
        <v>-0.2102599972179631</v>
      </c>
      <c r="X396" s="1">
        <f t="shared" si="75"/>
        <v>-20.639999999999866</v>
      </c>
      <c r="Y396" s="1">
        <f t="shared" si="76"/>
        <v>1.2315752277075829</v>
      </c>
      <c r="Z396" s="1">
        <f t="shared" si="77"/>
        <v>4.093261562831612E-2</v>
      </c>
      <c r="AA396" s="1">
        <f t="shared" si="78"/>
        <v>30.087870242418887</v>
      </c>
      <c r="AC396" s="146">
        <f t="shared" si="74"/>
        <v>-3.800000000000006</v>
      </c>
      <c r="AD396" s="147">
        <v>-7.1678893016860867E-2</v>
      </c>
      <c r="AE396" s="1">
        <f t="shared" si="79"/>
        <v>-21101.1074798138</v>
      </c>
      <c r="AH396" s="150">
        <f t="shared" si="80"/>
        <v>7.7999999999999217</v>
      </c>
      <c r="AI396" s="147">
        <v>0.98478591444446073</v>
      </c>
      <c r="AJ396" s="1">
        <f t="shared" si="82"/>
        <v>289905.05504055758</v>
      </c>
    </row>
    <row r="397" spans="20:36">
      <c r="T397" s="140">
        <f t="shared" si="73"/>
        <v>9.5500000000000096</v>
      </c>
      <c r="U397" s="140">
        <v>1.4183226391891559</v>
      </c>
      <c r="V397" s="140">
        <v>2.9238116354474535E-2</v>
      </c>
      <c r="W397" s="1">
        <f t="shared" si="81"/>
        <v>-0.21103637096832276</v>
      </c>
      <c r="X397" s="1">
        <f t="shared" si="75"/>
        <v>-20.729999999999862</v>
      </c>
      <c r="Y397" s="1">
        <f t="shared" si="76"/>
        <v>1.2365243845753078</v>
      </c>
      <c r="Z397" s="1">
        <f t="shared" si="77"/>
        <v>4.1184999021611504E-2</v>
      </c>
      <c r="AA397" s="1">
        <f t="shared" si="78"/>
        <v>30.02365943790484</v>
      </c>
      <c r="AC397" s="146">
        <f t="shared" si="74"/>
        <v>-3.8200000000000061</v>
      </c>
      <c r="AD397" s="147">
        <v>-7.2056150348528553E-2</v>
      </c>
      <c r="AE397" s="1">
        <f t="shared" si="79"/>
        <v>-21212.165940233877</v>
      </c>
      <c r="AH397" s="150">
        <f t="shared" si="80"/>
        <v>7.8199999999999212</v>
      </c>
      <c r="AI397" s="147">
        <v>0.98701489503440754</v>
      </c>
      <c r="AJ397" s="1">
        <f t="shared" si="82"/>
        <v>290561.23089678661</v>
      </c>
    </row>
    <row r="398" spans="20:36">
      <c r="T398" s="140">
        <f t="shared" si="73"/>
        <v>9.6000000000000103</v>
      </c>
      <c r="U398" s="140">
        <v>1.4238950906640235</v>
      </c>
      <c r="V398" s="140">
        <v>2.9391195497691678E-2</v>
      </c>
      <c r="W398" s="1">
        <f t="shared" si="81"/>
        <v>-0.21181274471868242</v>
      </c>
      <c r="X398" s="1">
        <f t="shared" si="75"/>
        <v>-20.819999999999865</v>
      </c>
      <c r="Y398" s="1">
        <f t="shared" si="76"/>
        <v>1.2414735414430329</v>
      </c>
      <c r="Z398" s="1">
        <f t="shared" si="77"/>
        <v>4.143845022491905E-2</v>
      </c>
      <c r="AA398" s="1">
        <f t="shared" si="78"/>
        <v>29.959458780542708</v>
      </c>
      <c r="AC398" s="146">
        <f t="shared" si="74"/>
        <v>-3.8400000000000061</v>
      </c>
      <c r="AD398" s="147">
        <v>-7.2433407680196238E-2</v>
      </c>
      <c r="AE398" s="1">
        <f t="shared" si="79"/>
        <v>-21323.224400653944</v>
      </c>
      <c r="AH398" s="150">
        <f t="shared" si="80"/>
        <v>7.8399999999999208</v>
      </c>
      <c r="AI398" s="147">
        <v>0.98924387562435456</v>
      </c>
      <c r="AJ398" s="1">
        <f t="shared" si="82"/>
        <v>291217.40675301565</v>
      </c>
    </row>
    <row r="399" spans="20:36">
      <c r="T399" s="140">
        <f t="shared" si="73"/>
        <v>9.650000000000011</v>
      </c>
      <c r="U399" s="140">
        <v>1.4294675421388909</v>
      </c>
      <c r="V399" s="140">
        <v>2.9544274640908821E-2</v>
      </c>
      <c r="W399" s="1">
        <f t="shared" si="81"/>
        <v>-0.21258911846904202</v>
      </c>
      <c r="X399" s="1">
        <f t="shared" si="75"/>
        <v>-20.909999999999862</v>
      </c>
      <c r="Y399" s="1">
        <f t="shared" si="76"/>
        <v>1.2464226983107578</v>
      </c>
      <c r="Z399" s="1">
        <f t="shared" si="77"/>
        <v>4.1692969238238745E-2</v>
      </c>
      <c r="AA399" s="1">
        <f t="shared" si="78"/>
        <v>29.895273018060802</v>
      </c>
      <c r="AC399" s="146">
        <f t="shared" si="74"/>
        <v>-3.8600000000000061</v>
      </c>
      <c r="AD399" s="147">
        <v>-7.2810665011863937E-2</v>
      </c>
      <c r="AE399" s="1">
        <f t="shared" si="79"/>
        <v>-21434.282861074022</v>
      </c>
      <c r="AH399" s="150">
        <f t="shared" si="80"/>
        <v>7.8599999999999204</v>
      </c>
      <c r="AI399" s="147">
        <v>0.99147285621430137</v>
      </c>
      <c r="AJ399" s="1">
        <f t="shared" si="82"/>
        <v>291873.58260924468</v>
      </c>
    </row>
    <row r="400" spans="20:36">
      <c r="T400" s="140">
        <f t="shared" si="73"/>
        <v>9.7000000000000117</v>
      </c>
      <c r="U400" s="140">
        <v>1.4350399936137586</v>
      </c>
      <c r="V400" s="140">
        <v>2.9697353784125972E-2</v>
      </c>
      <c r="W400" s="1">
        <f t="shared" si="81"/>
        <v>-0.21336549221940168</v>
      </c>
      <c r="X400" s="1">
        <f t="shared" si="75"/>
        <v>-20.999999999999865</v>
      </c>
      <c r="Y400" s="1">
        <f t="shared" si="76"/>
        <v>1.2513718551784829</v>
      </c>
      <c r="Z400" s="1">
        <f t="shared" si="77"/>
        <v>4.1948556061570608E-2</v>
      </c>
      <c r="AA400" s="1">
        <f t="shared" si="78"/>
        <v>29.831106780928611</v>
      </c>
      <c r="AC400" s="146">
        <f t="shared" si="74"/>
        <v>-3.8800000000000061</v>
      </c>
      <c r="AD400" s="147">
        <v>-7.3187922343531608E-2</v>
      </c>
      <c r="AE400" s="1">
        <f t="shared" si="79"/>
        <v>-21545.341321494088</v>
      </c>
      <c r="AH400" s="150">
        <f t="shared" si="80"/>
        <v>7.87999999999992</v>
      </c>
      <c r="AI400" s="147">
        <v>0.9937018368042484</v>
      </c>
      <c r="AJ400" s="1">
        <f t="shared" si="82"/>
        <v>292529.75846547371</v>
      </c>
    </row>
    <row r="401" spans="20:36">
      <c r="T401" s="140">
        <f t="shared" si="73"/>
        <v>9.7500000000000124</v>
      </c>
      <c r="U401" s="140">
        <v>1.440612445088626</v>
      </c>
      <c r="V401" s="140">
        <v>2.9850432927343115E-2</v>
      </c>
      <c r="W401" s="1">
        <f t="shared" si="81"/>
        <v>-0.21414186596976129</v>
      </c>
      <c r="X401" s="1">
        <f t="shared" si="75"/>
        <v>-21.089999999999861</v>
      </c>
      <c r="Y401" s="1">
        <f t="shared" si="76"/>
        <v>1.2563210120462076</v>
      </c>
      <c r="Z401" s="1">
        <f t="shared" si="77"/>
        <v>4.2205210694914619E-2</v>
      </c>
      <c r="AA401" s="1">
        <f t="shared" si="78"/>
        <v>29.76696458472091</v>
      </c>
      <c r="AC401" s="146">
        <f t="shared" si="74"/>
        <v>-3.9000000000000061</v>
      </c>
      <c r="AD401" s="147">
        <v>-7.3565179675199308E-2</v>
      </c>
      <c r="AE401" s="1">
        <f t="shared" si="79"/>
        <v>-21656.399781914162</v>
      </c>
      <c r="AH401" s="150">
        <f t="shared" si="80"/>
        <v>7.8999999999999195</v>
      </c>
      <c r="AI401" s="147">
        <v>0.9959308173941952</v>
      </c>
      <c r="AJ401" s="1">
        <f t="shared" si="82"/>
        <v>293185.93432170275</v>
      </c>
    </row>
    <row r="402" spans="20:36">
      <c r="T402" s="140">
        <f t="shared" si="73"/>
        <v>9.8000000000000131</v>
      </c>
      <c r="U402" s="140">
        <v>1.4461848965634934</v>
      </c>
      <c r="V402" s="140">
        <v>3.0003512070560266E-2</v>
      </c>
      <c r="W402" s="1">
        <f t="shared" si="81"/>
        <v>-0.21491823972012092</v>
      </c>
      <c r="X402" s="1">
        <f t="shared" si="75"/>
        <v>-21.179999999999865</v>
      </c>
      <c r="Y402" s="1">
        <f t="shared" si="76"/>
        <v>1.2612701689139327</v>
      </c>
      <c r="Z402" s="1">
        <f t="shared" si="77"/>
        <v>4.2462933138270792E-2</v>
      </c>
      <c r="AA402" s="1">
        <f t="shared" si="78"/>
        <v>29.702850832440049</v>
      </c>
      <c r="AC402" s="146">
        <f t="shared" si="74"/>
        <v>-3.9200000000000061</v>
      </c>
      <c r="AD402" s="147">
        <v>-7.3942437006866993E-2</v>
      </c>
      <c r="AE402" s="1">
        <f t="shared" si="79"/>
        <v>-21767.45824233424</v>
      </c>
      <c r="AH402" s="150">
        <f t="shared" si="80"/>
        <v>7.9199999999999191</v>
      </c>
      <c r="AI402" s="147">
        <v>0.99815979798414223</v>
      </c>
      <c r="AJ402" s="1">
        <f t="shared" si="82"/>
        <v>293842.11017793178</v>
      </c>
    </row>
    <row r="403" spans="20:36">
      <c r="T403" s="140">
        <f t="shared" si="73"/>
        <v>9.8500000000000139</v>
      </c>
      <c r="U403" s="140">
        <v>1.451757348038361</v>
      </c>
      <c r="V403" s="140">
        <v>3.0156591213777409E-2</v>
      </c>
      <c r="W403" s="1">
        <f t="shared" si="81"/>
        <v>-0.21569461347048061</v>
      </c>
      <c r="X403" s="1">
        <f t="shared" si="75"/>
        <v>-21.269999999999861</v>
      </c>
      <c r="Y403" s="1">
        <f t="shared" si="76"/>
        <v>1.2662193257816576</v>
      </c>
      <c r="Z403" s="1">
        <f t="shared" si="77"/>
        <v>4.272172339163912E-2</v>
      </c>
      <c r="AA403" s="1">
        <f t="shared" si="78"/>
        <v>29.638769816796852</v>
      </c>
      <c r="AC403" s="146">
        <f t="shared" si="74"/>
        <v>-3.9400000000000062</v>
      </c>
      <c r="AD403" s="147">
        <v>-7.4319694338534678E-2</v>
      </c>
      <c r="AE403" s="1">
        <f t="shared" si="79"/>
        <v>-21878.516702754307</v>
      </c>
      <c r="AH403" s="150">
        <f t="shared" si="80"/>
        <v>7.9399999999999187</v>
      </c>
      <c r="AI403" s="147">
        <v>1.000388778574089</v>
      </c>
      <c r="AJ403" s="1">
        <f t="shared" si="82"/>
        <v>294498.28603416082</v>
      </c>
    </row>
    <row r="404" spans="20:36">
      <c r="T404" s="140">
        <f t="shared" si="73"/>
        <v>9.9000000000000146</v>
      </c>
      <c r="U404" s="140">
        <v>1.4573297995132284</v>
      </c>
      <c r="V404" s="140">
        <v>3.0309670356994552E-2</v>
      </c>
      <c r="W404" s="1">
        <f t="shared" si="81"/>
        <v>-0.21647098722084024</v>
      </c>
      <c r="X404" s="1">
        <f t="shared" si="75"/>
        <v>-21.359999999999864</v>
      </c>
      <c r="Y404" s="1">
        <f t="shared" si="76"/>
        <v>1.2711684826493825</v>
      </c>
      <c r="Z404" s="1">
        <f t="shared" si="77"/>
        <v>4.2981581455019603E-2</v>
      </c>
      <c r="AA404" s="1">
        <f t="shared" si="78"/>
        <v>29.5747257224508</v>
      </c>
      <c r="AC404" s="146">
        <f t="shared" si="74"/>
        <v>-3.9600000000000062</v>
      </c>
      <c r="AD404" s="147">
        <v>-7.4696951670202377E-2</v>
      </c>
      <c r="AE404" s="1">
        <f t="shared" si="79"/>
        <v>-21989.575163174384</v>
      </c>
      <c r="AH404" s="150">
        <f t="shared" si="80"/>
        <v>7.9599999999999183</v>
      </c>
      <c r="AI404" s="147">
        <v>1.0026177591640362</v>
      </c>
      <c r="AJ404" s="1">
        <f t="shared" si="82"/>
        <v>295154.46189038991</v>
      </c>
    </row>
    <row r="405" spans="20:36">
      <c r="T405" s="140">
        <f t="shared" si="73"/>
        <v>9.9500000000000153</v>
      </c>
      <c r="U405" s="140">
        <v>1.462902250988096</v>
      </c>
      <c r="V405" s="140">
        <v>3.0462749500211703E-2</v>
      </c>
      <c r="W405" s="1">
        <f t="shared" si="81"/>
        <v>-0.2172473609711999</v>
      </c>
      <c r="X405" s="1">
        <f t="shared" si="75"/>
        <v>-21.449999999999861</v>
      </c>
      <c r="Y405" s="1">
        <f t="shared" si="76"/>
        <v>1.2761176395171079</v>
      </c>
      <c r="Z405" s="1">
        <f t="shared" si="77"/>
        <v>4.3242507328412255E-2</v>
      </c>
      <c r="AA405" s="1">
        <f t="shared" si="78"/>
        <v>29.510722628209898</v>
      </c>
      <c r="AC405" s="146">
        <f t="shared" si="74"/>
        <v>-3.9800000000000062</v>
      </c>
      <c r="AD405" s="147">
        <v>-7.5074209001870063E-2</v>
      </c>
      <c r="AE405" s="1">
        <f t="shared" si="79"/>
        <v>-22100.633623594458</v>
      </c>
      <c r="AH405" s="150">
        <f t="shared" si="80"/>
        <v>7.9799999999999178</v>
      </c>
      <c r="AI405" s="147">
        <v>1.0048467397539829</v>
      </c>
      <c r="AJ405" s="1">
        <f t="shared" si="82"/>
        <v>295810.63774661889</v>
      </c>
    </row>
    <row r="406" spans="20:36">
      <c r="T406" s="140">
        <f t="shared" si="73"/>
        <v>10.000000000000016</v>
      </c>
      <c r="U406" s="140">
        <v>1.4684747024629634</v>
      </c>
      <c r="V406" s="140">
        <v>3.0615828643428846E-2</v>
      </c>
      <c r="W406" s="1">
        <f t="shared" si="81"/>
        <v>-0.21802373472155945</v>
      </c>
      <c r="X406" s="1">
        <f t="shared" si="75"/>
        <v>-21.539999999999864</v>
      </c>
      <c r="Y406" s="1">
        <f t="shared" si="76"/>
        <v>1.2810667963848328</v>
      </c>
      <c r="Z406" s="1">
        <f t="shared" si="77"/>
        <v>4.3504501011817062E-2</v>
      </c>
      <c r="AA406" s="1">
        <f t="shared" si="78"/>
        <v>29.446764509190867</v>
      </c>
      <c r="AC406" s="146">
        <f t="shared" si="74"/>
        <v>-4.0000000000000062</v>
      </c>
      <c r="AD406" s="147">
        <v>-7.5451466333537748E-2</v>
      </c>
      <c r="AE406" s="1">
        <f t="shared" si="79"/>
        <v>-22211.692084014529</v>
      </c>
      <c r="AH406" s="150">
        <f t="shared" si="80"/>
        <v>7.9999999999999174</v>
      </c>
      <c r="AI406" s="147">
        <v>1.00707572034393</v>
      </c>
      <c r="AJ406" s="1">
        <f t="shared" si="82"/>
        <v>296466.81360284804</v>
      </c>
    </row>
    <row r="407" spans="20:36">
      <c r="T407" s="140">
        <f t="shared" si="73"/>
        <v>10.050000000000017</v>
      </c>
      <c r="U407" s="140">
        <v>1.4740471539378308</v>
      </c>
      <c r="V407" s="140">
        <v>3.0768907786645996E-2</v>
      </c>
      <c r="W407" s="1">
        <f t="shared" si="81"/>
        <v>-0.21880010847191911</v>
      </c>
      <c r="X407" s="1">
        <f t="shared" si="75"/>
        <v>-21.62999999999986</v>
      </c>
      <c r="Y407" s="1">
        <f t="shared" si="76"/>
        <v>1.2860159532525577</v>
      </c>
      <c r="Z407" s="1">
        <f t="shared" si="77"/>
        <v>4.3767562505234024E-2</v>
      </c>
      <c r="AA407" s="1">
        <f t="shared" si="78"/>
        <v>29.382855238940188</v>
      </c>
      <c r="AC407" s="146">
        <f t="shared" si="74"/>
        <v>-4.0200000000000058</v>
      </c>
      <c r="AD407" s="147">
        <v>-7.5828723665205433E-2</v>
      </c>
      <c r="AE407" s="1">
        <f t="shared" si="79"/>
        <v>-22322.750544434602</v>
      </c>
      <c r="AH407" s="150">
        <f t="shared" si="80"/>
        <v>8.0199999999999179</v>
      </c>
      <c r="AI407" s="147">
        <v>1.0093047009338771</v>
      </c>
      <c r="AJ407" s="1">
        <f t="shared" si="82"/>
        <v>297122.98945907713</v>
      </c>
    </row>
    <row r="408" spans="20:36">
      <c r="T408" s="140">
        <f t="shared" si="73"/>
        <v>10.100000000000017</v>
      </c>
      <c r="U408" s="140">
        <v>1.4796196054126984</v>
      </c>
      <c r="V408" s="140">
        <v>3.092198692986314E-2</v>
      </c>
      <c r="W408" s="1">
        <f t="shared" si="81"/>
        <v>-0.21957648222227877</v>
      </c>
      <c r="X408" s="1">
        <f t="shared" si="75"/>
        <v>-21.73999999999986</v>
      </c>
      <c r="Y408" s="1">
        <f t="shared" si="76"/>
        <v>1.2909651101202828</v>
      </c>
      <c r="Z408" s="1">
        <f t="shared" si="77"/>
        <v>4.4031691808663141E-2</v>
      </c>
      <c r="AA408" s="1">
        <f t="shared" si="78"/>
        <v>29.31899859151649</v>
      </c>
      <c r="AC408" s="146">
        <f t="shared" si="74"/>
        <v>-4.0400000000000054</v>
      </c>
      <c r="AD408" s="147">
        <v>-7.6205980996873104E-2</v>
      </c>
      <c r="AE408" s="1">
        <f t="shared" si="79"/>
        <v>-22433.809004854669</v>
      </c>
      <c r="AH408" s="150">
        <f t="shared" si="80"/>
        <v>8.0399999999999174</v>
      </c>
      <c r="AI408" s="147">
        <v>1.0115336815238238</v>
      </c>
      <c r="AJ408" s="1">
        <f t="shared" si="82"/>
        <v>297779.16531530611</v>
      </c>
    </row>
    <row r="409" spans="20:36">
      <c r="T409" s="140">
        <f t="shared" si="73"/>
        <v>10.150000000000018</v>
      </c>
      <c r="U409" s="140">
        <v>1.4851920568875658</v>
      </c>
      <c r="V409" s="140">
        <v>3.107506607308029E-2</v>
      </c>
      <c r="W409" s="1">
        <f t="shared" si="81"/>
        <v>-0.22035285597263837</v>
      </c>
      <c r="X409" s="1">
        <f t="shared" si="75"/>
        <v>-21.829999999999863</v>
      </c>
      <c r="Y409" s="1">
        <f t="shared" si="76"/>
        <v>1.2959142669880077</v>
      </c>
      <c r="Z409" s="1">
        <f t="shared" si="77"/>
        <v>4.429688892210442E-2</v>
      </c>
      <c r="AA409" s="1">
        <f t="shared" si="78"/>
        <v>29.255198243534853</v>
      </c>
      <c r="AC409" s="146">
        <f t="shared" si="74"/>
        <v>-4.0600000000000049</v>
      </c>
      <c r="AD409" s="147">
        <v>-7.658323832854079E-2</v>
      </c>
      <c r="AE409" s="1">
        <f t="shared" si="79"/>
        <v>-22544.86746527474</v>
      </c>
      <c r="AH409" s="150">
        <f t="shared" si="80"/>
        <v>8.059999999999917</v>
      </c>
      <c r="AI409" s="147">
        <v>1.013762662113771</v>
      </c>
      <c r="AJ409" s="1">
        <f t="shared" si="82"/>
        <v>298435.3411715352</v>
      </c>
    </row>
    <row r="410" spans="20:36">
      <c r="T410" s="140">
        <f t="shared" si="73"/>
        <v>10.200000000000019</v>
      </c>
      <c r="U410" s="140">
        <v>1.4907645083624335</v>
      </c>
      <c r="V410" s="140">
        <v>3.1228145216297434E-2</v>
      </c>
      <c r="W410" s="1">
        <f t="shared" si="81"/>
        <v>-0.22112922972299809</v>
      </c>
      <c r="X410" s="1">
        <f t="shared" si="75"/>
        <v>-21.91999999999986</v>
      </c>
      <c r="Y410" s="1">
        <f t="shared" si="76"/>
        <v>1.3008634238557328</v>
      </c>
      <c r="Z410" s="1">
        <f t="shared" si="77"/>
        <v>4.4563153845557861E-2</v>
      </c>
      <c r="AA410" s="1">
        <f t="shared" si="78"/>
        <v>29.191457776173653</v>
      </c>
      <c r="AC410" s="146">
        <f t="shared" si="74"/>
        <v>-4.0800000000000045</v>
      </c>
      <c r="AD410" s="147">
        <v>-7.6960495660208475E-2</v>
      </c>
      <c r="AE410" s="1">
        <f t="shared" si="79"/>
        <v>-22655.92592569481</v>
      </c>
      <c r="AH410" s="150">
        <f t="shared" si="80"/>
        <v>8.0799999999999166</v>
      </c>
      <c r="AI410" s="147">
        <v>1.0159916427037177</v>
      </c>
      <c r="AJ410" s="1">
        <f t="shared" si="82"/>
        <v>299091.51702776423</v>
      </c>
    </row>
    <row r="411" spans="20:36">
      <c r="T411" s="140">
        <f t="shared" si="73"/>
        <v>10.25000000000002</v>
      </c>
      <c r="U411" s="140">
        <v>1.4963369598373009</v>
      </c>
      <c r="V411" s="140">
        <v>3.1381224359514577E-2</v>
      </c>
      <c r="W411" s="1">
        <f t="shared" si="81"/>
        <v>-0.22190560347335769</v>
      </c>
      <c r="X411" s="1">
        <f t="shared" si="75"/>
        <v>-22.009999999999863</v>
      </c>
      <c r="Y411" s="1">
        <f t="shared" si="76"/>
        <v>1.3058125807234577</v>
      </c>
      <c r="Z411" s="1">
        <f t="shared" si="77"/>
        <v>4.4830486579023457E-2</v>
      </c>
      <c r="AA411" s="1">
        <f t="shared" si="78"/>
        <v>29.127780677144333</v>
      </c>
      <c r="AC411" s="146">
        <f t="shared" si="74"/>
        <v>-4.1000000000000041</v>
      </c>
      <c r="AD411" s="147">
        <v>-7.7337752991876146E-2</v>
      </c>
      <c r="AE411" s="1">
        <f t="shared" si="79"/>
        <v>-22766.984386114877</v>
      </c>
      <c r="AH411" s="150">
        <f t="shared" si="80"/>
        <v>8.0999999999999162</v>
      </c>
      <c r="AI411" s="147">
        <v>1.0182206232936648</v>
      </c>
      <c r="AJ411" s="1">
        <f t="shared" si="82"/>
        <v>299747.69288399332</v>
      </c>
    </row>
    <row r="412" spans="20:36">
      <c r="T412" s="140">
        <f t="shared" si="73"/>
        <v>10.30000000000002</v>
      </c>
      <c r="U412" s="140">
        <v>1.5019094113121683</v>
      </c>
      <c r="V412" s="140">
        <v>3.1534303502731724E-2</v>
      </c>
      <c r="W412" s="1">
        <f t="shared" si="81"/>
        <v>-0.22268197722371733</v>
      </c>
      <c r="X412" s="1">
        <f t="shared" si="75"/>
        <v>-22.099999999999859</v>
      </c>
      <c r="Y412" s="1">
        <f t="shared" si="76"/>
        <v>1.3107617375911826</v>
      </c>
      <c r="Z412" s="1">
        <f t="shared" si="77"/>
        <v>4.5098887122501201E-2</v>
      </c>
      <c r="AA412" s="1">
        <f t="shared" si="78"/>
        <v>29.064170342624795</v>
      </c>
      <c r="AC412" s="146">
        <f t="shared" si="74"/>
        <v>-4.1200000000000037</v>
      </c>
      <c r="AD412" s="147">
        <v>-7.7715010323543832E-2</v>
      </c>
      <c r="AE412" s="1">
        <f t="shared" si="79"/>
        <v>-22878.042846534951</v>
      </c>
      <c r="AH412" s="150">
        <f t="shared" si="80"/>
        <v>8.1199999999999157</v>
      </c>
      <c r="AI412" s="147">
        <v>1.0204496038836115</v>
      </c>
      <c r="AJ412" s="1">
        <f t="shared" si="82"/>
        <v>300403.8687402223</v>
      </c>
    </row>
    <row r="413" spans="20:36">
      <c r="T413" s="140">
        <f t="shared" si="73"/>
        <v>10.350000000000021</v>
      </c>
      <c r="U413" s="140">
        <v>1.5074818627870359</v>
      </c>
      <c r="V413" s="140">
        <v>3.1687382645948871E-2</v>
      </c>
      <c r="W413" s="1">
        <f t="shared" si="81"/>
        <v>-0.22345835097407693</v>
      </c>
      <c r="X413" s="1">
        <f t="shared" si="75"/>
        <v>-22.189999999999863</v>
      </c>
      <c r="Y413" s="1">
        <f t="shared" si="76"/>
        <v>1.315710894458908</v>
      </c>
      <c r="Z413" s="1">
        <f t="shared" si="77"/>
        <v>4.5368355475991128E-2</v>
      </c>
      <c r="AA413" s="1">
        <f t="shared" si="78"/>
        <v>29.000630079156835</v>
      </c>
      <c r="AC413" s="146">
        <f t="shared" si="74"/>
        <v>-4.1400000000000032</v>
      </c>
      <c r="AD413" s="147">
        <v>-7.8092267655211503E-2</v>
      </c>
      <c r="AE413" s="1">
        <f t="shared" si="79"/>
        <v>-22989.101306955017</v>
      </c>
      <c r="AH413" s="150">
        <f t="shared" si="80"/>
        <v>8.1399999999999153</v>
      </c>
      <c r="AI413" s="147">
        <v>1.0226785844735586</v>
      </c>
      <c r="AJ413" s="1">
        <f t="shared" si="82"/>
        <v>301060.04459645133</v>
      </c>
    </row>
    <row r="414" spans="20:36">
      <c r="T414" s="140">
        <f t="shared" si="73"/>
        <v>10.400000000000022</v>
      </c>
      <c r="U414" s="140">
        <v>1.5130543142619033</v>
      </c>
      <c r="V414" s="140">
        <v>3.1840461789166018E-2</v>
      </c>
      <c r="W414" s="1">
        <f t="shared" si="81"/>
        <v>-0.22423472472443659</v>
      </c>
      <c r="X414" s="1">
        <f t="shared" si="75"/>
        <v>-22.279999999999859</v>
      </c>
      <c r="Y414" s="1">
        <f t="shared" si="76"/>
        <v>1.3206600513266329</v>
      </c>
      <c r="Z414" s="1">
        <f t="shared" si="77"/>
        <v>4.5638891639493188E-2</v>
      </c>
      <c r="AA414" s="1">
        <f t="shared" si="78"/>
        <v>28.937163105508287</v>
      </c>
      <c r="AC414" s="146">
        <f t="shared" si="74"/>
        <v>-4.1600000000000028</v>
      </c>
      <c r="AD414" s="147">
        <v>-7.8469524986879188E-2</v>
      </c>
      <c r="AE414" s="1">
        <f t="shared" si="79"/>
        <v>-23100.159767375088</v>
      </c>
      <c r="AH414" s="150">
        <f t="shared" si="80"/>
        <v>8.1599999999999149</v>
      </c>
      <c r="AI414" s="147">
        <v>1.0249075650635053</v>
      </c>
      <c r="AJ414" s="1">
        <f t="shared" si="82"/>
        <v>301716.22045268031</v>
      </c>
    </row>
    <row r="415" spans="20:36">
      <c r="T415" s="140">
        <f t="shared" si="73"/>
        <v>10.450000000000022</v>
      </c>
      <c r="U415" s="140">
        <v>1.5186267657367709</v>
      </c>
      <c r="V415" s="140">
        <v>3.1993540932383165E-2</v>
      </c>
      <c r="W415" s="1">
        <f t="shared" si="81"/>
        <v>-0.22501109847479625</v>
      </c>
      <c r="X415" s="1">
        <f t="shared" si="75"/>
        <v>-22.369999999999862</v>
      </c>
      <c r="Y415" s="1">
        <f t="shared" si="76"/>
        <v>1.325609208194358</v>
      </c>
      <c r="Z415" s="1">
        <f t="shared" si="77"/>
        <v>4.5910495613007432E-2</v>
      </c>
      <c r="AA415" s="1">
        <f t="shared" si="78"/>
        <v>28.873772554500249</v>
      </c>
      <c r="AC415" s="146">
        <f t="shared" si="74"/>
        <v>-4.1800000000000024</v>
      </c>
      <c r="AD415" s="147">
        <v>-7.8846782318546874E-2</v>
      </c>
      <c r="AE415" s="1">
        <f t="shared" si="79"/>
        <v>-23211.218227795162</v>
      </c>
      <c r="AH415" s="150">
        <f t="shared" si="80"/>
        <v>8.1799999999999145</v>
      </c>
      <c r="AI415" s="147">
        <v>1.0271365456534525</v>
      </c>
      <c r="AJ415" s="1">
        <f t="shared" si="82"/>
        <v>302372.39630890952</v>
      </c>
    </row>
    <row r="416" spans="20:36">
      <c r="T416" s="140">
        <f t="shared" ref="T416:T479" si="83">T415+$V$2</f>
        <v>10.500000000000023</v>
      </c>
      <c r="U416" s="140">
        <v>1.5241992172116383</v>
      </c>
      <c r="V416" s="140">
        <v>3.2146620075600311E-2</v>
      </c>
      <c r="W416" s="1">
        <f t="shared" si="81"/>
        <v>-0.22578747222515586</v>
      </c>
      <c r="X416" s="1">
        <f t="shared" si="75"/>
        <v>-22.459999999999859</v>
      </c>
      <c r="Y416" s="1">
        <f t="shared" si="76"/>
        <v>1.3305583650620827</v>
      </c>
      <c r="Z416" s="1">
        <f t="shared" si="77"/>
        <v>4.6183167396533803E-2</v>
      </c>
      <c r="AA416" s="1">
        <f t="shared" si="78"/>
        <v>28.810461474800132</v>
      </c>
      <c r="AC416" s="146">
        <f t="shared" si="74"/>
        <v>-4.200000000000002</v>
      </c>
      <c r="AD416" s="147">
        <v>-7.9224039650214545E-2</v>
      </c>
      <c r="AE416" s="1">
        <f t="shared" si="79"/>
        <v>-23322.276688215228</v>
      </c>
      <c r="AH416" s="150">
        <f t="shared" si="80"/>
        <v>8.199999999999914</v>
      </c>
      <c r="AI416" s="147">
        <v>1.0293655262433992</v>
      </c>
      <c r="AJ416" s="1">
        <f t="shared" si="82"/>
        <v>303028.5721651385</v>
      </c>
    </row>
    <row r="417" spans="20:36">
      <c r="T417" s="140">
        <f t="shared" si="83"/>
        <v>10.550000000000024</v>
      </c>
      <c r="U417" s="140">
        <v>1.5297716686865057</v>
      </c>
      <c r="V417" s="140">
        <v>3.2299699218817458E-2</v>
      </c>
      <c r="W417" s="1">
        <f t="shared" si="81"/>
        <v>-0.22656384597551552</v>
      </c>
      <c r="X417" s="1">
        <f t="shared" si="75"/>
        <v>-22.549999999999862</v>
      </c>
      <c r="Y417" s="1">
        <f t="shared" si="76"/>
        <v>1.3355075219298076</v>
      </c>
      <c r="Z417" s="1">
        <f t="shared" si="77"/>
        <v>4.645690699007235E-2</v>
      </c>
      <c r="AA417" s="1">
        <f t="shared" si="78"/>
        <v>28.747232832680833</v>
      </c>
      <c r="AC417" s="146">
        <f t="shared" si="74"/>
        <v>-4.2200000000000015</v>
      </c>
      <c r="AD417" s="147">
        <v>-7.960129698188223E-2</v>
      </c>
      <c r="AE417" s="1">
        <f t="shared" si="79"/>
        <v>-23433.335148635299</v>
      </c>
      <c r="AH417" s="150">
        <f t="shared" si="80"/>
        <v>8.2199999999999136</v>
      </c>
      <c r="AI417" s="147">
        <v>1.0315945068333463</v>
      </c>
      <c r="AJ417" s="1">
        <f t="shared" si="82"/>
        <v>303684.74802136759</v>
      </c>
    </row>
    <row r="418" spans="20:36">
      <c r="T418" s="140">
        <f t="shared" si="83"/>
        <v>10.600000000000025</v>
      </c>
      <c r="U418" s="140">
        <v>1.5353441201613733</v>
      </c>
      <c r="V418" s="140">
        <v>3.2452778362034598E-2</v>
      </c>
      <c r="W418" s="1">
        <f t="shared" si="81"/>
        <v>-0.22734021972587512</v>
      </c>
      <c r="X418" s="1">
        <f t="shared" si="75"/>
        <v>-22.639999999999858</v>
      </c>
      <c r="Y418" s="1">
        <f t="shared" si="76"/>
        <v>1.3404566787975327</v>
      </c>
      <c r="Z418" s="1">
        <f t="shared" si="77"/>
        <v>4.6731714393623058E-2</v>
      </c>
      <c r="AA418" s="1">
        <f t="shared" si="78"/>
        <v>28.68408951374678</v>
      </c>
      <c r="AC418" s="146">
        <f t="shared" si="74"/>
        <v>-4.2400000000000011</v>
      </c>
      <c r="AD418" s="147">
        <v>-7.9978554313549902E-2</v>
      </c>
      <c r="AE418" s="1">
        <f t="shared" si="79"/>
        <v>-23544.393609055365</v>
      </c>
      <c r="AH418" s="150">
        <f t="shared" si="80"/>
        <v>8.2399999999999132</v>
      </c>
      <c r="AI418" s="147">
        <v>1.033823487423293</v>
      </c>
      <c r="AJ418" s="1">
        <f t="shared" si="82"/>
        <v>304340.92387759656</v>
      </c>
    </row>
    <row r="419" spans="20:36">
      <c r="T419" s="140">
        <f t="shared" si="83"/>
        <v>10.650000000000025</v>
      </c>
      <c r="U419" s="140">
        <v>1.5409165716362407</v>
      </c>
      <c r="V419" s="140">
        <v>3.2605857505251752E-2</v>
      </c>
      <c r="W419" s="1">
        <f t="shared" si="81"/>
        <v>-0.22811659347623475</v>
      </c>
      <c r="X419" s="1">
        <f t="shared" si="75"/>
        <v>-22.729999999999862</v>
      </c>
      <c r="Y419" s="1">
        <f t="shared" si="76"/>
        <v>1.3454058356652576</v>
      </c>
      <c r="Z419" s="1">
        <f t="shared" si="77"/>
        <v>4.7007589607185915E-2</v>
      </c>
      <c r="AA419" s="1">
        <f t="shared" si="78"/>
        <v>28.621034324627214</v>
      </c>
      <c r="AC419" s="146">
        <f t="shared" si="74"/>
        <v>-4.2600000000000007</v>
      </c>
      <c r="AD419" s="147">
        <v>-8.0355811645217587E-2</v>
      </c>
      <c r="AE419" s="1">
        <f t="shared" si="79"/>
        <v>-23655.452069475439</v>
      </c>
      <c r="AH419" s="150">
        <f t="shared" si="80"/>
        <v>8.2599999999999127</v>
      </c>
      <c r="AI419" s="147">
        <v>1.0360524680132401</v>
      </c>
      <c r="AJ419" s="1">
        <f t="shared" si="82"/>
        <v>304997.09973382566</v>
      </c>
    </row>
    <row r="420" spans="20:36">
      <c r="T420" s="140">
        <f t="shared" si="83"/>
        <v>10.700000000000026</v>
      </c>
      <c r="U420" s="140">
        <v>1.5464890231111084</v>
      </c>
      <c r="V420" s="140">
        <v>3.2758936648468892E-2</v>
      </c>
      <c r="W420" s="1">
        <f t="shared" si="81"/>
        <v>-0.22889296722659441</v>
      </c>
      <c r="X420" s="1">
        <f t="shared" si="75"/>
        <v>-22.819999999999858</v>
      </c>
      <c r="Y420" s="1">
        <f t="shared" si="76"/>
        <v>1.3503549925329827</v>
      </c>
      <c r="Z420" s="1">
        <f t="shared" si="77"/>
        <v>4.7284532630760941E-2</v>
      </c>
      <c r="AA420" s="1">
        <f t="shared" si="78"/>
        <v>28.558069994637307</v>
      </c>
      <c r="AC420" s="146">
        <f t="shared" si="74"/>
        <v>-4.28</v>
      </c>
      <c r="AD420" s="147">
        <v>-8.0733068976885272E-2</v>
      </c>
      <c r="AE420" s="1">
        <f t="shared" si="79"/>
        <v>-23766.51052989551</v>
      </c>
      <c r="AH420" s="150">
        <f t="shared" si="80"/>
        <v>8.2799999999999123</v>
      </c>
      <c r="AI420" s="147">
        <v>1.0382814486031868</v>
      </c>
      <c r="AJ420" s="1">
        <f t="shared" si="82"/>
        <v>305653.27559005463</v>
      </c>
    </row>
    <row r="421" spans="20:36">
      <c r="T421" s="140">
        <f t="shared" si="83"/>
        <v>10.750000000000027</v>
      </c>
      <c r="U421" s="140">
        <v>1.5520614745859758</v>
      </c>
      <c r="V421" s="140">
        <v>3.2912015791686039E-2</v>
      </c>
      <c r="W421" s="1">
        <f t="shared" si="81"/>
        <v>-0.22966934097695405</v>
      </c>
      <c r="X421" s="1">
        <f t="shared" si="75"/>
        <v>-22.909999999999862</v>
      </c>
      <c r="Y421" s="1">
        <f t="shared" si="76"/>
        <v>1.3553041494007076</v>
      </c>
      <c r="Z421" s="1">
        <f t="shared" si="77"/>
        <v>4.7562543464348114E-2</v>
      </c>
      <c r="AA421" s="1">
        <f t="shared" si="78"/>
        <v>28.495199177407642</v>
      </c>
      <c r="AC421" s="146">
        <f t="shared" si="74"/>
        <v>-4.3</v>
      </c>
      <c r="AD421" s="147">
        <v>-8.1110326308552944E-2</v>
      </c>
      <c r="AE421" s="1">
        <f t="shared" si="79"/>
        <v>-23877.568990315576</v>
      </c>
      <c r="AH421" s="150">
        <f t="shared" si="80"/>
        <v>8.2999999999999119</v>
      </c>
      <c r="AI421" s="147">
        <v>1.040510429193134</v>
      </c>
      <c r="AJ421" s="1">
        <f t="shared" si="82"/>
        <v>306309.45144628373</v>
      </c>
    </row>
    <row r="422" spans="20:36">
      <c r="T422" s="140">
        <f t="shared" si="83"/>
        <v>10.800000000000027</v>
      </c>
      <c r="U422" s="140">
        <v>1.5576339260608432</v>
      </c>
      <c r="V422" s="140">
        <v>3.3065094934903186E-2</v>
      </c>
      <c r="W422" s="1">
        <f t="shared" si="81"/>
        <v>-0.23044571472731368</v>
      </c>
      <c r="X422" s="1">
        <f t="shared" si="75"/>
        <v>-22.999999999999858</v>
      </c>
      <c r="Y422" s="1">
        <f t="shared" si="76"/>
        <v>1.3602533062684325</v>
      </c>
      <c r="Z422" s="1">
        <f t="shared" si="77"/>
        <v>4.784162210794745E-2</v>
      </c>
      <c r="AA422" s="1">
        <f t="shared" si="78"/>
        <v>28.4324244524825</v>
      </c>
      <c r="AC422" s="146">
        <f t="shared" si="74"/>
        <v>-4.3199999999999994</v>
      </c>
      <c r="AD422" s="147">
        <v>-8.1487583640220629E-2</v>
      </c>
      <c r="AE422" s="1">
        <f t="shared" si="79"/>
        <v>-23988.62745073565</v>
      </c>
      <c r="AH422" s="150">
        <f t="shared" si="80"/>
        <v>8.3199999999999115</v>
      </c>
      <c r="AI422" s="147">
        <v>1.0427394097830807</v>
      </c>
      <c r="AJ422" s="1">
        <f t="shared" si="82"/>
        <v>306965.6273025127</v>
      </c>
    </row>
    <row r="423" spans="20:36">
      <c r="T423" s="140">
        <f t="shared" si="83"/>
        <v>10.850000000000028</v>
      </c>
      <c r="U423" s="140">
        <v>1.5632063775357108</v>
      </c>
      <c r="V423" s="140">
        <v>3.3218174078120333E-2</v>
      </c>
      <c r="W423" s="1">
        <f t="shared" si="81"/>
        <v>-0.23122208847767328</v>
      </c>
      <c r="X423" s="1">
        <f t="shared" si="75"/>
        <v>-23.089999999999861</v>
      </c>
      <c r="Y423" s="1">
        <f t="shared" si="76"/>
        <v>1.3652024631361579</v>
      </c>
      <c r="Z423" s="1">
        <f t="shared" si="77"/>
        <v>4.8121768561558941E-2</v>
      </c>
      <c r="AA423" s="1">
        <f t="shared" si="78"/>
        <v>28.369748326887574</v>
      </c>
      <c r="AC423" s="146">
        <f t="shared" si="74"/>
        <v>-4.339999999999999</v>
      </c>
      <c r="AD423" s="147">
        <v>-8.18648409718883E-2</v>
      </c>
      <c r="AE423" s="1">
        <f t="shared" si="79"/>
        <v>-24099.685911155717</v>
      </c>
      <c r="AH423" s="150">
        <f t="shared" si="80"/>
        <v>8.339999999999911</v>
      </c>
      <c r="AI423" s="147">
        <v>1.0449683903730278</v>
      </c>
      <c r="AJ423" s="1">
        <f t="shared" si="82"/>
        <v>307621.80315874179</v>
      </c>
    </row>
    <row r="424" spans="20:36">
      <c r="T424" s="140">
        <f t="shared" si="83"/>
        <v>10.900000000000029</v>
      </c>
      <c r="U424" s="140">
        <v>1.5687788290105782</v>
      </c>
      <c r="V424" s="140">
        <v>3.337125322133748E-2</v>
      </c>
      <c r="W424" s="1">
        <f t="shared" si="81"/>
        <v>-0.23199846222803294</v>
      </c>
      <c r="X424" s="1">
        <f t="shared" si="75"/>
        <v>-23.179999999999858</v>
      </c>
      <c r="Y424" s="1">
        <f t="shared" si="76"/>
        <v>1.3701516200038828</v>
      </c>
      <c r="Z424" s="1">
        <f t="shared" si="77"/>
        <v>4.84029828251826E-2</v>
      </c>
      <c r="AA424" s="1">
        <f t="shared" si="78"/>
        <v>28.307173236667442</v>
      </c>
      <c r="AC424" s="146">
        <f t="shared" si="74"/>
        <v>-4.3599999999999985</v>
      </c>
      <c r="AD424" s="147">
        <v>-8.2242098303555985E-2</v>
      </c>
      <c r="AE424" s="1">
        <f t="shared" si="79"/>
        <v>-24210.744371575791</v>
      </c>
      <c r="AH424" s="150">
        <f t="shared" si="80"/>
        <v>8.3599999999999106</v>
      </c>
      <c r="AI424" s="147">
        <v>1.0471973709629745</v>
      </c>
      <c r="AJ424" s="1">
        <f t="shared" si="82"/>
        <v>308277.97901497077</v>
      </c>
    </row>
    <row r="425" spans="20:36">
      <c r="T425" s="140">
        <f t="shared" si="83"/>
        <v>10.950000000000029</v>
      </c>
      <c r="U425" s="140">
        <v>1.5743512804854458</v>
      </c>
      <c r="V425" s="140">
        <v>3.3524332364554627E-2</v>
      </c>
      <c r="W425" s="1">
        <f t="shared" si="81"/>
        <v>-0.2327748359783926</v>
      </c>
      <c r="X425" s="1">
        <f t="shared" si="75"/>
        <v>-23.289999999999857</v>
      </c>
      <c r="Y425" s="1">
        <f t="shared" si="76"/>
        <v>1.3751007768716079</v>
      </c>
      <c r="Z425" s="1">
        <f t="shared" si="77"/>
        <v>4.8685264898818414E-2</v>
      </c>
      <c r="AA425" s="1">
        <f t="shared" si="78"/>
        <v>28.244701548393575</v>
      </c>
      <c r="AC425" s="146">
        <f t="shared" si="74"/>
        <v>-4.3799999999999981</v>
      </c>
      <c r="AD425" s="147">
        <v>-8.2619355635223671E-2</v>
      </c>
      <c r="AE425" s="1">
        <f t="shared" si="79"/>
        <v>-24321.802831995861</v>
      </c>
      <c r="AH425" s="150">
        <f t="shared" si="80"/>
        <v>8.3799999999999102</v>
      </c>
      <c r="AI425" s="147">
        <v>1.0494263515529216</v>
      </c>
      <c r="AJ425" s="1">
        <f t="shared" si="82"/>
        <v>308934.15487119992</v>
      </c>
    </row>
    <row r="426" spans="20:36">
      <c r="T426" s="140">
        <f t="shared" si="83"/>
        <v>11.00000000000003</v>
      </c>
      <c r="U426" s="140">
        <v>1.5799237319603132</v>
      </c>
      <c r="V426" s="140">
        <v>3.3677411507771766E-2</v>
      </c>
      <c r="W426" s="1">
        <f t="shared" si="81"/>
        <v>-0.23355120972875221</v>
      </c>
      <c r="X426" s="1">
        <f t="shared" si="75"/>
        <v>-23.37999999999986</v>
      </c>
      <c r="Y426" s="1">
        <f t="shared" si="76"/>
        <v>1.3800499337393328</v>
      </c>
      <c r="Z426" s="1">
        <f t="shared" si="77"/>
        <v>4.8968614782466377E-2</v>
      </c>
      <c r="AA426" s="1">
        <f t="shared" si="78"/>
        <v>28.182335560643043</v>
      </c>
      <c r="AC426" s="146">
        <f t="shared" si="74"/>
        <v>-4.3999999999999977</v>
      </c>
      <c r="AD426" s="147">
        <v>-8.2996612966891342E-2</v>
      </c>
      <c r="AE426" s="1">
        <f t="shared" si="79"/>
        <v>-24432.861292415928</v>
      </c>
      <c r="AH426" s="150">
        <f t="shared" si="80"/>
        <v>8.3999999999999098</v>
      </c>
      <c r="AI426" s="147">
        <v>1.0516553321428683</v>
      </c>
      <c r="AJ426" s="1">
        <f t="shared" si="82"/>
        <v>309590.3307274289</v>
      </c>
    </row>
    <row r="427" spans="20:36">
      <c r="T427" s="140">
        <f t="shared" si="83"/>
        <v>11.050000000000031</v>
      </c>
      <c r="U427" s="140">
        <v>1.5854961834351806</v>
      </c>
      <c r="V427" s="140">
        <v>3.383049065098892E-2</v>
      </c>
      <c r="W427" s="1">
        <f t="shared" si="81"/>
        <v>-0.23432758347911184</v>
      </c>
      <c r="X427" s="1">
        <f t="shared" si="75"/>
        <v>-23.469999999999857</v>
      </c>
      <c r="Y427" s="1">
        <f t="shared" si="76"/>
        <v>1.3849990906070577</v>
      </c>
      <c r="Z427" s="1">
        <f t="shared" si="77"/>
        <v>4.9253032476126495E-2</v>
      </c>
      <c r="AA427" s="1">
        <f t="shared" si="78"/>
        <v>28.120077505448677</v>
      </c>
      <c r="AC427" s="146">
        <f t="shared" ref="AC427:AC490" si="84">AC426-$AD$2</f>
        <v>-4.4199999999999973</v>
      </c>
      <c r="AD427" s="147">
        <v>-8.3373870298559027E-2</v>
      </c>
      <c r="AE427" s="1">
        <f t="shared" si="79"/>
        <v>-24543.919752836002</v>
      </c>
      <c r="AH427" s="150">
        <f t="shared" si="80"/>
        <v>8.4199999999999093</v>
      </c>
      <c r="AI427" s="147">
        <v>1.0538843127328155</v>
      </c>
      <c r="AJ427" s="1">
        <f t="shared" si="82"/>
        <v>310246.50658365799</v>
      </c>
    </row>
    <row r="428" spans="20:36">
      <c r="T428" s="140">
        <f t="shared" si="83"/>
        <v>11.100000000000032</v>
      </c>
      <c r="U428" s="140">
        <v>1.5910686349100482</v>
      </c>
      <c r="V428" s="140">
        <v>3.398356979420606E-2</v>
      </c>
      <c r="W428" s="1">
        <f t="shared" si="81"/>
        <v>-0.23510395722947153</v>
      </c>
      <c r="X428" s="1">
        <f t="shared" si="75"/>
        <v>-23.55999999999986</v>
      </c>
      <c r="Y428" s="1">
        <f t="shared" si="76"/>
        <v>1.3899482474747828</v>
      </c>
      <c r="Z428" s="1">
        <f t="shared" si="77"/>
        <v>4.9538517979798795E-2</v>
      </c>
      <c r="AA428" s="1">
        <f t="shared" si="78"/>
        <v>28.057929549721024</v>
      </c>
      <c r="AC428" s="146">
        <f t="shared" si="84"/>
        <v>-4.4399999999999968</v>
      </c>
      <c r="AD428" s="147">
        <v>-8.3751127630226699E-2</v>
      </c>
      <c r="AE428" s="1">
        <f t="shared" si="79"/>
        <v>-24654.978213256069</v>
      </c>
      <c r="AH428" s="150">
        <f t="shared" si="80"/>
        <v>8.4399999999999089</v>
      </c>
      <c r="AI428" s="147">
        <v>1.0561132933227622</v>
      </c>
      <c r="AJ428" s="1">
        <f t="shared" si="82"/>
        <v>310902.68243988696</v>
      </c>
    </row>
    <row r="429" spans="20:36">
      <c r="T429" s="140">
        <f t="shared" si="83"/>
        <v>11.150000000000032</v>
      </c>
      <c r="U429" s="140">
        <v>1.5966410863849159</v>
      </c>
      <c r="V429" s="140">
        <v>3.4136648937423214E-2</v>
      </c>
      <c r="W429" s="1">
        <f t="shared" si="81"/>
        <v>-0.23588033097983113</v>
      </c>
      <c r="X429" s="1">
        <f t="shared" si="75"/>
        <v>-23.649999999999856</v>
      </c>
      <c r="Y429" s="1">
        <f t="shared" si="76"/>
        <v>1.394897404342508</v>
      </c>
      <c r="Z429" s="1">
        <f t="shared" si="77"/>
        <v>4.9825071293483229E-2</v>
      </c>
      <c r="AA429" s="1">
        <f t="shared" si="78"/>
        <v>27.995893796642711</v>
      </c>
      <c r="AC429" s="146">
        <f t="shared" si="84"/>
        <v>-4.4599999999999964</v>
      </c>
      <c r="AD429" s="147">
        <v>-8.4128384961894384E-2</v>
      </c>
      <c r="AE429" s="1">
        <f t="shared" si="79"/>
        <v>-24766.036673676139</v>
      </c>
      <c r="AH429" s="150">
        <f t="shared" si="80"/>
        <v>8.4599999999999085</v>
      </c>
      <c r="AI429" s="147">
        <v>1.0583422739127093</v>
      </c>
      <c r="AJ429" s="1">
        <f t="shared" si="82"/>
        <v>311558.85829611612</v>
      </c>
    </row>
    <row r="430" spans="20:36">
      <c r="T430" s="140">
        <f t="shared" si="83"/>
        <v>11.200000000000033</v>
      </c>
      <c r="U430" s="140">
        <v>1.6022135378597833</v>
      </c>
      <c r="V430" s="140">
        <v>3.4289728080640354E-2</v>
      </c>
      <c r="W430" s="1">
        <f t="shared" si="81"/>
        <v>-0.23665670473019076</v>
      </c>
      <c r="X430" s="1">
        <f t="shared" si="75"/>
        <v>-23.73999999999986</v>
      </c>
      <c r="Y430" s="1">
        <f t="shared" si="76"/>
        <v>1.3998465612102329</v>
      </c>
      <c r="Z430" s="1">
        <f t="shared" si="77"/>
        <v>5.011269241717984E-2</v>
      </c>
      <c r="AA430" s="1">
        <f t="shared" si="78"/>
        <v>27.933972287035445</v>
      </c>
      <c r="AC430" s="146">
        <f t="shared" si="84"/>
        <v>-4.479999999999996</v>
      </c>
      <c r="AD430" s="147">
        <v>-8.4505642293562083E-2</v>
      </c>
      <c r="AE430" s="1">
        <f t="shared" si="79"/>
        <v>-24877.095134096216</v>
      </c>
      <c r="AH430" s="150">
        <f t="shared" si="80"/>
        <v>8.4799999999999081</v>
      </c>
      <c r="AI430" s="147">
        <v>1.060571254502656</v>
      </c>
      <c r="AJ430" s="1">
        <f t="shared" si="82"/>
        <v>312215.03415234509</v>
      </c>
    </row>
    <row r="431" spans="20:36">
      <c r="T431" s="140">
        <f t="shared" si="83"/>
        <v>11.250000000000034</v>
      </c>
      <c r="U431" s="140">
        <v>1.6077859893346507</v>
      </c>
      <c r="V431" s="140">
        <v>3.4442807223857501E-2</v>
      </c>
      <c r="W431" s="1">
        <f t="shared" si="81"/>
        <v>-0.23743307848055037</v>
      </c>
      <c r="X431" s="1">
        <f t="shared" si="75"/>
        <v>-23.829999999999856</v>
      </c>
      <c r="Y431" s="1">
        <f t="shared" si="76"/>
        <v>1.4047957180779578</v>
      </c>
      <c r="Z431" s="1">
        <f t="shared" si="77"/>
        <v>5.0401381350888598E-2</v>
      </c>
      <c r="AA431" s="1">
        <f t="shared" si="78"/>
        <v>27.872167000700479</v>
      </c>
      <c r="AC431" s="146">
        <f t="shared" si="84"/>
        <v>-4.4999999999999956</v>
      </c>
      <c r="AD431" s="147">
        <v>-8.4882899625229755E-2</v>
      </c>
      <c r="AE431" s="1">
        <f t="shared" si="79"/>
        <v>-24988.15359451628</v>
      </c>
      <c r="AH431" s="150">
        <f t="shared" si="80"/>
        <v>8.4999999999999076</v>
      </c>
      <c r="AI431" s="147">
        <v>1.0628002350926031</v>
      </c>
      <c r="AJ431" s="1">
        <f t="shared" si="82"/>
        <v>312871.21000857418</v>
      </c>
    </row>
    <row r="432" spans="20:36">
      <c r="T432" s="140">
        <f t="shared" si="83"/>
        <v>11.300000000000034</v>
      </c>
      <c r="U432" s="140">
        <v>1.6133584408095183</v>
      </c>
      <c r="V432" s="140">
        <v>3.4595886367074648E-2</v>
      </c>
      <c r="W432" s="1">
        <f t="shared" si="81"/>
        <v>-0.23820945223091008</v>
      </c>
      <c r="X432" s="1">
        <f t="shared" si="75"/>
        <v>-23.91999999999986</v>
      </c>
      <c r="Y432" s="1">
        <f t="shared" si="76"/>
        <v>1.4097448749456827</v>
      </c>
      <c r="Z432" s="1">
        <f t="shared" si="77"/>
        <v>5.0691138094609518E-2</v>
      </c>
      <c r="AA432" s="1">
        <f t="shared" si="78"/>
        <v>27.810479857732659</v>
      </c>
      <c r="AC432" s="146">
        <f t="shared" si="84"/>
        <v>-4.5199999999999951</v>
      </c>
      <c r="AD432" s="147">
        <v>-8.526015695689744E-2</v>
      </c>
      <c r="AE432" s="1">
        <f t="shared" si="79"/>
        <v>-25099.212054936354</v>
      </c>
      <c r="AH432" s="150">
        <f t="shared" si="80"/>
        <v>8.5199999999999072</v>
      </c>
      <c r="AI432" s="147">
        <v>1.0650292156825498</v>
      </c>
      <c r="AJ432" s="1">
        <f t="shared" si="82"/>
        <v>313527.38586480316</v>
      </c>
    </row>
    <row r="433" spans="20:36">
      <c r="T433" s="140">
        <f t="shared" si="83"/>
        <v>11.350000000000035</v>
      </c>
      <c r="U433" s="140">
        <v>1.6189308922843857</v>
      </c>
      <c r="V433" s="140">
        <v>3.4748965510291795E-2</v>
      </c>
      <c r="W433" s="1">
        <f t="shared" si="81"/>
        <v>-0.23898582598126969</v>
      </c>
      <c r="X433" s="1">
        <f t="shared" ref="X433:X496" si="85">INDEX($AC$6:$AC$1006,MATCH(W433,$AD$6:$AD$1006,-1))-T433</f>
        <v>-24.009999999999856</v>
      </c>
      <c r="Y433" s="1">
        <f t="shared" si="76"/>
        <v>1.4146940318134078</v>
      </c>
      <c r="Z433" s="1">
        <f t="shared" si="77"/>
        <v>5.098196264834258E-2</v>
      </c>
      <c r="AA433" s="1">
        <f t="shared" si="78"/>
        <v>27.748912719808747</v>
      </c>
      <c r="AC433" s="146">
        <f t="shared" si="84"/>
        <v>-4.5399999999999947</v>
      </c>
      <c r="AD433" s="147">
        <v>-8.5637414288565111E-2</v>
      </c>
      <c r="AE433" s="1">
        <f t="shared" si="79"/>
        <v>-25210.270515356424</v>
      </c>
      <c r="AH433" s="150">
        <f t="shared" si="80"/>
        <v>8.5399999999999068</v>
      </c>
      <c r="AI433" s="147">
        <v>1.067258196272497</v>
      </c>
      <c r="AJ433" s="1">
        <f t="shared" si="82"/>
        <v>314183.56172103225</v>
      </c>
    </row>
    <row r="434" spans="20:36">
      <c r="T434" s="140">
        <f t="shared" si="83"/>
        <v>11.400000000000036</v>
      </c>
      <c r="U434" s="140">
        <v>1.6245033437592533</v>
      </c>
      <c r="V434" s="140">
        <v>3.4902044653508942E-2</v>
      </c>
      <c r="W434" s="1">
        <f t="shared" si="81"/>
        <v>-0.23976219973162929</v>
      </c>
      <c r="X434" s="1">
        <f t="shared" si="85"/>
        <v>-24.099999999999859</v>
      </c>
      <c r="Y434" s="1">
        <f t="shared" si="76"/>
        <v>1.4196431886811329</v>
      </c>
      <c r="Z434" s="1">
        <f t="shared" si="77"/>
        <v>5.1273855012087824E-2</v>
      </c>
      <c r="AA434" s="1">
        <f t="shared" si="78"/>
        <v>27.687467391450316</v>
      </c>
      <c r="AC434" s="146">
        <f t="shared" si="84"/>
        <v>-4.5599999999999943</v>
      </c>
      <c r="AD434" s="147">
        <v>-8.6014671620232797E-2</v>
      </c>
      <c r="AE434" s="1">
        <f t="shared" si="79"/>
        <v>-25321.328975776491</v>
      </c>
      <c r="AH434" s="150">
        <f t="shared" si="80"/>
        <v>8.5599999999999064</v>
      </c>
      <c r="AI434" s="147">
        <v>1.0694871768624437</v>
      </c>
      <c r="AJ434" s="1">
        <f t="shared" si="82"/>
        <v>314839.73757726129</v>
      </c>
    </row>
    <row r="435" spans="20:36">
      <c r="T435" s="140">
        <f t="shared" si="83"/>
        <v>11.450000000000037</v>
      </c>
      <c r="U435" s="140">
        <v>1.6300757952341207</v>
      </c>
      <c r="V435" s="140">
        <v>3.5055123796726088E-2</v>
      </c>
      <c r="W435" s="1">
        <f t="shared" si="81"/>
        <v>-0.24053857348198895</v>
      </c>
      <c r="X435" s="1">
        <f t="shared" si="85"/>
        <v>-24.189999999999856</v>
      </c>
      <c r="Y435" s="1">
        <f t="shared" ref="Y435:Y498" si="86">U435+V435+W435</f>
        <v>1.4245923455488578</v>
      </c>
      <c r="Z435" s="1">
        <f t="shared" ref="Z435:Z498" si="87">Cx0_avion+((U435)^2/(PI()*all_voil))*Sext_voil/SRef+2*LFus*Czalpha_fus^2*(RADIANS(T435)^2)/(PI()*DFus)+(W435)^2/(PI()*all_emp)*Sext_emp/SRef</f>
        <v>5.1566815185845216E-2</v>
      </c>
      <c r="AA435" s="1">
        <f t="shared" ref="AA435:AA498" si="88">Y435/Z435</f>
        <v>27.62614562126187</v>
      </c>
      <c r="AC435" s="146">
        <f t="shared" si="84"/>
        <v>-4.5799999999999939</v>
      </c>
      <c r="AD435" s="147">
        <v>-8.6391928951900482E-2</v>
      </c>
      <c r="AE435" s="1">
        <f t="shared" si="79"/>
        <v>-25432.387436196565</v>
      </c>
      <c r="AH435" s="150">
        <f t="shared" si="80"/>
        <v>8.5799999999999059</v>
      </c>
      <c r="AI435" s="147">
        <v>1.0717161574523908</v>
      </c>
      <c r="AJ435" s="1">
        <f t="shared" si="82"/>
        <v>315495.91343349038</v>
      </c>
    </row>
    <row r="436" spans="20:36">
      <c r="T436" s="140">
        <f t="shared" si="83"/>
        <v>11.500000000000037</v>
      </c>
      <c r="U436" s="140">
        <v>1.6356482467089883</v>
      </c>
      <c r="V436" s="140">
        <v>3.5208202939943228E-2</v>
      </c>
      <c r="W436" s="1">
        <f t="shared" si="81"/>
        <v>-0.24131494723234861</v>
      </c>
      <c r="X436" s="1">
        <f t="shared" si="85"/>
        <v>-24.279999999999859</v>
      </c>
      <c r="Y436" s="1">
        <f t="shared" si="86"/>
        <v>1.429541502416583</v>
      </c>
      <c r="Z436" s="1">
        <f t="shared" si="87"/>
        <v>5.1860843169614763E-2</v>
      </c>
      <c r="AA436" s="1">
        <f t="shared" si="88"/>
        <v>27.564949103144365</v>
      </c>
      <c r="AC436" s="146">
        <f t="shared" si="84"/>
        <v>-4.5999999999999934</v>
      </c>
      <c r="AD436" s="147">
        <v>-8.6769186283568153E-2</v>
      </c>
      <c r="AE436" s="1">
        <f t="shared" si="79"/>
        <v>-25543.445896616635</v>
      </c>
      <c r="AH436" s="150">
        <f t="shared" si="80"/>
        <v>8.5999999999999055</v>
      </c>
      <c r="AI436" s="147">
        <v>1.0739451380423375</v>
      </c>
      <c r="AJ436" s="1">
        <f t="shared" si="82"/>
        <v>316152.0892897193</v>
      </c>
    </row>
    <row r="437" spans="20:36">
      <c r="T437" s="140">
        <f t="shared" si="83"/>
        <v>11.550000000000038</v>
      </c>
      <c r="U437" s="140">
        <v>1.6412206981838557</v>
      </c>
      <c r="V437" s="140">
        <v>3.5361282083160382E-2</v>
      </c>
      <c r="W437" s="1">
        <f t="shared" si="81"/>
        <v>-0.24209132098270822</v>
      </c>
      <c r="X437" s="1">
        <f t="shared" si="85"/>
        <v>-24.369999999999855</v>
      </c>
      <c r="Y437" s="1">
        <f t="shared" si="86"/>
        <v>1.4344906592843079</v>
      </c>
      <c r="Z437" s="1">
        <f t="shared" si="87"/>
        <v>5.2155938963396473E-2</v>
      </c>
      <c r="AA437" s="1">
        <f t="shared" si="88"/>
        <v>27.503879477484759</v>
      </c>
      <c r="AC437" s="146">
        <f t="shared" si="84"/>
        <v>-4.619999999999993</v>
      </c>
      <c r="AD437" s="147">
        <v>-8.7146443615235838E-2</v>
      </c>
      <c r="AE437" s="1">
        <f t="shared" si="79"/>
        <v>-25654.504357036702</v>
      </c>
      <c r="AH437" s="150">
        <f t="shared" si="80"/>
        <v>8.6199999999999051</v>
      </c>
      <c r="AI437" s="147">
        <v>1.0761741186322846</v>
      </c>
      <c r="AJ437" s="1">
        <f t="shared" si="82"/>
        <v>316808.26514594839</v>
      </c>
    </row>
    <row r="438" spans="20:36">
      <c r="T438" s="140">
        <f t="shared" si="83"/>
        <v>11.600000000000039</v>
      </c>
      <c r="U438" s="140">
        <v>1.6467931496587231</v>
      </c>
      <c r="V438" s="140">
        <v>3.5514361226377522E-2</v>
      </c>
      <c r="W438" s="1">
        <f t="shared" si="81"/>
        <v>-0.24286769473306785</v>
      </c>
      <c r="X438" s="1">
        <f t="shared" si="85"/>
        <v>-24.459999999999859</v>
      </c>
      <c r="Y438" s="1">
        <f t="shared" si="86"/>
        <v>1.4394398161520328</v>
      </c>
      <c r="Z438" s="1">
        <f t="shared" si="87"/>
        <v>5.2452102567190323E-2</v>
      </c>
      <c r="AA438" s="1">
        <f t="shared" si="88"/>
        <v>27.442938332322004</v>
      </c>
      <c r="AC438" s="146">
        <f t="shared" si="84"/>
        <v>-4.6399999999999926</v>
      </c>
      <c r="AD438" s="147">
        <v>-8.752370094690351E-2</v>
      </c>
      <c r="AE438" s="1">
        <f t="shared" si="79"/>
        <v>-25765.562817456772</v>
      </c>
      <c r="AH438" s="150">
        <f t="shared" si="80"/>
        <v>8.6399999999999046</v>
      </c>
      <c r="AI438" s="147">
        <v>1.0784030992222315</v>
      </c>
      <c r="AJ438" s="1">
        <f t="shared" si="82"/>
        <v>317464.44100217748</v>
      </c>
    </row>
    <row r="439" spans="20:36">
      <c r="T439" s="140">
        <f t="shared" si="83"/>
        <v>11.650000000000039</v>
      </c>
      <c r="U439" s="140">
        <v>1.652365601133591</v>
      </c>
      <c r="V439" s="140">
        <v>3.5667440369594676E-2</v>
      </c>
      <c r="W439" s="1">
        <f t="shared" si="81"/>
        <v>-0.24364406848342754</v>
      </c>
      <c r="X439" s="1">
        <f t="shared" si="85"/>
        <v>-24.549999999999855</v>
      </c>
      <c r="Y439" s="1">
        <f t="shared" si="86"/>
        <v>1.4443889730197581</v>
      </c>
      <c r="Z439" s="1">
        <f t="shared" si="87"/>
        <v>5.274933398099637E-2</v>
      </c>
      <c r="AA439" s="1">
        <f t="shared" si="88"/>
        <v>27.382127204489784</v>
      </c>
      <c r="AC439" s="146">
        <f t="shared" si="84"/>
        <v>-4.6599999999999921</v>
      </c>
      <c r="AD439" s="147">
        <v>-8.7900958278571195E-2</v>
      </c>
      <c r="AE439" s="1">
        <f t="shared" si="79"/>
        <v>-25876.621277876846</v>
      </c>
      <c r="AH439" s="150">
        <f t="shared" si="80"/>
        <v>8.6599999999999042</v>
      </c>
      <c r="AI439" s="147">
        <v>1.0806320798121785</v>
      </c>
      <c r="AJ439" s="1">
        <f t="shared" si="82"/>
        <v>318120.61685840652</v>
      </c>
    </row>
    <row r="440" spans="20:36">
      <c r="T440" s="140">
        <f t="shared" si="83"/>
        <v>11.70000000000004</v>
      </c>
      <c r="U440" s="140">
        <v>1.6579380526084584</v>
      </c>
      <c r="V440" s="140">
        <v>3.5820519512811816E-2</v>
      </c>
      <c r="W440" s="1">
        <f t="shared" si="81"/>
        <v>-0.24442044223378717</v>
      </c>
      <c r="X440" s="1">
        <f t="shared" si="85"/>
        <v>-24.639999999999858</v>
      </c>
      <c r="Y440" s="1">
        <f t="shared" si="86"/>
        <v>1.449338129887483</v>
      </c>
      <c r="Z440" s="1">
        <f t="shared" si="87"/>
        <v>5.3047633204814551E-2</v>
      </c>
      <c r="AA440" s="1">
        <f t="shared" si="88"/>
        <v>27.321447580736599</v>
      </c>
      <c r="AC440" s="146">
        <f t="shared" si="84"/>
        <v>-4.6799999999999917</v>
      </c>
      <c r="AD440" s="147">
        <v>-8.827821561023888E-2</v>
      </c>
      <c r="AE440" s="1">
        <f t="shared" si="79"/>
        <v>-25987.679738296913</v>
      </c>
      <c r="AH440" s="150">
        <f t="shared" si="80"/>
        <v>8.6799999999999038</v>
      </c>
      <c r="AI440" s="147">
        <v>1.0828610604021254</v>
      </c>
      <c r="AJ440" s="1">
        <f t="shared" si="82"/>
        <v>318776.79271463555</v>
      </c>
    </row>
    <row r="441" spans="20:36">
      <c r="T441" s="140">
        <f t="shared" si="83"/>
        <v>11.750000000000041</v>
      </c>
      <c r="U441" s="140">
        <v>1.6635105040833258</v>
      </c>
      <c r="V441" s="140">
        <v>3.5973598656028963E-2</v>
      </c>
      <c r="W441" s="1">
        <f t="shared" si="81"/>
        <v>-0.24519681598414678</v>
      </c>
      <c r="X441" s="1">
        <f t="shared" si="85"/>
        <v>-24.729999999999855</v>
      </c>
      <c r="Y441" s="1">
        <f t="shared" si="86"/>
        <v>1.4542872867552079</v>
      </c>
      <c r="Z441" s="1">
        <f t="shared" si="87"/>
        <v>5.3347000238644887E-2</v>
      </c>
      <c r="AA441" s="1">
        <f t="shared" si="88"/>
        <v>27.260900898823426</v>
      </c>
      <c r="AC441" s="146">
        <f t="shared" si="84"/>
        <v>-4.6999999999999913</v>
      </c>
      <c r="AD441" s="147">
        <v>-8.8655472941906552E-2</v>
      </c>
      <c r="AE441" s="1">
        <f t="shared" si="79"/>
        <v>-26098.738198716983</v>
      </c>
      <c r="AH441" s="150">
        <f t="shared" si="80"/>
        <v>8.6999999999999034</v>
      </c>
      <c r="AI441" s="147">
        <v>1.0850900409920723</v>
      </c>
      <c r="AJ441" s="1">
        <f t="shared" si="82"/>
        <v>319432.96857086458</v>
      </c>
    </row>
    <row r="442" spans="20:36">
      <c r="T442" s="140">
        <f t="shared" si="83"/>
        <v>11.800000000000042</v>
      </c>
      <c r="U442" s="140">
        <v>1.6690829555581932</v>
      </c>
      <c r="V442" s="140">
        <v>3.612667779924611E-2</v>
      </c>
      <c r="W442" s="1">
        <f t="shared" si="81"/>
        <v>-0.24597318973450644</v>
      </c>
      <c r="X442" s="1">
        <f t="shared" si="85"/>
        <v>-24.839999999999854</v>
      </c>
      <c r="Y442" s="1">
        <f t="shared" si="86"/>
        <v>1.4592364436229328</v>
      </c>
      <c r="Z442" s="1">
        <f t="shared" si="87"/>
        <v>5.3647435082487385E-2</v>
      </c>
      <c r="AA442" s="1">
        <f t="shared" si="88"/>
        <v>27.200488548599491</v>
      </c>
      <c r="AC442" s="146">
        <f t="shared" si="84"/>
        <v>-4.7199999999999909</v>
      </c>
      <c r="AD442" s="147">
        <v>-8.9032730273574237E-2</v>
      </c>
      <c r="AE442" s="1">
        <f t="shared" si="79"/>
        <v>-26209.796659137057</v>
      </c>
      <c r="AH442" s="150">
        <f t="shared" si="80"/>
        <v>8.7199999999999029</v>
      </c>
      <c r="AI442" s="147">
        <v>1.0873190215820192</v>
      </c>
      <c r="AJ442" s="1">
        <f t="shared" si="82"/>
        <v>320089.14442709368</v>
      </c>
    </row>
    <row r="443" spans="20:36">
      <c r="T443" s="140">
        <f t="shared" si="83"/>
        <v>11.850000000000042</v>
      </c>
      <c r="U443" s="140">
        <v>1.6746554070330606</v>
      </c>
      <c r="V443" s="140">
        <v>3.6279756942463257E-2</v>
      </c>
      <c r="W443" s="1">
        <f t="shared" si="81"/>
        <v>-0.24674956348486604</v>
      </c>
      <c r="X443" s="1">
        <f t="shared" si="85"/>
        <v>-24.929999999999858</v>
      </c>
      <c r="Y443" s="1">
        <f t="shared" si="86"/>
        <v>1.4641856004906579</v>
      </c>
      <c r="Z443" s="1">
        <f t="shared" si="87"/>
        <v>5.3948937736342038E-2</v>
      </c>
      <c r="AA443" s="1">
        <f t="shared" si="88"/>
        <v>27.140211873056536</v>
      </c>
      <c r="AC443" s="146">
        <f t="shared" si="84"/>
        <v>-4.7399999999999904</v>
      </c>
      <c r="AD443" s="147">
        <v>-8.9409987605241908E-2</v>
      </c>
      <c r="AE443" s="1">
        <f t="shared" si="79"/>
        <v>-26320.85511955712</v>
      </c>
      <c r="AH443" s="150">
        <f t="shared" si="80"/>
        <v>8.7399999999999025</v>
      </c>
      <c r="AI443" s="147">
        <v>1.0895480021719661</v>
      </c>
      <c r="AJ443" s="1">
        <f t="shared" si="82"/>
        <v>320745.32028332271</v>
      </c>
    </row>
    <row r="444" spans="20:36">
      <c r="T444" s="140">
        <f t="shared" si="83"/>
        <v>11.900000000000043</v>
      </c>
      <c r="U444" s="140">
        <v>1.6802278585079284</v>
      </c>
      <c r="V444" s="140">
        <v>3.6432836085680403E-2</v>
      </c>
      <c r="W444" s="1">
        <f t="shared" si="81"/>
        <v>-0.2475259372352257</v>
      </c>
      <c r="X444" s="1">
        <f t="shared" si="85"/>
        <v>-25.019999999999854</v>
      </c>
      <c r="Y444" s="1">
        <f t="shared" si="86"/>
        <v>1.4691347573583833</v>
      </c>
      <c r="Z444" s="1">
        <f t="shared" si="87"/>
        <v>5.425150820020886E-2</v>
      </c>
      <c r="AA444" s="1">
        <f t="shared" si="88"/>
        <v>27.08007216936187</v>
      </c>
      <c r="AC444" s="146">
        <f t="shared" si="84"/>
        <v>-4.75999999999999</v>
      </c>
      <c r="AD444" s="147">
        <v>-8.9787244936909594E-2</v>
      </c>
      <c r="AE444" s="1">
        <f t="shared" si="79"/>
        <v>-26431.913579977194</v>
      </c>
      <c r="AH444" s="150">
        <f t="shared" si="80"/>
        <v>8.7599999999999021</v>
      </c>
      <c r="AI444" s="147">
        <v>1.091776982761913</v>
      </c>
      <c r="AJ444" s="1">
        <f t="shared" si="82"/>
        <v>321401.49613955175</v>
      </c>
    </row>
    <row r="445" spans="20:36">
      <c r="T445" s="140">
        <f t="shared" si="83"/>
        <v>11.950000000000044</v>
      </c>
      <c r="U445" s="140">
        <v>1.6858003099827958</v>
      </c>
      <c r="V445" s="140">
        <v>3.658591522889755E-2</v>
      </c>
      <c r="W445" s="1">
        <f t="shared" si="81"/>
        <v>-0.24830231098558531</v>
      </c>
      <c r="X445" s="1">
        <f t="shared" si="85"/>
        <v>-25.109999999999857</v>
      </c>
      <c r="Y445" s="1">
        <f t="shared" si="86"/>
        <v>1.4740839142261082</v>
      </c>
      <c r="Z445" s="1">
        <f t="shared" si="87"/>
        <v>5.455514647408783E-2</v>
      </c>
      <c r="AA445" s="1">
        <f t="shared" si="88"/>
        <v>27.020070689870789</v>
      </c>
      <c r="AC445" s="146">
        <f t="shared" si="84"/>
        <v>-4.7799999999999896</v>
      </c>
      <c r="AD445" s="147">
        <v>-9.0164502268577279E-2</v>
      </c>
      <c r="AE445" s="1">
        <f t="shared" si="79"/>
        <v>-26542.972040397261</v>
      </c>
      <c r="AH445" s="150">
        <f t="shared" si="80"/>
        <v>8.7799999999999017</v>
      </c>
      <c r="AI445" s="147">
        <v>1.09400596335186</v>
      </c>
      <c r="AJ445" s="1">
        <f t="shared" si="82"/>
        <v>322057.67199578078</v>
      </c>
    </row>
    <row r="446" spans="20:36">
      <c r="T446" s="140">
        <f t="shared" si="83"/>
        <v>12.000000000000044</v>
      </c>
      <c r="U446" s="140">
        <v>1.6913727614576632</v>
      </c>
      <c r="V446" s="140">
        <v>3.673899437211469E-2</v>
      </c>
      <c r="W446" s="1">
        <f t="shared" si="81"/>
        <v>-0.24907868473594497</v>
      </c>
      <c r="X446" s="1">
        <f t="shared" si="85"/>
        <v>-25.199999999999854</v>
      </c>
      <c r="Y446" s="1">
        <f t="shared" si="86"/>
        <v>1.4790330710938329</v>
      </c>
      <c r="Z446" s="1">
        <f t="shared" si="87"/>
        <v>5.4859852557978962E-2</v>
      </c>
      <c r="AA446" s="1">
        <f t="shared" si="88"/>
        <v>26.960208643118534</v>
      </c>
      <c r="AC446" s="146">
        <f t="shared" si="84"/>
        <v>-4.7999999999999892</v>
      </c>
      <c r="AD446" s="147">
        <v>-9.054175960024495E-2</v>
      </c>
      <c r="AE446" s="1">
        <f t="shared" si="79"/>
        <v>-26654.030500817331</v>
      </c>
      <c r="AH446" s="150">
        <f t="shared" si="80"/>
        <v>8.7999999999999012</v>
      </c>
      <c r="AI446" s="147">
        <v>1.0962349439418069</v>
      </c>
      <c r="AJ446" s="1">
        <f t="shared" si="82"/>
        <v>322713.84785200981</v>
      </c>
    </row>
    <row r="447" spans="20:36">
      <c r="T447" s="140">
        <f t="shared" si="83"/>
        <v>12.050000000000045</v>
      </c>
      <c r="U447" s="140">
        <v>1.6969452129325306</v>
      </c>
      <c r="V447" s="140">
        <v>3.6892073515331844E-2</v>
      </c>
      <c r="W447" s="1">
        <f t="shared" si="81"/>
        <v>-0.2498550584863046</v>
      </c>
      <c r="X447" s="1">
        <f t="shared" si="85"/>
        <v>-25.289999999999857</v>
      </c>
      <c r="Y447" s="1">
        <f t="shared" si="86"/>
        <v>1.4839822279615578</v>
      </c>
      <c r="Z447" s="1">
        <f t="shared" si="87"/>
        <v>5.5165626451882242E-2</v>
      </c>
      <c r="AA447" s="1">
        <f t="shared" si="88"/>
        <v>26.900487194792376</v>
      </c>
      <c r="AC447" s="146">
        <f t="shared" si="84"/>
        <v>-4.8199999999999887</v>
      </c>
      <c r="AD447" s="147">
        <v>-9.0919016931912636E-2</v>
      </c>
      <c r="AE447" s="1">
        <f t="shared" si="79"/>
        <v>-26765.088961237405</v>
      </c>
      <c r="AH447" s="150">
        <f t="shared" si="80"/>
        <v>8.8199999999999008</v>
      </c>
      <c r="AI447" s="147">
        <v>1.0984639245317538</v>
      </c>
      <c r="AJ447" s="1">
        <f t="shared" si="82"/>
        <v>323370.02370823885</v>
      </c>
    </row>
    <row r="448" spans="20:36">
      <c r="T448" s="140">
        <f t="shared" si="83"/>
        <v>12.100000000000046</v>
      </c>
      <c r="U448" s="140">
        <v>1.702517664407398</v>
      </c>
      <c r="V448" s="140">
        <v>3.7045152658548984E-2</v>
      </c>
      <c r="W448" s="1">
        <f t="shared" si="81"/>
        <v>-0.25063143223666418</v>
      </c>
      <c r="X448" s="1">
        <f t="shared" si="85"/>
        <v>-25.379999999999853</v>
      </c>
      <c r="Y448" s="1">
        <f t="shared" si="86"/>
        <v>1.4889313848292827</v>
      </c>
      <c r="Z448" s="1">
        <f t="shared" si="87"/>
        <v>5.5472468155797698E-2</v>
      </c>
      <c r="AA448" s="1">
        <f t="shared" si="88"/>
        <v>26.840907468683945</v>
      </c>
      <c r="AC448" s="146">
        <f t="shared" si="84"/>
        <v>-4.8399999999999883</v>
      </c>
      <c r="AD448" s="147">
        <v>-9.1296274263580307E-2</v>
      </c>
      <c r="AE448" s="1">
        <f t="shared" si="79"/>
        <v>-26876.147421657468</v>
      </c>
      <c r="AH448" s="150">
        <f t="shared" si="80"/>
        <v>8.8399999999999004</v>
      </c>
      <c r="AI448" s="147">
        <v>1.1006929051217007</v>
      </c>
      <c r="AJ448" s="1">
        <f t="shared" si="82"/>
        <v>324026.19956446788</v>
      </c>
    </row>
    <row r="449" spans="20:36">
      <c r="T449" s="140">
        <f t="shared" si="83"/>
        <v>12.150000000000047</v>
      </c>
      <c r="U449" s="140">
        <v>1.7080901158822659</v>
      </c>
      <c r="V449" s="140">
        <v>3.7198231801766138E-2</v>
      </c>
      <c r="W449" s="1">
        <f t="shared" si="81"/>
        <v>-0.25140780598702389</v>
      </c>
      <c r="X449" s="1">
        <f t="shared" si="85"/>
        <v>-25.469999999999857</v>
      </c>
      <c r="Y449" s="1">
        <f t="shared" si="86"/>
        <v>1.493880541697008</v>
      </c>
      <c r="Z449" s="1">
        <f t="shared" si="87"/>
        <v>5.5780377669725309E-2</v>
      </c>
      <c r="AA449" s="1">
        <f t="shared" si="88"/>
        <v>26.781470547622497</v>
      </c>
      <c r="AC449" s="146">
        <f t="shared" si="84"/>
        <v>-4.8599999999999879</v>
      </c>
      <c r="AD449" s="147">
        <v>-9.1673531595247992E-2</v>
      </c>
      <c r="AE449" s="1">
        <f t="shared" ref="AE449:AE512" si="89">AD449*0.5*rho*V^2*SRef</f>
        <v>-26987.205882077542</v>
      </c>
      <c r="AH449" s="150">
        <f t="shared" si="80"/>
        <v>8.8599999999999</v>
      </c>
      <c r="AI449" s="147">
        <v>1.1029218857116476</v>
      </c>
      <c r="AJ449" s="1">
        <f t="shared" si="82"/>
        <v>324682.37542069698</v>
      </c>
    </row>
    <row r="450" spans="20:36">
      <c r="T450" s="140">
        <f t="shared" si="83"/>
        <v>12.200000000000047</v>
      </c>
      <c r="U450" s="140">
        <v>1.7136625673571333</v>
      </c>
      <c r="V450" s="140">
        <v>3.7351310944983278E-2</v>
      </c>
      <c r="W450" s="1">
        <f t="shared" si="81"/>
        <v>-0.25218417973738355</v>
      </c>
      <c r="X450" s="1">
        <f t="shared" si="85"/>
        <v>-25.559999999999853</v>
      </c>
      <c r="Y450" s="1">
        <f t="shared" si="86"/>
        <v>1.4988296985647329</v>
      </c>
      <c r="Z450" s="1">
        <f t="shared" si="87"/>
        <v>5.6089354993665061E-2</v>
      </c>
      <c r="AA450" s="1">
        <f t="shared" si="88"/>
        <v>26.722177474389149</v>
      </c>
      <c r="AC450" s="146">
        <f t="shared" si="84"/>
        <v>-4.8799999999999875</v>
      </c>
      <c r="AD450" s="147">
        <v>-9.2050788926915678E-2</v>
      </c>
      <c r="AE450" s="1">
        <f t="shared" si="89"/>
        <v>-27098.264342497616</v>
      </c>
      <c r="AH450" s="150">
        <f t="shared" ref="AH450:AH470" si="90">AH449+$AI$2</f>
        <v>8.8799999999998995</v>
      </c>
      <c r="AI450" s="147">
        <v>1.1051508663015945</v>
      </c>
      <c r="AJ450" s="1">
        <f t="shared" si="82"/>
        <v>325338.55127692595</v>
      </c>
    </row>
    <row r="451" spans="20:36">
      <c r="T451" s="140">
        <f t="shared" si="83"/>
        <v>12.250000000000048</v>
      </c>
      <c r="U451" s="140">
        <v>1.7192350188320007</v>
      </c>
      <c r="V451" s="140">
        <v>3.7504390088200425E-2</v>
      </c>
      <c r="W451" s="1">
        <f t="shared" si="81"/>
        <v>-0.25296055348774316</v>
      </c>
      <c r="X451" s="1">
        <f t="shared" si="85"/>
        <v>-25.649999999999856</v>
      </c>
      <c r="Y451" s="1">
        <f t="shared" si="86"/>
        <v>1.5037788554324578</v>
      </c>
      <c r="Z451" s="1">
        <f t="shared" si="87"/>
        <v>5.6399400127616989E-2</v>
      </c>
      <c r="AA451" s="1">
        <f t="shared" si="88"/>
        <v>26.663029252612656</v>
      </c>
      <c r="AC451" s="146">
        <f t="shared" si="84"/>
        <v>-4.899999999999987</v>
      </c>
      <c r="AD451" s="147">
        <v>-9.2428046258583349E-2</v>
      </c>
      <c r="AE451" s="1">
        <f t="shared" si="89"/>
        <v>-27209.322802917679</v>
      </c>
      <c r="AH451" s="150">
        <f t="shared" si="90"/>
        <v>8.8999999999998991</v>
      </c>
      <c r="AI451" s="147">
        <v>1.1073798468915415</v>
      </c>
      <c r="AJ451" s="1">
        <f t="shared" si="82"/>
        <v>325994.72713315504</v>
      </c>
    </row>
    <row r="452" spans="20:36">
      <c r="T452" s="140">
        <f t="shared" si="83"/>
        <v>12.300000000000049</v>
      </c>
      <c r="U452" s="140">
        <v>1.7248074703068681</v>
      </c>
      <c r="V452" s="140">
        <v>3.7657469231417572E-2</v>
      </c>
      <c r="W452" s="1">
        <f t="shared" si="81"/>
        <v>-0.25373692723810276</v>
      </c>
      <c r="X452" s="1">
        <f t="shared" si="85"/>
        <v>-25.739999999999853</v>
      </c>
      <c r="Y452" s="1">
        <f t="shared" si="86"/>
        <v>1.5087280123001829</v>
      </c>
      <c r="Z452" s="1">
        <f t="shared" si="87"/>
        <v>5.6710513071581065E-2</v>
      </c>
      <c r="AA452" s="1">
        <f t="shared" si="88"/>
        <v>26.604026847647074</v>
      </c>
      <c r="AC452" s="146">
        <f t="shared" si="84"/>
        <v>-4.9199999999999866</v>
      </c>
      <c r="AD452" s="147">
        <v>-9.2805303590251034E-2</v>
      </c>
      <c r="AE452" s="1">
        <f t="shared" si="89"/>
        <v>-27320.381263337753</v>
      </c>
      <c r="AH452" s="150">
        <f t="shared" si="90"/>
        <v>8.9199999999998987</v>
      </c>
      <c r="AI452" s="147">
        <v>1.1096088274814884</v>
      </c>
      <c r="AJ452" s="1">
        <f t="shared" si="82"/>
        <v>326650.90298938408</v>
      </c>
    </row>
    <row r="453" spans="20:36">
      <c r="T453" s="140">
        <f t="shared" si="83"/>
        <v>12.350000000000049</v>
      </c>
      <c r="U453" s="140">
        <v>1.7303799217817355</v>
      </c>
      <c r="V453" s="140">
        <v>3.7810548374634718E-2</v>
      </c>
      <c r="W453" s="1">
        <f t="shared" ref="W453:W516" si="91">((V453*(x_cdg_avion-x_foyer_fus))-(U453*(-x_foyer_voil+x_cdg_avion))+(Cm_voil*CMA_voil)-((N*FUtile*(DFus+DMoteur)/2)/(0.5*rho*V^2*SRef)))/(x_foyer_emp-x_cdg_avion)</f>
        <v>-0.25451330098846242</v>
      </c>
      <c r="X453" s="1">
        <f t="shared" si="85"/>
        <v>-25.829999999999856</v>
      </c>
      <c r="Y453" s="1">
        <f t="shared" si="86"/>
        <v>1.5136771691679078</v>
      </c>
      <c r="Z453" s="1">
        <f t="shared" si="87"/>
        <v>5.7022693825557309E-2</v>
      </c>
      <c r="AA453" s="1">
        <f t="shared" si="88"/>
        <v>26.545171187431428</v>
      </c>
      <c r="AC453" s="146">
        <f t="shared" si="84"/>
        <v>-4.9399999999999862</v>
      </c>
      <c r="AD453" s="147">
        <v>-9.3182560921918706E-2</v>
      </c>
      <c r="AE453" s="1">
        <f t="shared" si="89"/>
        <v>-27431.43972375782</v>
      </c>
      <c r="AH453" s="150">
        <f t="shared" si="90"/>
        <v>8.9399999999998983</v>
      </c>
      <c r="AI453" s="147">
        <v>1.1118378080714353</v>
      </c>
      <c r="AJ453" s="1">
        <f t="shared" si="82"/>
        <v>327307.07884561305</v>
      </c>
    </row>
    <row r="454" spans="20:36">
      <c r="T454" s="140">
        <f t="shared" si="83"/>
        <v>12.40000000000005</v>
      </c>
      <c r="U454" s="140">
        <v>1.7359523732566033</v>
      </c>
      <c r="V454" s="140">
        <v>3.7963627517851865E-2</v>
      </c>
      <c r="W454" s="1">
        <f t="shared" si="91"/>
        <v>-0.25528967473882208</v>
      </c>
      <c r="X454" s="1">
        <f t="shared" si="85"/>
        <v>-25.919999999999852</v>
      </c>
      <c r="Y454" s="1">
        <f t="shared" si="86"/>
        <v>1.5186263260356332</v>
      </c>
      <c r="Z454" s="1">
        <f t="shared" si="87"/>
        <v>5.7335942389545723E-2</v>
      </c>
      <c r="AA454" s="1">
        <f t="shared" si="88"/>
        <v>26.486463163332083</v>
      </c>
      <c r="AC454" s="146">
        <f t="shared" si="84"/>
        <v>-4.9599999999999858</v>
      </c>
      <c r="AD454" s="147">
        <v>-9.3559818253586391E-2</v>
      </c>
      <c r="AE454" s="1">
        <f t="shared" si="89"/>
        <v>-27542.49818417789</v>
      </c>
      <c r="AH454" s="150">
        <f t="shared" si="90"/>
        <v>8.9599999999998978</v>
      </c>
      <c r="AI454" s="147">
        <v>1.1140667886613822</v>
      </c>
      <c r="AJ454" s="1">
        <f t="shared" ref="AJ454:AJ506" si="92">AI454*0.5*rho*V^2*SRef</f>
        <v>327963.25470184215</v>
      </c>
    </row>
    <row r="455" spans="20:36">
      <c r="T455" s="140">
        <f t="shared" si="83"/>
        <v>12.450000000000051</v>
      </c>
      <c r="U455" s="140">
        <v>1.7415248247314707</v>
      </c>
      <c r="V455" s="140">
        <v>3.8116706661069012E-2</v>
      </c>
      <c r="W455" s="1">
        <f t="shared" si="91"/>
        <v>-0.25606604848918174</v>
      </c>
      <c r="X455" s="1">
        <f t="shared" si="85"/>
        <v>-26.009999999999856</v>
      </c>
      <c r="Y455" s="1">
        <f t="shared" si="86"/>
        <v>1.5235754829033581</v>
      </c>
      <c r="Z455" s="1">
        <f t="shared" si="87"/>
        <v>5.7650258763546257E-2</v>
      </c>
      <c r="AA455" s="1">
        <f t="shared" si="88"/>
        <v>26.427903630967812</v>
      </c>
      <c r="AC455" s="146">
        <f t="shared" si="84"/>
        <v>-4.9799999999999853</v>
      </c>
      <c r="AD455" s="147">
        <v>-9.3937075585254076E-2</v>
      </c>
      <c r="AE455" s="1">
        <f t="shared" si="89"/>
        <v>-27653.556644597964</v>
      </c>
      <c r="AH455" s="150">
        <f t="shared" si="90"/>
        <v>8.9799999999998974</v>
      </c>
      <c r="AI455" s="147">
        <v>1.1162957692513291</v>
      </c>
      <c r="AJ455" s="1">
        <f t="shared" si="92"/>
        <v>328619.43055807118</v>
      </c>
    </row>
    <row r="456" spans="20:36">
      <c r="T456" s="140">
        <f t="shared" si="83"/>
        <v>12.500000000000052</v>
      </c>
      <c r="U456" s="140">
        <v>1.7470972762063381</v>
      </c>
      <c r="V456" s="140">
        <v>3.8269785804286152E-2</v>
      </c>
      <c r="W456" s="1">
        <f t="shared" si="91"/>
        <v>-0.25684242223954135</v>
      </c>
      <c r="X456" s="1">
        <f t="shared" si="85"/>
        <v>-26.099999999999852</v>
      </c>
      <c r="Y456" s="1">
        <f t="shared" si="86"/>
        <v>1.528524639771083</v>
      </c>
      <c r="Z456" s="1">
        <f t="shared" si="87"/>
        <v>5.7965642947558974E-2</v>
      </c>
      <c r="AA456" s="1">
        <f t="shared" si="88"/>
        <v>26.36949341101808</v>
      </c>
      <c r="AC456" s="146">
        <f t="shared" si="84"/>
        <v>-4.9999999999999849</v>
      </c>
      <c r="AD456" s="147">
        <v>-9.4314332916921748E-2</v>
      </c>
      <c r="AE456" s="1">
        <f t="shared" si="89"/>
        <v>-27764.615105018031</v>
      </c>
      <c r="AH456" s="150">
        <f t="shared" si="90"/>
        <v>8.999999999999897</v>
      </c>
      <c r="AI456" s="147">
        <v>1.118524749841276</v>
      </c>
      <c r="AJ456" s="1">
        <f t="shared" si="92"/>
        <v>329275.60641430027</v>
      </c>
    </row>
    <row r="457" spans="20:36">
      <c r="T457" s="140">
        <f t="shared" si="83"/>
        <v>12.550000000000052</v>
      </c>
      <c r="U457" s="140">
        <v>1.7526697276812055</v>
      </c>
      <c r="V457" s="140">
        <v>3.8422864947503306E-2</v>
      </c>
      <c r="W457" s="1">
        <f t="shared" si="91"/>
        <v>-0.25761879598990101</v>
      </c>
      <c r="X457" s="1">
        <f t="shared" si="85"/>
        <v>-26.189999999999856</v>
      </c>
      <c r="Y457" s="1">
        <f t="shared" si="86"/>
        <v>1.5334737966388079</v>
      </c>
      <c r="Z457" s="1">
        <f t="shared" si="87"/>
        <v>5.8282094941583838E-2</v>
      </c>
      <c r="AA457" s="1">
        <f t="shared" si="88"/>
        <v>26.311233290014869</v>
      </c>
      <c r="AC457" s="146">
        <f t="shared" si="84"/>
        <v>-5.0199999999999845</v>
      </c>
      <c r="AD457" s="147">
        <v>-9.4691590248589433E-2</v>
      </c>
      <c r="AE457" s="1">
        <f t="shared" si="89"/>
        <v>-27875.673565438101</v>
      </c>
      <c r="AH457" s="150">
        <f t="shared" si="90"/>
        <v>9.0199999999998965</v>
      </c>
      <c r="AI457" s="147">
        <v>1.1207537304312229</v>
      </c>
      <c r="AJ457" s="1">
        <f t="shared" si="92"/>
        <v>329931.78227052931</v>
      </c>
    </row>
    <row r="458" spans="20:36">
      <c r="T458" s="140">
        <f t="shared" si="83"/>
        <v>12.600000000000053</v>
      </c>
      <c r="U458" s="140">
        <v>1.7582421791560729</v>
      </c>
      <c r="V458" s="140">
        <v>3.8575944090720446E-2</v>
      </c>
      <c r="W458" s="1">
        <f t="shared" si="91"/>
        <v>-0.25839516974026061</v>
      </c>
      <c r="X458" s="1">
        <f t="shared" si="85"/>
        <v>-26.279999999999852</v>
      </c>
      <c r="Y458" s="1">
        <f t="shared" si="86"/>
        <v>1.5384229535065328</v>
      </c>
      <c r="Z458" s="1">
        <f t="shared" si="87"/>
        <v>5.8599614745620865E-2</v>
      </c>
      <c r="AA458" s="1">
        <f t="shared" si="88"/>
        <v>26.253124021118225</v>
      </c>
      <c r="AC458" s="146">
        <f t="shared" si="84"/>
        <v>-5.039999999999984</v>
      </c>
      <c r="AD458" s="147">
        <v>-9.5068847580257104E-2</v>
      </c>
      <c r="AE458" s="1">
        <f t="shared" si="89"/>
        <v>-27986.732025858175</v>
      </c>
      <c r="AH458" s="150">
        <f t="shared" si="90"/>
        <v>9.0399999999998961</v>
      </c>
      <c r="AI458" s="147">
        <v>1.1229827110211699</v>
      </c>
      <c r="AJ458" s="1">
        <f t="shared" si="92"/>
        <v>330587.95812675834</v>
      </c>
    </row>
    <row r="459" spans="20:36">
      <c r="T459" s="140">
        <f t="shared" si="83"/>
        <v>12.650000000000054</v>
      </c>
      <c r="U459" s="140">
        <v>1.7638146306309408</v>
      </c>
      <c r="V459" s="140">
        <v>3.87290232339376E-2</v>
      </c>
      <c r="W459" s="1">
        <f t="shared" si="91"/>
        <v>-0.25917154349062027</v>
      </c>
      <c r="X459" s="1">
        <f t="shared" si="85"/>
        <v>-26.369999999999855</v>
      </c>
      <c r="Y459" s="1">
        <f t="shared" si="86"/>
        <v>1.5433721103742581</v>
      </c>
      <c r="Z459" s="1">
        <f t="shared" si="87"/>
        <v>5.891820235967006E-2</v>
      </c>
      <c r="AA459" s="1">
        <f t="shared" si="88"/>
        <v>26.195166324875988</v>
      </c>
      <c r="AC459" s="146">
        <f t="shared" si="84"/>
        <v>-5.0599999999999836</v>
      </c>
      <c r="AD459" s="147">
        <v>-9.544610491192479E-2</v>
      </c>
      <c r="AE459" s="1">
        <f t="shared" si="89"/>
        <v>-28097.790486278242</v>
      </c>
      <c r="AH459" s="150">
        <f t="shared" si="90"/>
        <v>9.0599999999998957</v>
      </c>
      <c r="AI459" s="147">
        <v>1.1252116916111168</v>
      </c>
      <c r="AJ459" s="1">
        <f t="shared" si="92"/>
        <v>331244.13398298738</v>
      </c>
    </row>
    <row r="460" spans="20:36">
      <c r="T460" s="140">
        <f t="shared" si="83"/>
        <v>12.700000000000054</v>
      </c>
      <c r="U460" s="140">
        <v>1.7693870821058082</v>
      </c>
      <c r="V460" s="140">
        <v>3.888210237715474E-2</v>
      </c>
      <c r="W460" s="1">
        <f t="shared" si="91"/>
        <v>-0.25994791724097993</v>
      </c>
      <c r="X460" s="1">
        <f t="shared" si="85"/>
        <v>-26.479999999999855</v>
      </c>
      <c r="Y460" s="1">
        <f t="shared" si="86"/>
        <v>1.548321267241983</v>
      </c>
      <c r="Z460" s="1">
        <f t="shared" si="87"/>
        <v>5.9237857783731418E-2</v>
      </c>
      <c r="AA460" s="1">
        <f t="shared" si="88"/>
        <v>26.137360889967916</v>
      </c>
      <c r="AC460" s="146">
        <f t="shared" si="84"/>
        <v>-5.0799999999999832</v>
      </c>
      <c r="AD460" s="147">
        <v>-9.5823362243592475E-2</v>
      </c>
      <c r="AE460" s="1">
        <f t="shared" si="89"/>
        <v>-28208.848946698312</v>
      </c>
      <c r="AH460" s="150">
        <f t="shared" si="90"/>
        <v>9.0799999999998953</v>
      </c>
      <c r="AI460" s="147">
        <v>1.1274406722010637</v>
      </c>
      <c r="AJ460" s="1">
        <f t="shared" si="92"/>
        <v>331900.30983921641</v>
      </c>
    </row>
    <row r="461" spans="20:36">
      <c r="T461" s="140">
        <f t="shared" si="83"/>
        <v>12.750000000000055</v>
      </c>
      <c r="U461" s="140">
        <v>1.7749595335806756</v>
      </c>
      <c r="V461" s="140">
        <v>3.9035181520371887E-2</v>
      </c>
      <c r="W461" s="1">
        <f t="shared" si="91"/>
        <v>-0.26072429099133954</v>
      </c>
      <c r="X461" s="1">
        <f t="shared" si="85"/>
        <v>-26.569999999999851</v>
      </c>
      <c r="Y461" s="1">
        <f t="shared" si="86"/>
        <v>1.5532704241097077</v>
      </c>
      <c r="Z461" s="1">
        <f t="shared" si="87"/>
        <v>5.9558581017804903E-2</v>
      </c>
      <c r="AA461" s="1">
        <f t="shared" si="88"/>
        <v>26.079708373934583</v>
      </c>
      <c r="AC461" s="146">
        <f t="shared" si="84"/>
        <v>-5.0999999999999828</v>
      </c>
      <c r="AD461" s="147">
        <v>-9.6200619575260146E-2</v>
      </c>
      <c r="AE461" s="1">
        <f t="shared" si="89"/>
        <v>-28319.907407118386</v>
      </c>
      <c r="AH461" s="150">
        <f t="shared" si="90"/>
        <v>9.0999999999998948</v>
      </c>
      <c r="AI461" s="147">
        <v>1.1296696527910106</v>
      </c>
      <c r="AJ461" s="1">
        <f t="shared" si="92"/>
        <v>332556.48569544544</v>
      </c>
    </row>
    <row r="462" spans="20:36">
      <c r="T462" s="140">
        <f t="shared" si="83"/>
        <v>12.800000000000056</v>
      </c>
      <c r="U462" s="140">
        <v>1.780531985055543</v>
      </c>
      <c r="V462" s="140">
        <v>3.9188260663589033E-2</v>
      </c>
      <c r="W462" s="1">
        <f t="shared" si="91"/>
        <v>-0.26150066474169914</v>
      </c>
      <c r="X462" s="1">
        <f t="shared" si="85"/>
        <v>-26.659999999999854</v>
      </c>
      <c r="Y462" s="1">
        <f t="shared" si="86"/>
        <v>1.5582195809774328</v>
      </c>
      <c r="Z462" s="1">
        <f t="shared" si="87"/>
        <v>5.9880372061890563E-2</v>
      </c>
      <c r="AA462" s="1">
        <f t="shared" si="88"/>
        <v>26.022209403891207</v>
      </c>
      <c r="AC462" s="146">
        <f t="shared" si="84"/>
        <v>-5.1199999999999823</v>
      </c>
      <c r="AD462" s="147">
        <v>-9.6577876906927831E-2</v>
      </c>
      <c r="AE462" s="1">
        <f t="shared" si="89"/>
        <v>-28430.965867538453</v>
      </c>
      <c r="AH462" s="150">
        <f t="shared" si="90"/>
        <v>9.1199999999998944</v>
      </c>
      <c r="AI462" s="147">
        <v>1.1318986333809575</v>
      </c>
      <c r="AJ462" s="1">
        <f t="shared" si="92"/>
        <v>333212.66155167454</v>
      </c>
    </row>
    <row r="463" spans="20:36">
      <c r="T463" s="140">
        <f t="shared" si="83"/>
        <v>12.850000000000056</v>
      </c>
      <c r="U463" s="140">
        <v>1.7861044365304104</v>
      </c>
      <c r="V463" s="140">
        <v>3.934133980680618E-2</v>
      </c>
      <c r="W463" s="1">
        <f t="shared" si="91"/>
        <v>-0.26227703849205874</v>
      </c>
      <c r="X463" s="1">
        <f t="shared" si="85"/>
        <v>-26.749999999999851</v>
      </c>
      <c r="Y463" s="1">
        <f t="shared" si="86"/>
        <v>1.5631687378451578</v>
      </c>
      <c r="Z463" s="1">
        <f t="shared" si="87"/>
        <v>6.0203230915988379E-2</v>
      </c>
      <c r="AA463" s="1">
        <f t="shared" si="88"/>
        <v>25.964864577226894</v>
      </c>
      <c r="AC463" s="146">
        <f t="shared" si="84"/>
        <v>-5.1399999999999819</v>
      </c>
      <c r="AD463" s="147">
        <v>-9.6955134238595503E-2</v>
      </c>
      <c r="AE463" s="1">
        <f t="shared" si="89"/>
        <v>-28542.024327958519</v>
      </c>
      <c r="AH463" s="150">
        <f t="shared" si="90"/>
        <v>9.139999999999894</v>
      </c>
      <c r="AI463" s="147">
        <v>1.1341276139709044</v>
      </c>
      <c r="AJ463" s="1">
        <f t="shared" si="92"/>
        <v>333868.83740790357</v>
      </c>
    </row>
    <row r="464" spans="20:36">
      <c r="T464" s="140">
        <f t="shared" si="83"/>
        <v>12.900000000000057</v>
      </c>
      <c r="U464" s="140">
        <v>1.7916768880052782</v>
      </c>
      <c r="V464" s="140">
        <v>3.9494418950023327E-2</v>
      </c>
      <c r="W464" s="1">
        <f t="shared" si="91"/>
        <v>-0.26305341224241846</v>
      </c>
      <c r="X464" s="1">
        <f t="shared" si="85"/>
        <v>-26.839999999999854</v>
      </c>
      <c r="Y464" s="1">
        <f t="shared" si="86"/>
        <v>1.5681178947128831</v>
      </c>
      <c r="Z464" s="1">
        <f t="shared" si="87"/>
        <v>6.0527157580098377E-2</v>
      </c>
      <c r="AA464" s="1">
        <f t="shared" si="88"/>
        <v>25.907674462289435</v>
      </c>
      <c r="AC464" s="146">
        <f t="shared" si="84"/>
        <v>-5.1599999999999815</v>
      </c>
      <c r="AD464" s="147">
        <v>-9.7332391570263188E-2</v>
      </c>
      <c r="AE464" s="1">
        <f t="shared" si="89"/>
        <v>-28653.08278837859</v>
      </c>
      <c r="AH464" s="150">
        <f t="shared" si="90"/>
        <v>9.1599999999998936</v>
      </c>
      <c r="AI464" s="147">
        <v>1.1363565945608514</v>
      </c>
      <c r="AJ464" s="1">
        <f t="shared" si="92"/>
        <v>334525.01326413255</v>
      </c>
    </row>
    <row r="465" spans="20:36">
      <c r="T465" s="140">
        <f t="shared" si="83"/>
        <v>12.950000000000058</v>
      </c>
      <c r="U465" s="140">
        <v>1.7972493394801456</v>
      </c>
      <c r="V465" s="140">
        <v>3.9647498093240474E-2</v>
      </c>
      <c r="W465" s="1">
        <f t="shared" si="91"/>
        <v>-0.26382978599277807</v>
      </c>
      <c r="X465" s="1">
        <f t="shared" si="85"/>
        <v>-26.929999999999851</v>
      </c>
      <c r="Y465" s="1">
        <f t="shared" si="86"/>
        <v>1.573067051580608</v>
      </c>
      <c r="Z465" s="1">
        <f t="shared" si="87"/>
        <v>6.085215205422051E-2</v>
      </c>
      <c r="AA465" s="1">
        <f t="shared" si="88"/>
        <v>25.850639599055974</v>
      </c>
      <c r="AC465" s="146">
        <f t="shared" si="84"/>
        <v>-5.1799999999999811</v>
      </c>
      <c r="AD465" s="147">
        <v>-9.7709648901930887E-2</v>
      </c>
      <c r="AE465" s="1">
        <f t="shared" si="89"/>
        <v>-28764.141248798664</v>
      </c>
      <c r="AH465" s="150">
        <f t="shared" si="90"/>
        <v>9.1799999999998931</v>
      </c>
      <c r="AI465" s="147">
        <v>1.1385855751507983</v>
      </c>
      <c r="AJ465" s="1">
        <f t="shared" si="92"/>
        <v>335181.18912036164</v>
      </c>
    </row>
    <row r="466" spans="20:36">
      <c r="T466" s="140">
        <f t="shared" si="83"/>
        <v>13.000000000000059</v>
      </c>
      <c r="U466" s="140">
        <v>1.802821790955013</v>
      </c>
      <c r="V466" s="140">
        <v>3.9800577236457614E-2</v>
      </c>
      <c r="W466" s="1">
        <f t="shared" si="91"/>
        <v>-0.26460615974313767</v>
      </c>
      <c r="X466" s="1">
        <f t="shared" si="85"/>
        <v>-27.019999999999854</v>
      </c>
      <c r="Y466" s="1">
        <f t="shared" si="86"/>
        <v>1.5780162084483329</v>
      </c>
      <c r="Z466" s="1">
        <f t="shared" si="87"/>
        <v>6.1178214338354804E-2</v>
      </c>
      <c r="AA466" s="1">
        <f t="shared" si="88"/>
        <v>25.793760499789844</v>
      </c>
      <c r="AC466" s="146">
        <f t="shared" si="84"/>
        <v>-5.1999999999999806</v>
      </c>
      <c r="AD466" s="147">
        <v>-9.8086906233598559E-2</v>
      </c>
      <c r="AE466" s="1">
        <f t="shared" si="89"/>
        <v>-28875.199709218734</v>
      </c>
      <c r="AH466" s="150">
        <f t="shared" si="90"/>
        <v>9.1999999999998927</v>
      </c>
      <c r="AI466" s="147">
        <v>1.1408145557407452</v>
      </c>
      <c r="AJ466" s="1">
        <f t="shared" si="92"/>
        <v>335837.36497659067</v>
      </c>
    </row>
    <row r="467" spans="20:36">
      <c r="T467" s="140">
        <f t="shared" si="83"/>
        <v>13.050000000000059</v>
      </c>
      <c r="U467" s="140">
        <v>1.8083942424298804</v>
      </c>
      <c r="V467" s="140">
        <v>3.9953656379674768E-2</v>
      </c>
      <c r="W467" s="1">
        <f t="shared" si="91"/>
        <v>-0.26538253349349733</v>
      </c>
      <c r="X467" s="1">
        <f t="shared" si="85"/>
        <v>-27.10999999999985</v>
      </c>
      <c r="Y467" s="1">
        <f t="shared" si="86"/>
        <v>1.5829653653160578</v>
      </c>
      <c r="Z467" s="1">
        <f t="shared" si="87"/>
        <v>6.1505344432501247E-2</v>
      </c>
      <c r="AA467" s="1">
        <f t="shared" si="88"/>
        <v>25.737037649683852</v>
      </c>
      <c r="AC467" s="146">
        <f t="shared" si="84"/>
        <v>-5.2199999999999802</v>
      </c>
      <c r="AD467" s="147">
        <v>-9.8464163565266244E-2</v>
      </c>
      <c r="AE467" s="1">
        <f t="shared" si="89"/>
        <v>-28986.258169638808</v>
      </c>
      <c r="AH467" s="150">
        <f t="shared" si="90"/>
        <v>9.2199999999998923</v>
      </c>
      <c r="AI467" s="147">
        <v>1.1430435363306921</v>
      </c>
      <c r="AJ467" s="1">
        <f t="shared" si="92"/>
        <v>336493.54083281971</v>
      </c>
    </row>
    <row r="468" spans="20:36">
      <c r="T468" s="140">
        <f t="shared" si="83"/>
        <v>13.10000000000006</v>
      </c>
      <c r="U468" s="140">
        <v>1.8139666939047481</v>
      </c>
      <c r="V468" s="140">
        <v>4.0106735522891908E-2</v>
      </c>
      <c r="W468" s="1">
        <f t="shared" si="91"/>
        <v>-0.26615890724385699</v>
      </c>
      <c r="X468" s="1">
        <f t="shared" si="85"/>
        <v>-27.199999999999854</v>
      </c>
      <c r="Y468" s="1">
        <f t="shared" si="86"/>
        <v>1.5879145221837829</v>
      </c>
      <c r="Z468" s="1">
        <f t="shared" si="87"/>
        <v>6.1833542336659865E-2</v>
      </c>
      <c r="AA468" s="1">
        <f t="shared" si="88"/>
        <v>25.680471507490203</v>
      </c>
      <c r="AC468" s="146">
        <f t="shared" si="84"/>
        <v>-5.2399999999999798</v>
      </c>
      <c r="AD468" s="147">
        <v>-9.8841420896933915E-2</v>
      </c>
      <c r="AE468" s="1">
        <f t="shared" si="89"/>
        <v>-29097.316630058875</v>
      </c>
      <c r="AH468" s="150">
        <f t="shared" si="90"/>
        <v>9.2399999999998919</v>
      </c>
      <c r="AI468" s="147">
        <v>1.145272516920639</v>
      </c>
      <c r="AJ468" s="1">
        <f t="shared" si="92"/>
        <v>337149.71668904874</v>
      </c>
    </row>
    <row r="469" spans="20:36">
      <c r="T469" s="140">
        <f t="shared" si="83"/>
        <v>13.150000000000061</v>
      </c>
      <c r="U469" s="140">
        <v>1.8195391453796157</v>
      </c>
      <c r="V469" s="140">
        <v>4.0259814666109055E-2</v>
      </c>
      <c r="W469" s="1">
        <f t="shared" si="91"/>
        <v>-0.26693528099421659</v>
      </c>
      <c r="X469" s="1">
        <f t="shared" si="85"/>
        <v>-27.28999999999985</v>
      </c>
      <c r="Y469" s="1">
        <f t="shared" si="86"/>
        <v>1.5928636790515083</v>
      </c>
      <c r="Z469" s="1">
        <f t="shared" si="87"/>
        <v>6.2162808050830638E-2</v>
      </c>
      <c r="AA469" s="1">
        <f t="shared" si="88"/>
        <v>25.624062506137445</v>
      </c>
      <c r="AC469" s="146">
        <f t="shared" si="84"/>
        <v>-5.2599999999999794</v>
      </c>
      <c r="AD469" s="147">
        <v>-9.9218678228601601E-2</v>
      </c>
      <c r="AE469" s="1">
        <f t="shared" si="89"/>
        <v>-29208.375090478945</v>
      </c>
      <c r="AH469" s="150">
        <f t="shared" si="90"/>
        <v>9.2599999999998914</v>
      </c>
      <c r="AI469" s="147">
        <v>1.1475014975105859</v>
      </c>
      <c r="AJ469" s="1">
        <f t="shared" si="92"/>
        <v>337805.89254527778</v>
      </c>
    </row>
    <row r="470" spans="20:36">
      <c r="T470" s="140">
        <f t="shared" si="83"/>
        <v>13.200000000000061</v>
      </c>
      <c r="U470" s="140">
        <v>1.8251115968544831</v>
      </c>
      <c r="V470" s="140">
        <v>4.0412893809326202E-2</v>
      </c>
      <c r="W470" s="1">
        <f t="shared" si="91"/>
        <v>-0.26771165474457626</v>
      </c>
      <c r="X470" s="1">
        <f t="shared" si="85"/>
        <v>-27.379999999999853</v>
      </c>
      <c r="Y470" s="1">
        <f t="shared" si="86"/>
        <v>1.5978128359192332</v>
      </c>
      <c r="Z470" s="1">
        <f t="shared" si="87"/>
        <v>6.2493141575013553E-2</v>
      </c>
      <c r="AA470" s="1">
        <f t="shared" si="88"/>
        <v>25.567811053334562</v>
      </c>
      <c r="AC470" s="146">
        <f t="shared" si="84"/>
        <v>-5.2799999999999789</v>
      </c>
      <c r="AD470" s="147">
        <v>-9.9595935560269286E-2</v>
      </c>
      <c r="AE470" s="1">
        <f t="shared" si="89"/>
        <v>-29319.433550899019</v>
      </c>
      <c r="AH470" s="150">
        <f t="shared" si="90"/>
        <v>9.279999999999891</v>
      </c>
      <c r="AI470" s="147">
        <v>1.1497304781005329</v>
      </c>
      <c r="AJ470" s="1">
        <f t="shared" si="92"/>
        <v>338462.06840150681</v>
      </c>
    </row>
    <row r="471" spans="20:36">
      <c r="T471" s="140">
        <f t="shared" si="83"/>
        <v>13.250000000000062</v>
      </c>
      <c r="U471" s="140">
        <v>1.8306840483293505</v>
      </c>
      <c r="V471" s="140">
        <v>4.0565972952543349E-2</v>
      </c>
      <c r="W471" s="1">
        <f t="shared" si="91"/>
        <v>-0.26848802849493592</v>
      </c>
      <c r="X471" s="1">
        <f t="shared" si="85"/>
        <v>-27.46999999999985</v>
      </c>
      <c r="Y471" s="1">
        <f t="shared" si="86"/>
        <v>1.6027619927869581</v>
      </c>
      <c r="Z471" s="1">
        <f t="shared" si="87"/>
        <v>6.2824542909208636E-2</v>
      </c>
      <c r="AA471" s="1">
        <f t="shared" si="88"/>
        <v>25.511717532162578</v>
      </c>
      <c r="AC471" s="146">
        <f t="shared" si="84"/>
        <v>-5.2999999999999785</v>
      </c>
      <c r="AD471" s="147">
        <v>-9.9973192891936957E-2</v>
      </c>
      <c r="AE471" s="1">
        <f t="shared" si="89"/>
        <v>-29430.492011319086</v>
      </c>
      <c r="AH471" s="150">
        <f>AH470+$AI$2</f>
        <v>9.2999999999998906</v>
      </c>
      <c r="AI471" s="147">
        <v>1.1519594586904798</v>
      </c>
      <c r="AJ471" s="1">
        <f t="shared" si="92"/>
        <v>339118.2442577359</v>
      </c>
    </row>
    <row r="472" spans="20:36">
      <c r="T472" s="140">
        <f t="shared" si="83"/>
        <v>13.300000000000063</v>
      </c>
      <c r="U472" s="140">
        <v>1.8362564998042181</v>
      </c>
      <c r="V472" s="140">
        <v>4.0719052095760495E-2</v>
      </c>
      <c r="W472" s="1">
        <f t="shared" si="91"/>
        <v>-0.26926440224529558</v>
      </c>
      <c r="X472" s="1">
        <f t="shared" si="85"/>
        <v>-27.559999999999853</v>
      </c>
      <c r="Y472" s="1">
        <f t="shared" si="86"/>
        <v>1.607711149654683</v>
      </c>
      <c r="Z472" s="1">
        <f t="shared" si="87"/>
        <v>6.3157012053415881E-2</v>
      </c>
      <c r="AA472" s="1">
        <f t="shared" si="88"/>
        <v>25.455782301653851</v>
      </c>
      <c r="AC472" s="146">
        <f t="shared" si="84"/>
        <v>-5.3199999999999781</v>
      </c>
      <c r="AD472" s="147">
        <v>-0.10035045022360464</v>
      </c>
      <c r="AE472" s="1">
        <f t="shared" si="89"/>
        <v>-29541.55047173916</v>
      </c>
      <c r="AH472" s="150">
        <f t="shared" ref="AH472:AH506" si="93">AH471+$AI$2</f>
        <v>9.3199999999998902</v>
      </c>
      <c r="AI472" s="147">
        <v>1.1541884392804267</v>
      </c>
      <c r="AJ472" s="1">
        <f t="shared" si="92"/>
        <v>339774.42011396494</v>
      </c>
    </row>
    <row r="473" spans="20:36">
      <c r="T473" s="140">
        <f t="shared" si="83"/>
        <v>13.350000000000064</v>
      </c>
      <c r="U473" s="140">
        <v>1.8418289512790855</v>
      </c>
      <c r="V473" s="140">
        <v>4.0872131238977642E-2</v>
      </c>
      <c r="W473" s="1">
        <f t="shared" si="91"/>
        <v>-0.27004077599565518</v>
      </c>
      <c r="X473" s="1">
        <f t="shared" si="85"/>
        <v>-27.649999999999849</v>
      </c>
      <c r="Y473" s="1">
        <f t="shared" si="86"/>
        <v>1.6126603065224081</v>
      </c>
      <c r="Z473" s="1">
        <f t="shared" si="87"/>
        <v>6.3490549007635289E-2</v>
      </c>
      <c r="AA473" s="1">
        <f t="shared" si="88"/>
        <v>25.40000569735933</v>
      </c>
      <c r="AC473" s="146">
        <f t="shared" si="84"/>
        <v>-5.3399999999999777</v>
      </c>
      <c r="AD473" s="147">
        <v>-0.10072770755527231</v>
      </c>
      <c r="AE473" s="1">
        <f t="shared" si="89"/>
        <v>-29652.608932159223</v>
      </c>
      <c r="AH473" s="150">
        <f t="shared" si="93"/>
        <v>9.3399999999998897</v>
      </c>
      <c r="AI473" s="147">
        <v>1.1564174198703738</v>
      </c>
      <c r="AJ473" s="1">
        <f t="shared" si="92"/>
        <v>340430.59597019403</v>
      </c>
    </row>
    <row r="474" spans="20:36">
      <c r="T474" s="140">
        <f t="shared" si="83"/>
        <v>13.400000000000064</v>
      </c>
      <c r="U474" s="140">
        <v>1.8474014027539531</v>
      </c>
      <c r="V474" s="140">
        <v>4.1025210382194789E-2</v>
      </c>
      <c r="W474" s="1">
        <f t="shared" si="91"/>
        <v>-0.27081714974601478</v>
      </c>
      <c r="X474" s="1">
        <f t="shared" si="85"/>
        <v>-27.739999999999853</v>
      </c>
      <c r="Y474" s="1">
        <f t="shared" si="86"/>
        <v>1.6176094633901332</v>
      </c>
      <c r="Z474" s="1">
        <f t="shared" si="87"/>
        <v>6.3825153771866858E-2</v>
      </c>
      <c r="AA474" s="1">
        <f t="shared" si="88"/>
        <v>25.344388031903975</v>
      </c>
      <c r="AC474" s="146">
        <f t="shared" si="84"/>
        <v>-5.3599999999999772</v>
      </c>
      <c r="AD474" s="147">
        <v>-0.10110496488694</v>
      </c>
      <c r="AE474" s="1">
        <f t="shared" si="89"/>
        <v>-29763.667392579297</v>
      </c>
      <c r="AH474" s="150">
        <f t="shared" si="93"/>
        <v>9.3599999999998893</v>
      </c>
      <c r="AI474" s="147">
        <v>1.1586464004603205</v>
      </c>
      <c r="AJ474" s="1">
        <f t="shared" si="92"/>
        <v>341086.77182642301</v>
      </c>
    </row>
    <row r="475" spans="20:36">
      <c r="T475" s="140">
        <f t="shared" si="83"/>
        <v>13.450000000000065</v>
      </c>
      <c r="U475" s="140">
        <v>1.8529738542288205</v>
      </c>
      <c r="V475" s="140">
        <v>4.1178289525411936E-2</v>
      </c>
      <c r="W475" s="1">
        <f t="shared" si="91"/>
        <v>-0.27159352349637444</v>
      </c>
      <c r="X475" s="1">
        <f t="shared" si="85"/>
        <v>-27.829999999999849</v>
      </c>
      <c r="Y475" s="1">
        <f t="shared" si="86"/>
        <v>1.6225586202578581</v>
      </c>
      <c r="Z475" s="1">
        <f t="shared" si="87"/>
        <v>6.4160826346110575E-2</v>
      </c>
      <c r="AA475" s="1">
        <f t="shared" si="88"/>
        <v>25.288929595530647</v>
      </c>
      <c r="AC475" s="146">
        <f t="shared" si="84"/>
        <v>-5.3799999999999768</v>
      </c>
      <c r="AD475" s="147">
        <v>-0.10148222221860768</v>
      </c>
      <c r="AE475" s="1">
        <f t="shared" si="89"/>
        <v>-29874.725852999371</v>
      </c>
      <c r="AH475" s="150">
        <f t="shared" si="93"/>
        <v>9.3799999999998889</v>
      </c>
      <c r="AI475" s="147">
        <v>1.1608753810502677</v>
      </c>
      <c r="AJ475" s="1">
        <f t="shared" si="92"/>
        <v>341742.94768265216</v>
      </c>
    </row>
    <row r="476" spans="20:36">
      <c r="T476" s="140">
        <f t="shared" si="83"/>
        <v>13.500000000000066</v>
      </c>
      <c r="U476" s="140">
        <v>1.8585463057036882</v>
      </c>
      <c r="V476" s="140">
        <v>4.1331368668629083E-2</v>
      </c>
      <c r="W476" s="1">
        <f t="shared" si="91"/>
        <v>-0.27236989724673411</v>
      </c>
      <c r="X476" s="1">
        <f t="shared" si="85"/>
        <v>-27.919999999999852</v>
      </c>
      <c r="Y476" s="1">
        <f t="shared" si="86"/>
        <v>1.6275077771255833</v>
      </c>
      <c r="Z476" s="1">
        <f t="shared" si="87"/>
        <v>6.449756673036644E-2</v>
      </c>
      <c r="AA476" s="1">
        <f t="shared" si="88"/>
        <v>25.233630656632627</v>
      </c>
      <c r="AC476" s="146">
        <f t="shared" si="84"/>
        <v>-5.3999999999999764</v>
      </c>
      <c r="AD476" s="147">
        <v>-0.10185947955027536</v>
      </c>
      <c r="AE476" s="1">
        <f t="shared" si="89"/>
        <v>-29985.784313419434</v>
      </c>
      <c r="AH476" s="150">
        <f t="shared" si="93"/>
        <v>9.3999999999998884</v>
      </c>
      <c r="AI476" s="147">
        <v>1.1631043616402144</v>
      </c>
      <c r="AJ476" s="1">
        <f t="shared" si="92"/>
        <v>342399.12353888113</v>
      </c>
    </row>
    <row r="477" spans="20:36">
      <c r="T477" s="140">
        <f t="shared" si="83"/>
        <v>13.550000000000066</v>
      </c>
      <c r="U477" s="140">
        <v>1.8641187571785556</v>
      </c>
      <c r="V477" s="140">
        <v>4.148444781184623E-2</v>
      </c>
      <c r="W477" s="1">
        <f t="shared" si="91"/>
        <v>-0.27314627099709371</v>
      </c>
      <c r="X477" s="1">
        <f t="shared" si="85"/>
        <v>-28.029999999999852</v>
      </c>
      <c r="Y477" s="1">
        <f t="shared" si="86"/>
        <v>1.6324569339933079</v>
      </c>
      <c r="Z477" s="1">
        <f t="shared" si="87"/>
        <v>6.4835374924634495E-2</v>
      </c>
      <c r="AA477" s="1">
        <f t="shared" si="88"/>
        <v>25.178491462274994</v>
      </c>
      <c r="AC477" s="146">
        <f t="shared" si="84"/>
        <v>-5.4199999999999759</v>
      </c>
      <c r="AD477" s="147">
        <v>-0.10223673688194304</v>
      </c>
      <c r="AE477" s="1">
        <f t="shared" si="89"/>
        <v>-30096.842773839508</v>
      </c>
      <c r="AH477" s="150">
        <f t="shared" si="93"/>
        <v>9.419999999999888</v>
      </c>
      <c r="AI477" s="147">
        <v>1.1653333422301615</v>
      </c>
      <c r="AJ477" s="1">
        <f t="shared" si="92"/>
        <v>343055.29939511023</v>
      </c>
    </row>
    <row r="478" spans="20:36">
      <c r="T478" s="140">
        <f t="shared" si="83"/>
        <v>13.600000000000067</v>
      </c>
      <c r="U478" s="140">
        <v>1.869691208653423</v>
      </c>
      <c r="V478" s="140">
        <v>4.163752695506337E-2</v>
      </c>
      <c r="W478" s="1">
        <f t="shared" si="91"/>
        <v>-0.27392264474745337</v>
      </c>
      <c r="X478" s="1">
        <f t="shared" si="85"/>
        <v>-28.119999999999848</v>
      </c>
      <c r="Y478" s="1">
        <f t="shared" si="86"/>
        <v>1.6374060908610328</v>
      </c>
      <c r="Z478" s="1">
        <f t="shared" si="87"/>
        <v>6.5174250928914657E-2</v>
      </c>
      <c r="AA478" s="1">
        <f t="shared" si="88"/>
        <v>25.123512238705228</v>
      </c>
      <c r="AC478" s="146">
        <f t="shared" si="84"/>
        <v>-5.4399999999999755</v>
      </c>
      <c r="AD478" s="147">
        <v>-0.10261399421361071</v>
      </c>
      <c r="AE478" s="1">
        <f t="shared" si="89"/>
        <v>-30207.901234259571</v>
      </c>
      <c r="AH478" s="150">
        <f t="shared" si="93"/>
        <v>9.4399999999998876</v>
      </c>
      <c r="AI478" s="147">
        <v>1.1675623228201082</v>
      </c>
      <c r="AJ478" s="1">
        <f t="shared" si="92"/>
        <v>343711.4752513392</v>
      </c>
    </row>
    <row r="479" spans="20:36">
      <c r="T479" s="140">
        <f t="shared" si="83"/>
        <v>13.650000000000068</v>
      </c>
      <c r="U479" s="140">
        <v>1.8752636601282906</v>
      </c>
      <c r="V479" s="140">
        <v>4.1790606098280517E-2</v>
      </c>
      <c r="W479" s="1">
        <f t="shared" si="91"/>
        <v>-0.27469901849781297</v>
      </c>
      <c r="X479" s="1">
        <f t="shared" si="85"/>
        <v>-28.209999999999852</v>
      </c>
      <c r="Y479" s="1">
        <f t="shared" si="86"/>
        <v>1.6423552477287582</v>
      </c>
      <c r="Z479" s="1">
        <f t="shared" si="87"/>
        <v>6.5514194743207035E-2</v>
      </c>
      <c r="AA479" s="1">
        <f t="shared" si="88"/>
        <v>25.068693191852883</v>
      </c>
      <c r="AC479" s="146">
        <f t="shared" si="84"/>
        <v>-5.4599999999999751</v>
      </c>
      <c r="AD479" s="147">
        <v>-0.1029912515452784</v>
      </c>
      <c r="AE479" s="1">
        <f t="shared" si="89"/>
        <v>-30318.959694679645</v>
      </c>
      <c r="AH479" s="150">
        <f t="shared" si="93"/>
        <v>9.4599999999998872</v>
      </c>
      <c r="AI479" s="147">
        <v>1.1697913034100553</v>
      </c>
      <c r="AJ479" s="1">
        <f t="shared" si="92"/>
        <v>344367.65110756829</v>
      </c>
    </row>
    <row r="480" spans="20:36">
      <c r="T480" s="140">
        <f t="shared" ref="T480:T543" si="94">T479+$V$2</f>
        <v>13.700000000000069</v>
      </c>
      <c r="U480" s="140">
        <v>1.8808361116031582</v>
      </c>
      <c r="V480" s="140">
        <v>4.1943685241497664E-2</v>
      </c>
      <c r="W480" s="1">
        <f t="shared" si="91"/>
        <v>-0.27547539224817263</v>
      </c>
      <c r="X480" s="1">
        <f t="shared" si="85"/>
        <v>-28.299999999999848</v>
      </c>
      <c r="Y480" s="1">
        <f t="shared" si="86"/>
        <v>1.6473044045964831</v>
      </c>
      <c r="Z480" s="1">
        <f t="shared" si="87"/>
        <v>6.5855206367511548E-2</v>
      </c>
      <c r="AA480" s="1">
        <f t="shared" si="88"/>
        <v>25.014034507819115</v>
      </c>
      <c r="AC480" s="146">
        <f t="shared" si="84"/>
        <v>-5.4799999999999747</v>
      </c>
      <c r="AD480" s="147">
        <v>-0.10336850887694608</v>
      </c>
      <c r="AE480" s="1">
        <f t="shared" si="89"/>
        <v>-30430.018155099719</v>
      </c>
      <c r="AH480" s="150">
        <f t="shared" si="93"/>
        <v>9.4799999999998867</v>
      </c>
      <c r="AI480" s="147">
        <v>1.172020284000002</v>
      </c>
      <c r="AJ480" s="1">
        <f t="shared" si="92"/>
        <v>345023.82696379727</v>
      </c>
    </row>
    <row r="481" spans="20:36">
      <c r="T481" s="140">
        <f t="shared" si="94"/>
        <v>13.750000000000069</v>
      </c>
      <c r="U481" s="140">
        <v>1.8864085630780256</v>
      </c>
      <c r="V481" s="140">
        <v>4.209676438471481E-2</v>
      </c>
      <c r="W481" s="1">
        <f t="shared" si="91"/>
        <v>-0.27625176599853224</v>
      </c>
      <c r="X481" s="1">
        <f t="shared" si="85"/>
        <v>-28.389999999999851</v>
      </c>
      <c r="Y481" s="1">
        <f t="shared" si="86"/>
        <v>1.6522535614642082</v>
      </c>
      <c r="Z481" s="1">
        <f t="shared" si="87"/>
        <v>6.619728580182821E-2</v>
      </c>
      <c r="AA481" s="1">
        <f t="shared" si="88"/>
        <v>24.959536353355698</v>
      </c>
      <c r="AC481" s="146">
        <f t="shared" si="84"/>
        <v>-5.4999999999999742</v>
      </c>
      <c r="AD481" s="147">
        <v>-0.10374576620861375</v>
      </c>
      <c r="AE481" s="1">
        <f t="shared" si="89"/>
        <v>-30541.076615519782</v>
      </c>
      <c r="AH481" s="150">
        <f t="shared" si="93"/>
        <v>9.4999999999998863</v>
      </c>
      <c r="AI481" s="147">
        <v>1.1742492645899492</v>
      </c>
      <c r="AJ481" s="1">
        <f t="shared" si="92"/>
        <v>345680.00282002636</v>
      </c>
    </row>
    <row r="482" spans="20:36">
      <c r="T482" s="140">
        <f t="shared" si="94"/>
        <v>13.80000000000007</v>
      </c>
      <c r="U482" s="140">
        <v>1.891981014552893</v>
      </c>
      <c r="V482" s="140">
        <v>4.2249843527931957E-2</v>
      </c>
      <c r="W482" s="1">
        <f t="shared" si="91"/>
        <v>-0.2770281397488919</v>
      </c>
      <c r="X482" s="1">
        <f t="shared" si="85"/>
        <v>-28.479999999999848</v>
      </c>
      <c r="Y482" s="1">
        <f t="shared" si="86"/>
        <v>1.6572027183319331</v>
      </c>
      <c r="Z482" s="1">
        <f t="shared" si="87"/>
        <v>6.6540433046157033E-2</v>
      </c>
      <c r="AA482" s="1">
        <f t="shared" si="88"/>
        <v>24.905198876334079</v>
      </c>
      <c r="AC482" s="146">
        <f t="shared" si="84"/>
        <v>-5.5199999999999738</v>
      </c>
      <c r="AD482" s="147">
        <v>-0.10412302354028144</v>
      </c>
      <c r="AE482" s="1">
        <f t="shared" si="89"/>
        <v>-30652.135075939856</v>
      </c>
      <c r="AH482" s="150">
        <f t="shared" si="93"/>
        <v>9.5199999999998859</v>
      </c>
      <c r="AI482" s="147">
        <v>1.1764782451798959</v>
      </c>
      <c r="AJ482" s="1">
        <f t="shared" si="92"/>
        <v>346336.17867625534</v>
      </c>
    </row>
    <row r="483" spans="20:36">
      <c r="T483" s="140">
        <f t="shared" si="94"/>
        <v>13.850000000000071</v>
      </c>
      <c r="U483" s="140">
        <v>1.8975534660277604</v>
      </c>
      <c r="V483" s="140">
        <v>4.2402922671149104E-2</v>
      </c>
      <c r="W483" s="1">
        <f t="shared" si="91"/>
        <v>-0.2778045134992515</v>
      </c>
      <c r="X483" s="1">
        <f t="shared" si="85"/>
        <v>-28.569999999999851</v>
      </c>
      <c r="Y483" s="1">
        <f t="shared" si="86"/>
        <v>1.662151875199658</v>
      </c>
      <c r="Z483" s="1">
        <f t="shared" si="87"/>
        <v>6.6884648100498004E-2</v>
      </c>
      <c r="AA483" s="1">
        <f t="shared" si="88"/>
        <v>24.851022206204625</v>
      </c>
      <c r="AC483" s="146">
        <f t="shared" si="84"/>
        <v>-5.5399999999999734</v>
      </c>
      <c r="AD483" s="147">
        <v>-0.10450028087194911</v>
      </c>
      <c r="AE483" s="1">
        <f t="shared" si="89"/>
        <v>-30763.193536359926</v>
      </c>
      <c r="AH483" s="150">
        <f t="shared" si="93"/>
        <v>9.5399999999998855</v>
      </c>
      <c r="AI483" s="147">
        <v>1.178707225769843</v>
      </c>
      <c r="AJ483" s="1">
        <f t="shared" si="92"/>
        <v>346992.35453248449</v>
      </c>
    </row>
    <row r="484" spans="20:36">
      <c r="T484" s="140">
        <f t="shared" si="94"/>
        <v>13.900000000000071</v>
      </c>
      <c r="U484" s="140">
        <v>1.9031259175026283</v>
      </c>
      <c r="V484" s="140">
        <v>4.2556001814366251E-2</v>
      </c>
      <c r="W484" s="1">
        <f t="shared" si="91"/>
        <v>-0.27858088724961116</v>
      </c>
      <c r="X484" s="1">
        <f t="shared" si="85"/>
        <v>-28.659999999999847</v>
      </c>
      <c r="Y484" s="1">
        <f t="shared" si="86"/>
        <v>1.6671010320673834</v>
      </c>
      <c r="Z484" s="1">
        <f t="shared" si="87"/>
        <v>6.7229930964851151E-2</v>
      </c>
      <c r="AA484" s="1">
        <f t="shared" si="88"/>
        <v>24.797006454446155</v>
      </c>
      <c r="AC484" s="146">
        <f t="shared" si="84"/>
        <v>-5.559999999999973</v>
      </c>
      <c r="AD484" s="147">
        <v>-0.1048775382036168</v>
      </c>
      <c r="AE484" s="1">
        <f t="shared" si="89"/>
        <v>-30874.251996779993</v>
      </c>
      <c r="AH484" s="150">
        <f t="shared" si="93"/>
        <v>9.559999999999885</v>
      </c>
      <c r="AI484" s="147">
        <v>1.1809362063597897</v>
      </c>
      <c r="AJ484" s="1">
        <f t="shared" si="92"/>
        <v>347648.53038871341</v>
      </c>
    </row>
    <row r="485" spans="20:36">
      <c r="T485" s="140">
        <f t="shared" si="94"/>
        <v>13.950000000000072</v>
      </c>
      <c r="U485" s="140">
        <v>1.9086983689774957</v>
      </c>
      <c r="V485" s="140">
        <v>4.2709080957583398E-2</v>
      </c>
      <c r="W485" s="1">
        <f t="shared" si="91"/>
        <v>-0.27935726099997082</v>
      </c>
      <c r="X485" s="1">
        <f t="shared" si="85"/>
        <v>-28.749999999999851</v>
      </c>
      <c r="Y485" s="1">
        <f t="shared" si="86"/>
        <v>1.6720501889351083</v>
      </c>
      <c r="Z485" s="1">
        <f t="shared" si="87"/>
        <v>6.7576281639216446E-2</v>
      </c>
      <c r="AA485" s="1">
        <f t="shared" si="88"/>
        <v>24.743151715006022</v>
      </c>
      <c r="AC485" s="146">
        <f t="shared" si="84"/>
        <v>-5.5799999999999725</v>
      </c>
      <c r="AD485" s="147">
        <v>-0.10525479553528448</v>
      </c>
      <c r="AE485" s="1">
        <f t="shared" si="89"/>
        <v>-30985.310457200067</v>
      </c>
      <c r="AH485" s="150">
        <f t="shared" si="93"/>
        <v>9.5799999999998846</v>
      </c>
      <c r="AI485" s="147">
        <v>1.1831651869497368</v>
      </c>
      <c r="AJ485" s="1">
        <f t="shared" si="92"/>
        <v>348304.70624494262</v>
      </c>
    </row>
    <row r="486" spans="20:36">
      <c r="T486" s="140">
        <f t="shared" si="94"/>
        <v>14.000000000000073</v>
      </c>
      <c r="U486" s="140">
        <v>1.9142708204523631</v>
      </c>
      <c r="V486" s="140">
        <v>4.2862160100800545E-2</v>
      </c>
      <c r="W486" s="1">
        <f t="shared" si="91"/>
        <v>-0.28013363475033043</v>
      </c>
      <c r="X486" s="1">
        <f t="shared" si="85"/>
        <v>-28.839999999999847</v>
      </c>
      <c r="Y486" s="1">
        <f t="shared" si="86"/>
        <v>1.6769993458028332</v>
      </c>
      <c r="Z486" s="1">
        <f t="shared" si="87"/>
        <v>6.7923700123593916E-2</v>
      </c>
      <c r="AA486" s="1">
        <f t="shared" si="88"/>
        <v>24.68945806473096</v>
      </c>
      <c r="AC486" s="146">
        <f t="shared" si="84"/>
        <v>-5.5999999999999721</v>
      </c>
      <c r="AD486" s="147">
        <v>-0.10563205286695215</v>
      </c>
      <c r="AE486" s="1">
        <f t="shared" si="89"/>
        <v>-31096.368917620137</v>
      </c>
      <c r="AH486" s="150">
        <f t="shared" si="93"/>
        <v>9.5999999999998842</v>
      </c>
      <c r="AI486" s="147">
        <v>1.1853941675396835</v>
      </c>
      <c r="AJ486" s="1">
        <f t="shared" si="92"/>
        <v>348960.88210117159</v>
      </c>
    </row>
    <row r="487" spans="20:36">
      <c r="T487" s="140">
        <f t="shared" si="94"/>
        <v>14.050000000000074</v>
      </c>
      <c r="U487" s="140">
        <v>1.9198432719272305</v>
      </c>
      <c r="V487" s="140">
        <v>4.3015239244017685E-2</v>
      </c>
      <c r="W487" s="1">
        <f t="shared" si="91"/>
        <v>-0.28091000850069009</v>
      </c>
      <c r="X487" s="1">
        <f t="shared" si="85"/>
        <v>-28.929999999999851</v>
      </c>
      <c r="Y487" s="1">
        <f t="shared" si="86"/>
        <v>1.6819485026705581</v>
      </c>
      <c r="Z487" s="1">
        <f t="shared" si="87"/>
        <v>6.8272186417983521E-2</v>
      </c>
      <c r="AA487" s="1">
        <f t="shared" si="88"/>
        <v>24.635925563788849</v>
      </c>
      <c r="AC487" s="146">
        <f t="shared" si="84"/>
        <v>-5.6199999999999717</v>
      </c>
      <c r="AD487" s="147">
        <v>-0.10600931019861984</v>
      </c>
      <c r="AE487" s="1">
        <f t="shared" si="89"/>
        <v>-31207.427378040204</v>
      </c>
      <c r="AH487" s="150">
        <f t="shared" si="93"/>
        <v>9.6199999999998838</v>
      </c>
      <c r="AI487" s="147">
        <v>1.1876231481296307</v>
      </c>
      <c r="AJ487" s="1">
        <f t="shared" si="92"/>
        <v>349617.05795740063</v>
      </c>
    </row>
    <row r="488" spans="20:36">
      <c r="T488" s="140">
        <f t="shared" si="94"/>
        <v>14.100000000000074</v>
      </c>
      <c r="U488" s="140">
        <v>1.9254157234020979</v>
      </c>
      <c r="V488" s="140">
        <v>4.3168318387234832E-2</v>
      </c>
      <c r="W488" s="1">
        <f t="shared" si="91"/>
        <v>-0.28168638225104969</v>
      </c>
      <c r="X488" s="1">
        <f t="shared" si="85"/>
        <v>-29.019999999999847</v>
      </c>
      <c r="Y488" s="1">
        <f t="shared" si="86"/>
        <v>1.6868976595382832</v>
      </c>
      <c r="Z488" s="1">
        <f t="shared" si="87"/>
        <v>6.8621740522385302E-2</v>
      </c>
      <c r="AA488" s="1">
        <f t="shared" si="88"/>
        <v>24.582554256081501</v>
      </c>
      <c r="AC488" s="146">
        <f t="shared" si="84"/>
        <v>-5.6399999999999713</v>
      </c>
      <c r="AD488" s="147">
        <v>-0.10638656753028751</v>
      </c>
      <c r="AE488" s="1">
        <f t="shared" si="89"/>
        <v>-31318.485838460274</v>
      </c>
      <c r="AH488" s="150">
        <f t="shared" si="93"/>
        <v>9.6399999999998833</v>
      </c>
      <c r="AI488" s="147">
        <v>1.1898521287195774</v>
      </c>
      <c r="AJ488" s="1">
        <f t="shared" si="92"/>
        <v>350273.2338136296</v>
      </c>
    </row>
    <row r="489" spans="20:36">
      <c r="T489" s="140">
        <f t="shared" si="94"/>
        <v>14.150000000000075</v>
      </c>
      <c r="U489" s="140">
        <v>1.9309881748769657</v>
      </c>
      <c r="V489" s="140">
        <v>4.3321397530451979E-2</v>
      </c>
      <c r="W489" s="1">
        <f t="shared" si="91"/>
        <v>-0.28246275600140941</v>
      </c>
      <c r="X489" s="1">
        <f t="shared" si="85"/>
        <v>-29.10999999999985</v>
      </c>
      <c r="Y489" s="1">
        <f t="shared" si="86"/>
        <v>1.6918468164060083</v>
      </c>
      <c r="Z489" s="1">
        <f t="shared" si="87"/>
        <v>6.8972362436799245E-2</v>
      </c>
      <c r="AA489" s="1">
        <f t="shared" si="88"/>
        <v>24.529344169648841</v>
      </c>
      <c r="AC489" s="146">
        <f t="shared" si="84"/>
        <v>-5.6599999999999708</v>
      </c>
      <c r="AD489" s="147">
        <v>-0.10676382486195519</v>
      </c>
      <c r="AE489" s="1">
        <f t="shared" si="89"/>
        <v>-31429.544298880348</v>
      </c>
      <c r="AH489" s="150">
        <f t="shared" si="93"/>
        <v>9.6599999999998829</v>
      </c>
      <c r="AI489" s="147">
        <v>1.1920811093095245</v>
      </c>
      <c r="AJ489" s="1">
        <f t="shared" si="92"/>
        <v>350929.40966985869</v>
      </c>
    </row>
    <row r="490" spans="20:36">
      <c r="T490" s="140">
        <f t="shared" si="94"/>
        <v>14.200000000000076</v>
      </c>
      <c r="U490" s="140">
        <v>1.9365606263518331</v>
      </c>
      <c r="V490" s="140">
        <v>4.3474476673669125E-2</v>
      </c>
      <c r="W490" s="1">
        <f t="shared" si="91"/>
        <v>-0.28323912975176901</v>
      </c>
      <c r="X490" s="1">
        <f t="shared" si="85"/>
        <v>-29.199999999999847</v>
      </c>
      <c r="Y490" s="1">
        <f t="shared" si="86"/>
        <v>1.6967959732737334</v>
      </c>
      <c r="Z490" s="1">
        <f t="shared" si="87"/>
        <v>6.9324052161225322E-2</v>
      </c>
      <c r="AA490" s="1">
        <f t="shared" si="88"/>
        <v>24.476295317064483</v>
      </c>
      <c r="AC490" s="146">
        <f t="shared" si="84"/>
        <v>-5.6799999999999704</v>
      </c>
      <c r="AD490" s="147">
        <v>-0.10714108219362288</v>
      </c>
      <c r="AE490" s="1">
        <f t="shared" si="89"/>
        <v>-31540.602759300415</v>
      </c>
      <c r="AH490" s="150">
        <f t="shared" si="93"/>
        <v>9.6799999999998825</v>
      </c>
      <c r="AI490" s="147">
        <v>1.1943100898994712</v>
      </c>
      <c r="AJ490" s="1">
        <f t="shared" si="92"/>
        <v>351585.58552608773</v>
      </c>
    </row>
    <row r="491" spans="20:36">
      <c r="T491" s="140">
        <f t="shared" si="94"/>
        <v>14.250000000000076</v>
      </c>
      <c r="U491" s="140">
        <v>1.9421330778267005</v>
      </c>
      <c r="V491" s="140">
        <v>4.3627555816886272E-2</v>
      </c>
      <c r="W491" s="1">
        <f t="shared" si="91"/>
        <v>-0.28401550350212862</v>
      </c>
      <c r="X491" s="1">
        <f t="shared" si="85"/>
        <v>-29.28999999999985</v>
      </c>
      <c r="Y491" s="1">
        <f t="shared" si="86"/>
        <v>1.7017451301414583</v>
      </c>
      <c r="Z491" s="1">
        <f t="shared" si="87"/>
        <v>6.9676809695663561E-2</v>
      </c>
      <c r="AA491" s="1">
        <f t="shared" si="88"/>
        <v>24.423407695822917</v>
      </c>
      <c r="AC491" s="146">
        <f t="shared" ref="AC491:AC554" si="95">AC490-$AD$2</f>
        <v>-5.69999999999997</v>
      </c>
      <c r="AD491" s="147">
        <v>-0.10751833952529055</v>
      </c>
      <c r="AE491" s="1">
        <f t="shared" si="89"/>
        <v>-31651.661219720485</v>
      </c>
      <c r="AH491" s="150">
        <f t="shared" si="93"/>
        <v>9.699999999999882</v>
      </c>
      <c r="AI491" s="147">
        <v>1.1965390704894183</v>
      </c>
      <c r="AJ491" s="1">
        <f t="shared" si="92"/>
        <v>352241.76138231682</v>
      </c>
    </row>
    <row r="492" spans="20:36">
      <c r="T492" s="140">
        <f t="shared" si="94"/>
        <v>14.300000000000077</v>
      </c>
      <c r="U492" s="140">
        <v>1.9477055293015679</v>
      </c>
      <c r="V492" s="140">
        <v>4.3780634960103419E-2</v>
      </c>
      <c r="W492" s="1">
        <f t="shared" si="91"/>
        <v>-0.28479187725248828</v>
      </c>
      <c r="X492" s="1">
        <f t="shared" si="85"/>
        <v>-29.379999999999846</v>
      </c>
      <c r="Y492" s="1">
        <f t="shared" si="86"/>
        <v>1.706694287009183</v>
      </c>
      <c r="Z492" s="1">
        <f t="shared" si="87"/>
        <v>7.0030635040113975E-2</v>
      </c>
      <c r="AA492" s="1">
        <f t="shared" si="88"/>
        <v>24.370681288718547</v>
      </c>
      <c r="AC492" s="146">
        <f t="shared" si="95"/>
        <v>-5.7199999999999696</v>
      </c>
      <c r="AD492" s="147">
        <v>-0.10789559685695824</v>
      </c>
      <c r="AE492" s="1">
        <f t="shared" si="89"/>
        <v>-31762.719680140559</v>
      </c>
      <c r="AH492" s="150">
        <f t="shared" si="93"/>
        <v>9.7199999999998816</v>
      </c>
      <c r="AI492" s="147">
        <v>1.198768051079365</v>
      </c>
      <c r="AJ492" s="1">
        <f t="shared" si="92"/>
        <v>352897.9372385458</v>
      </c>
    </row>
    <row r="493" spans="20:36">
      <c r="T493" s="140">
        <f t="shared" si="94"/>
        <v>14.350000000000078</v>
      </c>
      <c r="U493" s="140">
        <v>1.9532779807764353</v>
      </c>
      <c r="V493" s="140">
        <v>4.3933714103320566E-2</v>
      </c>
      <c r="W493" s="1">
        <f t="shared" si="91"/>
        <v>-0.28556825100284788</v>
      </c>
      <c r="X493" s="1">
        <f t="shared" si="85"/>
        <v>-29.46999999999985</v>
      </c>
      <c r="Y493" s="1">
        <f t="shared" si="86"/>
        <v>1.7116434438769079</v>
      </c>
      <c r="Z493" s="1">
        <f t="shared" si="87"/>
        <v>7.0385528194576524E-2</v>
      </c>
      <c r="AA493" s="1">
        <f t="shared" si="88"/>
        <v>24.318116064216689</v>
      </c>
      <c r="AC493" s="146">
        <f t="shared" si="95"/>
        <v>-5.7399999999999691</v>
      </c>
      <c r="AD493" s="147">
        <v>-0.10827285418862591</v>
      </c>
      <c r="AE493" s="1">
        <f t="shared" si="89"/>
        <v>-31873.778140560622</v>
      </c>
      <c r="AH493" s="150">
        <f t="shared" si="93"/>
        <v>9.7399999999998812</v>
      </c>
      <c r="AI493" s="147">
        <v>1.2009970316693122</v>
      </c>
      <c r="AJ493" s="1">
        <f t="shared" si="92"/>
        <v>353554.11309477489</v>
      </c>
    </row>
    <row r="494" spans="20:36">
      <c r="T494" s="140">
        <f t="shared" si="94"/>
        <v>14.400000000000079</v>
      </c>
      <c r="U494" s="140">
        <v>1.9588504322513032</v>
      </c>
      <c r="V494" s="140">
        <v>4.4086793246537706E-2</v>
      </c>
      <c r="W494" s="1">
        <f t="shared" si="91"/>
        <v>-0.2863446247532076</v>
      </c>
      <c r="X494" s="1">
        <f t="shared" si="85"/>
        <v>-29.579999999999849</v>
      </c>
      <c r="Y494" s="1">
        <f t="shared" si="86"/>
        <v>1.7165926007446335</v>
      </c>
      <c r="Z494" s="1">
        <f t="shared" si="87"/>
        <v>7.0741489159051263E-2</v>
      </c>
      <c r="AA494" s="1">
        <f t="shared" si="88"/>
        <v>24.265711976816622</v>
      </c>
      <c r="AC494" s="146">
        <f t="shared" si="95"/>
        <v>-5.7599999999999687</v>
      </c>
      <c r="AD494" s="147">
        <v>-0.10865011152029359</v>
      </c>
      <c r="AE494" s="1">
        <f t="shared" si="89"/>
        <v>-31984.836600980696</v>
      </c>
      <c r="AH494" s="150">
        <f t="shared" si="93"/>
        <v>9.7599999999998808</v>
      </c>
      <c r="AI494" s="147">
        <v>1.2032260122592588</v>
      </c>
      <c r="AJ494" s="1">
        <f t="shared" si="92"/>
        <v>354210.28895100387</v>
      </c>
    </row>
    <row r="495" spans="20:36">
      <c r="T495" s="140">
        <f t="shared" si="94"/>
        <v>14.450000000000079</v>
      </c>
      <c r="U495" s="140">
        <v>1.9644228837261706</v>
      </c>
      <c r="V495" s="140">
        <v>4.423987238975486E-2</v>
      </c>
      <c r="W495" s="1">
        <f t="shared" si="91"/>
        <v>-0.2871209985035672</v>
      </c>
      <c r="X495" s="1">
        <f t="shared" si="85"/>
        <v>-29.669999999999845</v>
      </c>
      <c r="Y495" s="1">
        <f t="shared" si="86"/>
        <v>1.7215417576123584</v>
      </c>
      <c r="Z495" s="1">
        <f t="shared" si="87"/>
        <v>7.109851793353815E-2</v>
      </c>
      <c r="AA495" s="1">
        <f t="shared" si="88"/>
        <v>24.213468967407032</v>
      </c>
      <c r="AC495" s="146">
        <f t="shared" si="95"/>
        <v>-5.7799999999999683</v>
      </c>
      <c r="AD495" s="147">
        <v>-0.10902736885196128</v>
      </c>
      <c r="AE495" s="1">
        <f t="shared" si="89"/>
        <v>-32095.89506140077</v>
      </c>
      <c r="AH495" s="150">
        <f t="shared" si="93"/>
        <v>9.7799999999998803</v>
      </c>
      <c r="AI495" s="147">
        <v>1.205454992849206</v>
      </c>
      <c r="AJ495" s="1">
        <f t="shared" si="92"/>
        <v>354866.46480723296</v>
      </c>
    </row>
    <row r="496" spans="20:36">
      <c r="T496" s="140">
        <f t="shared" si="94"/>
        <v>14.50000000000008</v>
      </c>
      <c r="U496" s="140">
        <v>1.969995335201038</v>
      </c>
      <c r="V496" s="140">
        <v>4.4392951532972007E-2</v>
      </c>
      <c r="W496" s="1">
        <f t="shared" si="91"/>
        <v>-0.28789737225392681</v>
      </c>
      <c r="X496" s="1">
        <f t="shared" si="85"/>
        <v>-29.759999999999849</v>
      </c>
      <c r="Y496" s="1">
        <f t="shared" si="86"/>
        <v>1.7264909144800833</v>
      </c>
      <c r="Z496" s="1">
        <f t="shared" si="87"/>
        <v>7.1456614518037184E-2</v>
      </c>
      <c r="AA496" s="1">
        <f t="shared" si="88"/>
        <v>24.161386963613843</v>
      </c>
      <c r="AC496" s="146">
        <f t="shared" si="95"/>
        <v>-5.7999999999999678</v>
      </c>
      <c r="AD496" s="147">
        <v>-0.10940462618362895</v>
      </c>
      <c r="AE496" s="1">
        <f t="shared" si="89"/>
        <v>-32206.953521820833</v>
      </c>
      <c r="AH496" s="150">
        <f t="shared" si="93"/>
        <v>9.7999999999998799</v>
      </c>
      <c r="AI496" s="147">
        <v>1.2076839734391527</v>
      </c>
      <c r="AJ496" s="1">
        <f t="shared" si="92"/>
        <v>355522.64066346193</v>
      </c>
    </row>
    <row r="497" spans="20:36">
      <c r="T497" s="140">
        <f t="shared" si="94"/>
        <v>14.550000000000081</v>
      </c>
      <c r="U497" s="140">
        <v>1.9755677866759054</v>
      </c>
      <c r="V497" s="140">
        <v>4.4546030676189147E-2</v>
      </c>
      <c r="W497" s="1">
        <f t="shared" si="91"/>
        <v>-0.28867374600428641</v>
      </c>
      <c r="X497" s="1">
        <f t="shared" ref="X497:X546" si="96">INDEX($AC$6:$AC$1006,MATCH(W497,$AD$6:$AD$1006,-1))-T497</f>
        <v>-29.849999999999845</v>
      </c>
      <c r="Y497" s="1">
        <f t="shared" si="86"/>
        <v>1.7314400713478082</v>
      </c>
      <c r="Z497" s="1">
        <f t="shared" si="87"/>
        <v>7.1815778912548381E-2</v>
      </c>
      <c r="AA497" s="1">
        <f t="shared" si="88"/>
        <v>24.109465880140629</v>
      </c>
      <c r="AC497" s="146">
        <f t="shared" si="95"/>
        <v>-5.8199999999999674</v>
      </c>
      <c r="AD497" s="147">
        <v>-0.10978188351529664</v>
      </c>
      <c r="AE497" s="1">
        <f t="shared" si="89"/>
        <v>-32318.011982240907</v>
      </c>
      <c r="AH497" s="150">
        <f t="shared" si="93"/>
        <v>9.8199999999998795</v>
      </c>
      <c r="AI497" s="147">
        <v>1.2099129540290998</v>
      </c>
      <c r="AJ497" s="1">
        <f t="shared" si="92"/>
        <v>356178.81651969108</v>
      </c>
    </row>
    <row r="498" spans="20:36">
      <c r="T498" s="140">
        <f t="shared" si="94"/>
        <v>14.600000000000081</v>
      </c>
      <c r="U498" s="140">
        <v>1.9811402381507732</v>
      </c>
      <c r="V498" s="140">
        <v>4.4699109819406294E-2</v>
      </c>
      <c r="W498" s="1">
        <f t="shared" si="91"/>
        <v>-0.28945011975464613</v>
      </c>
      <c r="X498" s="1">
        <f t="shared" si="96"/>
        <v>-29.939999999999849</v>
      </c>
      <c r="Y498" s="1">
        <f t="shared" si="86"/>
        <v>1.7363892282155335</v>
      </c>
      <c r="Z498" s="1">
        <f t="shared" si="87"/>
        <v>7.2176011117071739E-2</v>
      </c>
      <c r="AA498" s="1">
        <f t="shared" si="88"/>
        <v>24.057705619101839</v>
      </c>
      <c r="AC498" s="146">
        <f t="shared" si="95"/>
        <v>-5.839999999999967</v>
      </c>
      <c r="AD498" s="147">
        <v>-0.11015914084696431</v>
      </c>
      <c r="AE498" s="1">
        <f t="shared" si="89"/>
        <v>-32429.070442660974</v>
      </c>
      <c r="AH498" s="150">
        <f t="shared" si="93"/>
        <v>9.8399999999998791</v>
      </c>
      <c r="AI498" s="147">
        <v>1.2121419346190465</v>
      </c>
      <c r="AJ498" s="1">
        <f t="shared" si="92"/>
        <v>356834.99237592</v>
      </c>
    </row>
    <row r="499" spans="20:36">
      <c r="T499" s="140">
        <f t="shared" si="94"/>
        <v>14.650000000000082</v>
      </c>
      <c r="U499" s="140">
        <v>1.9867126896256406</v>
      </c>
      <c r="V499" s="140">
        <v>4.485218896262344E-2</v>
      </c>
      <c r="W499" s="1">
        <f t="shared" si="91"/>
        <v>-0.29022649350500573</v>
      </c>
      <c r="X499" s="1">
        <f t="shared" si="96"/>
        <v>-30.029999999999845</v>
      </c>
      <c r="Y499" s="1">
        <f t="shared" ref="Y499:Y546" si="97">U499+V499+W499</f>
        <v>1.741338385083258</v>
      </c>
      <c r="Z499" s="1">
        <f t="shared" ref="Z499:Z546" si="98">Cx0_avion+((U499)^2/(PI()*all_voil))*Sext_voil/SRef+2*LFus*Czalpha_fus^2*(RADIANS(T499)^2)/(PI()*DFus)+(W499)^2/(PI()*all_emp)*Sext_emp/SRef</f>
        <v>7.2537311131607246E-2</v>
      </c>
      <c r="AA499" s="1">
        <f t="shared" ref="AA499:AA546" si="99">Y499/Z499</f>
        <v>24.006106070348824</v>
      </c>
      <c r="AC499" s="146">
        <f t="shared" si="95"/>
        <v>-5.8599999999999666</v>
      </c>
      <c r="AD499" s="147">
        <v>-0.11053639817863201</v>
      </c>
      <c r="AE499" s="1">
        <f t="shared" si="89"/>
        <v>-32540.128903081048</v>
      </c>
      <c r="AH499" s="150">
        <f t="shared" si="93"/>
        <v>9.8599999999998786</v>
      </c>
      <c r="AI499" s="147">
        <v>1.2143709152089937</v>
      </c>
      <c r="AJ499" s="1">
        <f t="shared" si="92"/>
        <v>357491.16823214915</v>
      </c>
    </row>
    <row r="500" spans="20:36">
      <c r="T500" s="140">
        <f t="shared" si="94"/>
        <v>14.700000000000083</v>
      </c>
      <c r="U500" s="140">
        <v>1.992285141100508</v>
      </c>
      <c r="V500" s="140">
        <v>4.5005268105840594E-2</v>
      </c>
      <c r="W500" s="1">
        <f t="shared" si="91"/>
        <v>-0.29100286725536539</v>
      </c>
      <c r="X500" s="1">
        <f t="shared" si="96"/>
        <v>-30.119999999999848</v>
      </c>
      <c r="Y500" s="1">
        <f t="shared" si="97"/>
        <v>1.7462875419509829</v>
      </c>
      <c r="Z500" s="1">
        <f t="shared" si="98"/>
        <v>7.2899678956154929E-2</v>
      </c>
      <c r="AA500" s="1">
        <f t="shared" si="99"/>
        <v>23.954667111789025</v>
      </c>
      <c r="AC500" s="146">
        <f t="shared" si="95"/>
        <v>-5.8799999999999661</v>
      </c>
      <c r="AD500" s="147">
        <v>-0.11091365551029969</v>
      </c>
      <c r="AE500" s="1">
        <f t="shared" si="89"/>
        <v>-32651.187363501122</v>
      </c>
      <c r="AH500" s="150">
        <f t="shared" si="93"/>
        <v>9.8799999999998782</v>
      </c>
      <c r="AI500" s="147">
        <v>1.2165998957989403</v>
      </c>
      <c r="AJ500" s="1">
        <f t="shared" si="92"/>
        <v>358147.34408837819</v>
      </c>
    </row>
    <row r="501" spans="20:36">
      <c r="T501" s="140">
        <f t="shared" si="94"/>
        <v>14.750000000000083</v>
      </c>
      <c r="U501" s="140">
        <v>1.9978575925753754</v>
      </c>
      <c r="V501" s="140">
        <v>4.5158347249057734E-2</v>
      </c>
      <c r="W501" s="1">
        <f t="shared" si="91"/>
        <v>-0.291779241005725</v>
      </c>
      <c r="X501" s="1">
        <f t="shared" si="96"/>
        <v>-30.209999999999845</v>
      </c>
      <c r="Y501" s="1">
        <f t="shared" si="97"/>
        <v>1.751236698818708</v>
      </c>
      <c r="Z501" s="1">
        <f t="shared" si="98"/>
        <v>7.3263114590714745E-2</v>
      </c>
      <c r="AA501" s="1">
        <f t="shared" si="99"/>
        <v>23.903388609698244</v>
      </c>
      <c r="AC501" s="146">
        <f t="shared" si="95"/>
        <v>-5.8999999999999657</v>
      </c>
      <c r="AD501" s="147">
        <v>-0.11129091284196736</v>
      </c>
      <c r="AE501" s="1">
        <f t="shared" si="89"/>
        <v>-32762.245823921192</v>
      </c>
      <c r="AH501" s="150">
        <f t="shared" si="93"/>
        <v>9.8999999999998778</v>
      </c>
      <c r="AI501" s="147">
        <v>1.2188288763888875</v>
      </c>
      <c r="AJ501" s="1">
        <f t="shared" si="92"/>
        <v>358803.51994460728</v>
      </c>
    </row>
    <row r="502" spans="20:36">
      <c r="T502" s="140">
        <f t="shared" si="94"/>
        <v>14.800000000000084</v>
      </c>
      <c r="U502" s="140">
        <v>2.0034300440502428</v>
      </c>
      <c r="V502" s="140">
        <v>4.5311426392274881E-2</v>
      </c>
      <c r="W502" s="1">
        <f t="shared" si="91"/>
        <v>-0.2925556147560846</v>
      </c>
      <c r="X502" s="1">
        <f t="shared" si="96"/>
        <v>-30.299999999999848</v>
      </c>
      <c r="Y502" s="1">
        <f t="shared" si="97"/>
        <v>1.7561858556864329</v>
      </c>
      <c r="Z502" s="1">
        <f t="shared" si="98"/>
        <v>7.3627618035286724E-2</v>
      </c>
      <c r="AA502" s="1">
        <f t="shared" si="99"/>
        <v>23.852270419026247</v>
      </c>
      <c r="AC502" s="146">
        <f t="shared" si="95"/>
        <v>-5.9199999999999653</v>
      </c>
      <c r="AD502" s="147">
        <v>-0.11166817017363505</v>
      </c>
      <c r="AE502" s="1">
        <f t="shared" si="89"/>
        <v>-32873.304284341262</v>
      </c>
      <c r="AH502" s="150">
        <f t="shared" si="93"/>
        <v>9.9199999999998774</v>
      </c>
      <c r="AI502" s="147">
        <v>1.2210578569788342</v>
      </c>
      <c r="AJ502" s="1">
        <f t="shared" si="92"/>
        <v>359459.69580083626</v>
      </c>
    </row>
    <row r="503" spans="20:36">
      <c r="T503" s="140">
        <f t="shared" si="94"/>
        <v>14.850000000000085</v>
      </c>
      <c r="U503" s="140">
        <v>2.0090024955251109</v>
      </c>
      <c r="V503" s="140">
        <v>4.5464505535492028E-2</v>
      </c>
      <c r="W503" s="1">
        <f t="shared" si="91"/>
        <v>-0.29333198850644437</v>
      </c>
      <c r="X503" s="1">
        <f t="shared" si="96"/>
        <v>-30.389999999999844</v>
      </c>
      <c r="Y503" s="1">
        <f t="shared" si="97"/>
        <v>1.7611350125541585</v>
      </c>
      <c r="Z503" s="1">
        <f t="shared" si="98"/>
        <v>7.399318928987092E-2</v>
      </c>
      <c r="AA503" s="1">
        <f t="shared" si="99"/>
        <v>23.801312383695887</v>
      </c>
      <c r="AC503" s="146">
        <f t="shared" si="95"/>
        <v>-5.9399999999999649</v>
      </c>
      <c r="AD503" s="147">
        <v>-0.11204542750530272</v>
      </c>
      <c r="AE503" s="1">
        <f t="shared" si="89"/>
        <v>-32984.362744761325</v>
      </c>
      <c r="AH503" s="150">
        <f t="shared" si="93"/>
        <v>9.9399999999998769</v>
      </c>
      <c r="AI503" s="147">
        <v>1.2232868375687813</v>
      </c>
      <c r="AJ503" s="1">
        <f t="shared" si="92"/>
        <v>360115.87165706535</v>
      </c>
    </row>
    <row r="504" spans="20:36">
      <c r="T504" s="140">
        <f t="shared" si="94"/>
        <v>14.900000000000086</v>
      </c>
      <c r="U504" s="140">
        <v>2.0145749469999781</v>
      </c>
      <c r="V504" s="140">
        <v>4.5617584678709168E-2</v>
      </c>
      <c r="W504" s="1">
        <f t="shared" si="91"/>
        <v>-0.29410836225680392</v>
      </c>
      <c r="X504" s="1">
        <f t="shared" si="96"/>
        <v>-30.479999999999848</v>
      </c>
      <c r="Y504" s="1">
        <f t="shared" si="97"/>
        <v>1.7660841694218832</v>
      </c>
      <c r="Z504" s="1">
        <f t="shared" si="98"/>
        <v>7.4359828354467195E-2</v>
      </c>
      <c r="AA504" s="1">
        <f t="shared" si="99"/>
        <v>23.75051433689579</v>
      </c>
      <c r="AC504" s="146">
        <f t="shared" si="95"/>
        <v>-5.9599999999999644</v>
      </c>
      <c r="AD504" s="147">
        <v>-0.1124226848369704</v>
      </c>
      <c r="AE504" s="1">
        <f t="shared" si="89"/>
        <v>-33095.421205181403</v>
      </c>
      <c r="AH504" s="150">
        <f t="shared" si="93"/>
        <v>9.9599999999998765</v>
      </c>
      <c r="AI504" s="147">
        <v>1.225515818158728</v>
      </c>
      <c r="AJ504" s="1">
        <f t="shared" si="92"/>
        <v>360772.04751329432</v>
      </c>
    </row>
    <row r="505" spans="20:36">
      <c r="T505" s="140">
        <f t="shared" si="94"/>
        <v>14.950000000000086</v>
      </c>
      <c r="U505" s="140">
        <v>2.0201473984748457</v>
      </c>
      <c r="V505" s="140">
        <v>4.5770663821926322E-2</v>
      </c>
      <c r="W505" s="1">
        <f t="shared" si="91"/>
        <v>-0.29488473600716358</v>
      </c>
      <c r="X505" s="1">
        <f t="shared" si="96"/>
        <v>-30.569999999999844</v>
      </c>
      <c r="Y505" s="1">
        <f t="shared" si="97"/>
        <v>1.7710333262896085</v>
      </c>
      <c r="Z505" s="1">
        <f t="shared" si="98"/>
        <v>7.4727535229075673E-2</v>
      </c>
      <c r="AA505" s="1">
        <f t="shared" si="99"/>
        <v>23.699876101366698</v>
      </c>
      <c r="AC505" s="146">
        <f t="shared" si="95"/>
        <v>-5.979999999999964</v>
      </c>
      <c r="AD505" s="147">
        <v>-0.11279994216863809</v>
      </c>
      <c r="AE505" s="1">
        <f t="shared" si="89"/>
        <v>-33206.479665601473</v>
      </c>
      <c r="AH505" s="150">
        <f t="shared" si="93"/>
        <v>9.9799999999998761</v>
      </c>
      <c r="AI505" s="147">
        <v>1.2277447987486751</v>
      </c>
      <c r="AJ505" s="1">
        <f t="shared" si="92"/>
        <v>361428.22336952342</v>
      </c>
    </row>
    <row r="506" spans="20:36">
      <c r="T506" s="140">
        <f t="shared" si="94"/>
        <v>15.000000000000087</v>
      </c>
      <c r="U506" s="140">
        <v>2.0257198499497129</v>
      </c>
      <c r="V506" s="140">
        <v>4.5923742965143469E-2</v>
      </c>
      <c r="W506" s="1">
        <f t="shared" si="91"/>
        <v>-0.29566110975752319</v>
      </c>
      <c r="X506" s="1">
        <f t="shared" si="96"/>
        <v>-30.659999999999847</v>
      </c>
      <c r="Y506" s="1">
        <f t="shared" si="97"/>
        <v>1.775982483157333</v>
      </c>
      <c r="Z506" s="1">
        <f t="shared" si="98"/>
        <v>7.5096309913696258E-2</v>
      </c>
      <c r="AA506" s="1">
        <f t="shared" si="99"/>
        <v>23.649397489681778</v>
      </c>
      <c r="AC506" s="146">
        <f t="shared" si="95"/>
        <v>-5.9999999999999636</v>
      </c>
      <c r="AD506" s="147">
        <v>-0.11317719950030576</v>
      </c>
      <c r="AE506" s="1">
        <f t="shared" si="89"/>
        <v>-33317.538126021536</v>
      </c>
      <c r="AH506" s="151">
        <f t="shared" si="93"/>
        <v>9.9999999999998757</v>
      </c>
      <c r="AI506" s="149">
        <v>1.2299737793386218</v>
      </c>
      <c r="AJ506" s="1">
        <f t="shared" si="92"/>
        <v>362084.39922575239</v>
      </c>
    </row>
    <row r="507" spans="20:36">
      <c r="T507" s="140">
        <f t="shared" si="94"/>
        <v>15.050000000000088</v>
      </c>
      <c r="U507" s="140">
        <v>2.0312923014245805</v>
      </c>
      <c r="V507" s="140">
        <v>4.6076822108360609E-2</v>
      </c>
      <c r="W507" s="1">
        <f t="shared" si="91"/>
        <v>-0.29643748350788285</v>
      </c>
      <c r="X507" s="1">
        <f t="shared" si="96"/>
        <v>-30.749999999999844</v>
      </c>
      <c r="Y507" s="1">
        <f t="shared" si="97"/>
        <v>1.7809316400250583</v>
      </c>
      <c r="Z507" s="1">
        <f t="shared" si="98"/>
        <v>7.546615240832906E-2</v>
      </c>
      <c r="AA507" s="1">
        <f t="shared" si="99"/>
        <v>23.599078304520798</v>
      </c>
      <c r="AC507" s="146">
        <f t="shared" si="95"/>
        <v>-6.0199999999999632</v>
      </c>
      <c r="AD507" s="147">
        <v>-0.11355445683197345</v>
      </c>
      <c r="AE507" s="1">
        <f t="shared" si="89"/>
        <v>-33428.596586441614</v>
      </c>
    </row>
    <row r="508" spans="20:36">
      <c r="T508" s="140">
        <f t="shared" si="94"/>
        <v>15.100000000000088</v>
      </c>
      <c r="U508" s="140">
        <v>2.0368647528994481</v>
      </c>
      <c r="V508" s="140">
        <v>4.6229901251577755E-2</v>
      </c>
      <c r="W508" s="1">
        <f t="shared" si="91"/>
        <v>-0.29721385725824251</v>
      </c>
      <c r="X508" s="1">
        <f t="shared" si="96"/>
        <v>-30.839999999999847</v>
      </c>
      <c r="Y508" s="1">
        <f t="shared" si="97"/>
        <v>1.7858807968927832</v>
      </c>
      <c r="Z508" s="1">
        <f t="shared" si="98"/>
        <v>7.5837062712973982E-2</v>
      </c>
      <c r="AA508" s="1">
        <f t="shared" si="99"/>
        <v>23.548918338938513</v>
      </c>
      <c r="AC508" s="146">
        <f t="shared" si="95"/>
        <v>-6.0399999999999627</v>
      </c>
      <c r="AD508" s="147">
        <v>-0.11393171416364112</v>
      </c>
      <c r="AE508" s="1">
        <f t="shared" si="89"/>
        <v>-33539.655046861677</v>
      </c>
    </row>
    <row r="509" spans="20:36">
      <c r="T509" s="140">
        <f t="shared" si="94"/>
        <v>15.150000000000089</v>
      </c>
      <c r="U509" s="140">
        <v>2.0424372043743158</v>
      </c>
      <c r="V509" s="140">
        <v>4.6382980394794902E-2</v>
      </c>
      <c r="W509" s="1">
        <f t="shared" si="91"/>
        <v>-0.29799023100860217</v>
      </c>
      <c r="X509" s="1">
        <f t="shared" si="96"/>
        <v>-30.929999999999843</v>
      </c>
      <c r="Y509" s="1">
        <f t="shared" si="97"/>
        <v>1.7908299537605086</v>
      </c>
      <c r="Z509" s="1">
        <f t="shared" si="98"/>
        <v>7.620904082763108E-2</v>
      </c>
      <c r="AA509" s="1">
        <f t="shared" si="99"/>
        <v>23.498917376627158</v>
      </c>
      <c r="AC509" s="146">
        <f t="shared" si="95"/>
        <v>-6.0599999999999623</v>
      </c>
      <c r="AD509" s="147">
        <v>-0.1143089714953088</v>
      </c>
      <c r="AE509" s="1">
        <f t="shared" si="89"/>
        <v>-33650.713507281747</v>
      </c>
    </row>
    <row r="510" spans="20:36">
      <c r="T510" s="140">
        <f t="shared" si="94"/>
        <v>15.20000000000009</v>
      </c>
      <c r="U510" s="140">
        <v>2.0480096558491829</v>
      </c>
      <c r="V510" s="140">
        <v>4.6536059538012056E-2</v>
      </c>
      <c r="W510" s="1">
        <f t="shared" si="91"/>
        <v>-0.29876660475896177</v>
      </c>
      <c r="X510" s="1">
        <f t="shared" si="96"/>
        <v>-31.019999999999847</v>
      </c>
      <c r="Y510" s="1">
        <f t="shared" si="97"/>
        <v>1.7957791106282333</v>
      </c>
      <c r="Z510" s="1">
        <f t="shared" si="98"/>
        <v>7.6582086752300313E-2</v>
      </c>
      <c r="AA510" s="1">
        <f t="shared" si="99"/>
        <v>23.449075192173357</v>
      </c>
      <c r="AC510" s="146">
        <f t="shared" si="95"/>
        <v>-6.0799999999999619</v>
      </c>
      <c r="AD510" s="147">
        <v>-0.11468622882697649</v>
      </c>
      <c r="AE510" s="1">
        <f t="shared" si="89"/>
        <v>-33761.771967701825</v>
      </c>
    </row>
    <row r="511" spans="20:36">
      <c r="T511" s="140">
        <f t="shared" si="94"/>
        <v>15.250000000000091</v>
      </c>
      <c r="U511" s="140">
        <v>2.0535821073240506</v>
      </c>
      <c r="V511" s="140">
        <v>4.6689138681229196E-2</v>
      </c>
      <c r="W511" s="1">
        <f t="shared" si="91"/>
        <v>-0.29954297850932143</v>
      </c>
      <c r="X511" s="1">
        <f t="shared" si="96"/>
        <v>-31.129999999999846</v>
      </c>
      <c r="Y511" s="1">
        <f t="shared" si="97"/>
        <v>1.8007282674959586</v>
      </c>
      <c r="Z511" s="1">
        <f t="shared" si="98"/>
        <v>7.6956200486981763E-2</v>
      </c>
      <c r="AA511" s="1">
        <f t="shared" si="99"/>
        <v>23.399391551309467</v>
      </c>
      <c r="AC511" s="146">
        <f t="shared" si="95"/>
        <v>-6.0999999999999615</v>
      </c>
      <c r="AD511" s="147">
        <v>-0.11506348615864416</v>
      </c>
      <c r="AE511" s="1">
        <f t="shared" si="89"/>
        <v>-33872.830428121888</v>
      </c>
    </row>
    <row r="512" spans="20:36">
      <c r="T512" s="140">
        <f t="shared" si="94"/>
        <v>15.300000000000091</v>
      </c>
      <c r="U512" s="140">
        <v>2.0591545587989177</v>
      </c>
      <c r="V512" s="140">
        <v>4.6842217824446343E-2</v>
      </c>
      <c r="W512" s="1">
        <f t="shared" si="91"/>
        <v>-0.30031935225968098</v>
      </c>
      <c r="X512" s="1">
        <f t="shared" si="96"/>
        <v>-31.219999999999843</v>
      </c>
      <c r="Y512" s="1">
        <f t="shared" si="97"/>
        <v>1.8056774243636831</v>
      </c>
      <c r="Z512" s="1">
        <f t="shared" si="98"/>
        <v>7.7331382031675305E-2</v>
      </c>
      <c r="AA512" s="1">
        <f t="shared" si="99"/>
        <v>23.349866211159512</v>
      </c>
      <c r="AC512" s="146">
        <f t="shared" si="95"/>
        <v>-6.119999999999961</v>
      </c>
      <c r="AD512" s="147">
        <v>-0.11544074349031185</v>
      </c>
      <c r="AE512" s="1">
        <f t="shared" si="89"/>
        <v>-33983.888888541958</v>
      </c>
    </row>
    <row r="513" spans="20:31">
      <c r="T513" s="140">
        <f t="shared" si="94"/>
        <v>15.350000000000092</v>
      </c>
      <c r="U513" s="140">
        <v>2.0647270102737858</v>
      </c>
      <c r="V513" s="140">
        <v>4.6995296967663483E-2</v>
      </c>
      <c r="W513" s="1">
        <f t="shared" si="91"/>
        <v>-0.3010957260100407</v>
      </c>
      <c r="X513" s="1">
        <f t="shared" si="96"/>
        <v>-31.309999999999846</v>
      </c>
      <c r="Y513" s="1">
        <f t="shared" si="97"/>
        <v>1.8106265812314088</v>
      </c>
      <c r="Z513" s="1">
        <f t="shared" si="98"/>
        <v>7.7707631386381079E-2</v>
      </c>
      <c r="AA513" s="1">
        <f t="shared" si="99"/>
        <v>23.300498920479725</v>
      </c>
      <c r="AC513" s="146">
        <f t="shared" si="95"/>
        <v>-6.1399999999999606</v>
      </c>
      <c r="AD513" s="147">
        <v>-0.11581800082197952</v>
      </c>
      <c r="AE513" s="1">
        <f t="shared" ref="AE513:AE576" si="100">AD513*0.5*rho*V^2*SRef</f>
        <v>-34094.947348962029</v>
      </c>
    </row>
    <row r="514" spans="20:31">
      <c r="T514" s="140">
        <f t="shared" si="94"/>
        <v>15.400000000000093</v>
      </c>
      <c r="U514" s="140">
        <v>2.070299461748653</v>
      </c>
      <c r="V514" s="140">
        <v>4.714837611088063E-2</v>
      </c>
      <c r="W514" s="1">
        <f t="shared" si="91"/>
        <v>-0.3018720997604003</v>
      </c>
      <c r="X514" s="1">
        <f t="shared" si="96"/>
        <v>-31.399999999999842</v>
      </c>
      <c r="Y514" s="1">
        <f t="shared" si="97"/>
        <v>1.8155757380991333</v>
      </c>
      <c r="Z514" s="1">
        <f t="shared" si="98"/>
        <v>7.8084948551098932E-2</v>
      </c>
      <c r="AA514" s="1">
        <f t="shared" si="99"/>
        <v>23.251289419893993</v>
      </c>
      <c r="AC514" s="146">
        <f t="shared" si="95"/>
        <v>-6.1599999999999602</v>
      </c>
      <c r="AD514" s="147">
        <v>-0.1161952581536472</v>
      </c>
      <c r="AE514" s="1">
        <f t="shared" si="100"/>
        <v>-34206.005809382099</v>
      </c>
    </row>
    <row r="515" spans="20:31">
      <c r="T515" s="140">
        <f t="shared" si="94"/>
        <v>15.450000000000093</v>
      </c>
      <c r="U515" s="140">
        <v>2.0758719132235206</v>
      </c>
      <c r="V515" s="140">
        <v>4.7301455254097784E-2</v>
      </c>
      <c r="W515" s="1">
        <f t="shared" si="91"/>
        <v>-0.30264847351075996</v>
      </c>
      <c r="X515" s="1">
        <f t="shared" si="96"/>
        <v>-31.449999999999847</v>
      </c>
      <c r="Y515" s="1">
        <f t="shared" si="97"/>
        <v>1.8205248949668582</v>
      </c>
      <c r="Z515" s="1">
        <f t="shared" si="98"/>
        <v>7.8463333525828974E-2</v>
      </c>
      <c r="AA515" s="1">
        <f t="shared" si="99"/>
        <v>23.202237442124076</v>
      </c>
      <c r="AC515" s="146">
        <f t="shared" si="95"/>
        <v>-6.1799999999999597</v>
      </c>
      <c r="AD515" s="147">
        <v>-0.11657251548531489</v>
      </c>
      <c r="AE515" s="1">
        <f t="shared" si="100"/>
        <v>-34317.064269802169</v>
      </c>
    </row>
    <row r="516" spans="20:31">
      <c r="T516" s="140">
        <f t="shared" si="94"/>
        <v>15.500000000000094</v>
      </c>
      <c r="U516" s="140">
        <v>2.0814443646983878</v>
      </c>
      <c r="V516" s="140">
        <v>4.7454534397314931E-2</v>
      </c>
      <c r="W516" s="1">
        <f t="shared" si="91"/>
        <v>-0.30342484726111951</v>
      </c>
      <c r="X516" s="1">
        <f t="shared" si="96"/>
        <v>-31.499999999999844</v>
      </c>
      <c r="Y516" s="1">
        <f t="shared" si="97"/>
        <v>1.8254740518345831</v>
      </c>
      <c r="Z516" s="1">
        <f t="shared" si="98"/>
        <v>7.8842786310571178E-2</v>
      </c>
      <c r="AA516" s="1">
        <f t="shared" si="99"/>
        <v>23.15334271221494</v>
      </c>
      <c r="AC516" s="146">
        <f t="shared" si="95"/>
        <v>-6.1999999999999593</v>
      </c>
      <c r="AD516" s="147">
        <v>-0.11694977281698256</v>
      </c>
      <c r="AE516" s="1">
        <f t="shared" si="100"/>
        <v>-34428.12273022224</v>
      </c>
    </row>
    <row r="517" spans="20:31">
      <c r="T517" s="140">
        <f t="shared" si="94"/>
        <v>15.550000000000095</v>
      </c>
      <c r="U517" s="140">
        <v>2.0870168161732554</v>
      </c>
      <c r="V517" s="140">
        <v>4.7607613540532071E-2</v>
      </c>
      <c r="W517" s="1">
        <f t="shared" ref="W517:W580" si="101">((V517*(x_cdg_avion-x_foyer_fus))-(U517*(-x_foyer_voil+x_cdg_avion))+(Cm_voil*CMA_voil)-((N*FUtile*(DFus+DMoteur)/2)/(0.5*rho*V^2*SRef)))/(x_foyer_emp-x_cdg_avion)</f>
        <v>-0.30420122101147917</v>
      </c>
      <c r="X517" s="1">
        <f t="shared" si="96"/>
        <v>-31.549999999999848</v>
      </c>
      <c r="Y517" s="1">
        <f t="shared" si="97"/>
        <v>1.830423208702308</v>
      </c>
      <c r="Z517" s="1">
        <f t="shared" si="98"/>
        <v>7.922330690532553E-2</v>
      </c>
      <c r="AA517" s="1">
        <f t="shared" si="99"/>
        <v>23.104604947755139</v>
      </c>
      <c r="AC517" s="146">
        <f t="shared" si="95"/>
        <v>-6.2199999999999589</v>
      </c>
      <c r="AD517" s="147">
        <v>-0.11732703014865024</v>
      </c>
      <c r="AE517" s="1">
        <f t="shared" si="100"/>
        <v>-34539.18119064231</v>
      </c>
    </row>
    <row r="518" spans="20:31">
      <c r="T518" s="140">
        <f t="shared" si="94"/>
        <v>15.600000000000096</v>
      </c>
      <c r="U518" s="140">
        <v>2.092589267648123</v>
      </c>
      <c r="V518" s="140">
        <v>4.7760692683749217E-2</v>
      </c>
      <c r="W518" s="1">
        <f t="shared" si="101"/>
        <v>-0.30497759476183883</v>
      </c>
      <c r="X518" s="1">
        <f t="shared" si="96"/>
        <v>-31.599999999999845</v>
      </c>
      <c r="Y518" s="1">
        <f t="shared" si="97"/>
        <v>1.8353723655700334</v>
      </c>
      <c r="Z518" s="1">
        <f t="shared" si="98"/>
        <v>7.9604895310092072E-2</v>
      </c>
      <c r="AA518" s="1">
        <f t="shared" si="99"/>
        <v>23.056023859092374</v>
      </c>
      <c r="AC518" s="146">
        <f t="shared" si="95"/>
        <v>-6.2399999999999585</v>
      </c>
      <c r="AD518" s="147">
        <v>-0.11770428748031792</v>
      </c>
      <c r="AE518" s="1">
        <f t="shared" si="100"/>
        <v>-34650.239651062373</v>
      </c>
    </row>
    <row r="519" spans="20:31">
      <c r="T519" s="140">
        <f t="shared" si="94"/>
        <v>15.650000000000096</v>
      </c>
      <c r="U519" s="140">
        <v>2.0981617191229907</v>
      </c>
      <c r="V519" s="140">
        <v>4.7913771826966364E-2</v>
      </c>
      <c r="W519" s="1">
        <f t="shared" si="101"/>
        <v>-0.30575396851219849</v>
      </c>
      <c r="X519" s="1">
        <f t="shared" si="96"/>
        <v>-31.649999999999849</v>
      </c>
      <c r="Y519" s="1">
        <f t="shared" si="97"/>
        <v>1.8403215224377583</v>
      </c>
      <c r="Z519" s="1">
        <f t="shared" si="98"/>
        <v>7.9987551524870748E-2</v>
      </c>
      <c r="AA519" s="1">
        <f t="shared" si="99"/>
        <v>23.00759914954444</v>
      </c>
      <c r="AC519" s="146">
        <f t="shared" si="95"/>
        <v>-6.259999999999958</v>
      </c>
      <c r="AD519" s="147">
        <v>-0.1180815448119856</v>
      </c>
      <c r="AE519" s="1">
        <f t="shared" si="100"/>
        <v>-34761.298111482451</v>
      </c>
    </row>
    <row r="520" spans="20:31">
      <c r="T520" s="140">
        <f t="shared" si="94"/>
        <v>15.700000000000097</v>
      </c>
      <c r="U520" s="140">
        <v>2.1037341705978578</v>
      </c>
      <c r="V520" s="140">
        <v>4.8066850970183518E-2</v>
      </c>
      <c r="W520" s="1">
        <f t="shared" si="101"/>
        <v>-0.3065303422625581</v>
      </c>
      <c r="X520" s="1">
        <f t="shared" si="96"/>
        <v>-31.699999999999847</v>
      </c>
      <c r="Y520" s="1">
        <f t="shared" si="97"/>
        <v>1.8452706793054834</v>
      </c>
      <c r="Z520" s="1">
        <f t="shared" si="98"/>
        <v>8.0371275549661558E-2</v>
      </c>
      <c r="AA520" s="1">
        <f t="shared" si="99"/>
        <v>22.959330515605508</v>
      </c>
      <c r="AC520" s="146">
        <f t="shared" si="95"/>
        <v>-6.2799999999999576</v>
      </c>
      <c r="AD520" s="147">
        <v>-0.11845880214365329</v>
      </c>
      <c r="AE520" s="1">
        <f t="shared" si="100"/>
        <v>-34872.356571902521</v>
      </c>
    </row>
    <row r="521" spans="20:31">
      <c r="T521" s="140">
        <f t="shared" si="94"/>
        <v>15.750000000000098</v>
      </c>
      <c r="U521" s="140">
        <v>2.1093066220727255</v>
      </c>
      <c r="V521" s="140">
        <v>4.8219930113400658E-2</v>
      </c>
      <c r="W521" s="1">
        <f t="shared" si="101"/>
        <v>-0.30730671601291776</v>
      </c>
      <c r="X521" s="1">
        <f t="shared" si="96"/>
        <v>-31.749999999999851</v>
      </c>
      <c r="Y521" s="1">
        <f t="shared" si="97"/>
        <v>1.8502198361732083</v>
      </c>
      <c r="Z521" s="1">
        <f t="shared" si="98"/>
        <v>8.0756067384464572E-2</v>
      </c>
      <c r="AA521" s="1">
        <f t="shared" si="99"/>
        <v>22.911217647147883</v>
      </c>
      <c r="AC521" s="146">
        <f t="shared" si="95"/>
        <v>-6.2999999999999572</v>
      </c>
      <c r="AD521" s="147">
        <v>-0.11883605947532096</v>
      </c>
      <c r="AE521" s="1">
        <f t="shared" si="100"/>
        <v>-34983.415032322584</v>
      </c>
    </row>
    <row r="522" spans="20:31">
      <c r="T522" s="140">
        <f t="shared" si="94"/>
        <v>15.800000000000098</v>
      </c>
      <c r="U522" s="140">
        <v>2.1148790735475926</v>
      </c>
      <c r="V522" s="140">
        <v>4.8373009256617805E-2</v>
      </c>
      <c r="W522" s="1">
        <f t="shared" si="101"/>
        <v>-0.30808308976327736</v>
      </c>
      <c r="X522" s="1">
        <f t="shared" si="96"/>
        <v>-31.799999999999848</v>
      </c>
      <c r="Y522" s="1">
        <f t="shared" si="97"/>
        <v>1.8551689930409332</v>
      </c>
      <c r="Z522" s="1">
        <f t="shared" si="98"/>
        <v>8.1141927029279692E-2</v>
      </c>
      <c r="AA522" s="1">
        <f t="shared" si="99"/>
        <v>22.863260227619488</v>
      </c>
      <c r="AC522" s="146">
        <f t="shared" si="95"/>
        <v>-6.3199999999999568</v>
      </c>
      <c r="AD522" s="147">
        <v>-0.11921331680698864</v>
      </c>
      <c r="AE522" s="1">
        <f t="shared" si="100"/>
        <v>-35094.473492742662</v>
      </c>
    </row>
    <row r="523" spans="20:31">
      <c r="T523" s="140">
        <f t="shared" si="94"/>
        <v>15.850000000000099</v>
      </c>
      <c r="U523" s="140">
        <v>2.1204515250224607</v>
      </c>
      <c r="V523" s="140">
        <v>4.8526088399834945E-2</v>
      </c>
      <c r="W523" s="1">
        <f t="shared" si="101"/>
        <v>-0.30885946351363702</v>
      </c>
      <c r="X523" s="1">
        <f t="shared" si="96"/>
        <v>-31.849999999999852</v>
      </c>
      <c r="Y523" s="1">
        <f t="shared" si="97"/>
        <v>1.8601181499086585</v>
      </c>
      <c r="Z523" s="1">
        <f t="shared" si="98"/>
        <v>8.152885448410703E-2</v>
      </c>
      <c r="AA523" s="1">
        <f t="shared" si="99"/>
        <v>22.815457934236814</v>
      </c>
      <c r="AC523" s="146">
        <f t="shared" si="95"/>
        <v>-6.3399999999999563</v>
      </c>
      <c r="AD523" s="147">
        <v>-0.11959057413865631</v>
      </c>
      <c r="AE523" s="1">
        <f t="shared" si="100"/>
        <v>-35205.531953162725</v>
      </c>
    </row>
    <row r="524" spans="20:31">
      <c r="T524" s="140">
        <f t="shared" si="94"/>
        <v>15.9000000000001</v>
      </c>
      <c r="U524" s="140">
        <v>2.1260239764973279</v>
      </c>
      <c r="V524" s="140">
        <v>4.8679167543052092E-2</v>
      </c>
      <c r="W524" s="1">
        <f t="shared" si="101"/>
        <v>-0.30963583726399663</v>
      </c>
      <c r="X524" s="1">
        <f t="shared" si="96"/>
        <v>-31.899999999999849</v>
      </c>
      <c r="Y524" s="1">
        <f t="shared" si="97"/>
        <v>1.8650673067763834</v>
      </c>
      <c r="Z524" s="1">
        <f t="shared" si="98"/>
        <v>8.191684974894646E-2</v>
      </c>
      <c r="AA524" s="1">
        <f t="shared" si="99"/>
        <v>22.767810438173864</v>
      </c>
      <c r="AC524" s="146">
        <f t="shared" si="95"/>
        <v>-6.3599999999999559</v>
      </c>
      <c r="AD524" s="147">
        <v>-0.119967831470324</v>
      </c>
      <c r="AE524" s="1">
        <f t="shared" si="100"/>
        <v>-35316.590413582795</v>
      </c>
    </row>
    <row r="525" spans="20:31">
      <c r="T525" s="140">
        <f t="shared" si="94"/>
        <v>15.950000000000101</v>
      </c>
      <c r="U525" s="140">
        <v>2.1315964279721955</v>
      </c>
      <c r="V525" s="140">
        <v>4.8832246686269246E-2</v>
      </c>
      <c r="W525" s="1">
        <f t="shared" si="101"/>
        <v>-0.31041221101435634</v>
      </c>
      <c r="X525" s="1">
        <f t="shared" si="96"/>
        <v>-31.949999999999854</v>
      </c>
      <c r="Y525" s="1">
        <f t="shared" si="97"/>
        <v>1.8700164636441083</v>
      </c>
      <c r="Z525" s="1">
        <f t="shared" si="98"/>
        <v>8.2305912823798136E-2</v>
      </c>
      <c r="AA525" s="1">
        <f t="shared" si="99"/>
        <v>22.720317404746737</v>
      </c>
      <c r="AC525" s="146">
        <f t="shared" si="95"/>
        <v>-6.3799999999999555</v>
      </c>
      <c r="AD525" s="147">
        <v>-0.12034508880199168</v>
      </c>
      <c r="AE525" s="1">
        <f t="shared" si="100"/>
        <v>-35427.648874002873</v>
      </c>
    </row>
    <row r="526" spans="20:31">
      <c r="T526" s="140">
        <f t="shared" si="94"/>
        <v>16.000000000000099</v>
      </c>
      <c r="U526" s="140">
        <v>2.1371688794470627</v>
      </c>
      <c r="V526" s="140">
        <v>4.8985325829486379E-2</v>
      </c>
      <c r="W526" s="1">
        <f t="shared" si="101"/>
        <v>-0.31118858476471589</v>
      </c>
      <c r="X526" s="1">
        <f t="shared" si="96"/>
        <v>-31.999999999999851</v>
      </c>
      <c r="Y526" s="1">
        <f t="shared" si="97"/>
        <v>1.8749656205118335</v>
      </c>
      <c r="Z526" s="1">
        <f t="shared" si="98"/>
        <v>8.269604370866189E-2</v>
      </c>
      <c r="AA526" s="1">
        <f t="shared" si="99"/>
        <v>22.6729784935944</v>
      </c>
      <c r="AC526" s="146">
        <f t="shared" si="95"/>
        <v>-6.3999999999999551</v>
      </c>
      <c r="AD526" s="147">
        <v>-0.12072234613365936</v>
      </c>
      <c r="AE526" s="1">
        <f t="shared" si="100"/>
        <v>-35538.707334422936</v>
      </c>
    </row>
    <row r="527" spans="20:31">
      <c r="T527" s="140">
        <f t="shared" si="94"/>
        <v>16.0500000000001</v>
      </c>
      <c r="U527" s="140">
        <v>2.1427413309219299</v>
      </c>
      <c r="V527" s="140">
        <v>4.9138404972703525E-2</v>
      </c>
      <c r="W527" s="1">
        <f t="shared" si="101"/>
        <v>-0.3119649585150755</v>
      </c>
      <c r="X527" s="1">
        <f t="shared" si="96"/>
        <v>-32.049999999999855</v>
      </c>
      <c r="Y527" s="1">
        <f t="shared" si="97"/>
        <v>1.8799147773795579</v>
      </c>
      <c r="Z527" s="1">
        <f t="shared" si="98"/>
        <v>8.3087242403537806E-2</v>
      </c>
      <c r="AA527" s="1">
        <f t="shared" si="99"/>
        <v>22.625793358855201</v>
      </c>
      <c r="AC527" s="146">
        <f t="shared" si="95"/>
        <v>-6.4199999999999546</v>
      </c>
      <c r="AD527" s="147">
        <v>-0.12109960346532704</v>
      </c>
      <c r="AE527" s="1">
        <f t="shared" si="100"/>
        <v>-35649.765794843006</v>
      </c>
    </row>
    <row r="528" spans="20:31">
      <c r="T528" s="140">
        <f t="shared" si="94"/>
        <v>16.100000000000101</v>
      </c>
      <c r="U528" s="140">
        <v>2.1483137823967975</v>
      </c>
      <c r="V528" s="140">
        <v>4.9291484115920679E-2</v>
      </c>
      <c r="W528" s="1">
        <f t="shared" si="101"/>
        <v>-0.31274133226543516</v>
      </c>
      <c r="X528" s="1">
        <f t="shared" si="96"/>
        <v>-32.099999999999852</v>
      </c>
      <c r="Y528" s="1">
        <f t="shared" si="97"/>
        <v>1.8848639342472833</v>
      </c>
      <c r="Z528" s="1">
        <f t="shared" si="98"/>
        <v>8.3479508908425912E-2</v>
      </c>
      <c r="AA528" s="1">
        <f t="shared" si="99"/>
        <v>22.578761649339754</v>
      </c>
      <c r="AC528" s="146">
        <f t="shared" si="95"/>
        <v>-6.4399999999999542</v>
      </c>
      <c r="AD528" s="147">
        <v>-0.12147686079699471</v>
      </c>
      <c r="AE528" s="1">
        <f t="shared" si="100"/>
        <v>-35760.824255263076</v>
      </c>
    </row>
    <row r="529" spans="20:31">
      <c r="T529" s="140">
        <f t="shared" si="94"/>
        <v>16.150000000000102</v>
      </c>
      <c r="U529" s="140">
        <v>2.1538862338716651</v>
      </c>
      <c r="V529" s="140">
        <v>4.9444563259137819E-2</v>
      </c>
      <c r="W529" s="1">
        <f t="shared" si="101"/>
        <v>-0.31351770601579482</v>
      </c>
      <c r="X529" s="1">
        <f t="shared" si="96"/>
        <v>-32.149999999999849</v>
      </c>
      <c r="Y529" s="1">
        <f t="shared" si="97"/>
        <v>1.8898130911150082</v>
      </c>
      <c r="Z529" s="1">
        <f t="shared" si="98"/>
        <v>8.3872843223326179E-2</v>
      </c>
      <c r="AA529" s="1">
        <f t="shared" si="99"/>
        <v>22.531883008699833</v>
      </c>
      <c r="AC529" s="146">
        <f t="shared" si="95"/>
        <v>-6.4599999999999538</v>
      </c>
      <c r="AD529" s="147">
        <v>-0.1218541181286624</v>
      </c>
      <c r="AE529" s="1">
        <f t="shared" si="100"/>
        <v>-35871.882715683147</v>
      </c>
    </row>
    <row r="530" spans="20:31">
      <c r="T530" s="140">
        <f t="shared" si="94"/>
        <v>16.200000000000102</v>
      </c>
      <c r="U530" s="140">
        <v>2.1594586853465327</v>
      </c>
      <c r="V530" s="140">
        <v>4.9597642402354966E-2</v>
      </c>
      <c r="W530" s="1">
        <f t="shared" si="101"/>
        <v>-0.31429407976615448</v>
      </c>
      <c r="X530" s="1">
        <f t="shared" si="96"/>
        <v>-32.199999999999854</v>
      </c>
      <c r="Y530" s="1">
        <f t="shared" si="97"/>
        <v>1.8947622479827331</v>
      </c>
      <c r="Z530" s="1">
        <f t="shared" si="98"/>
        <v>8.4267245348238595E-2</v>
      </c>
      <c r="AA530" s="1">
        <f t="shared" si="99"/>
        <v>22.485157075593648</v>
      </c>
      <c r="AC530" s="146">
        <f t="shared" si="95"/>
        <v>-6.4799999999999534</v>
      </c>
      <c r="AD530" s="147">
        <v>-0.12223137546033007</v>
      </c>
      <c r="AE530" s="1">
        <f t="shared" si="100"/>
        <v>-35982.941176103217</v>
      </c>
    </row>
    <row r="531" spans="20:31">
      <c r="T531" s="140">
        <f t="shared" si="94"/>
        <v>16.250000000000103</v>
      </c>
      <c r="U531" s="140">
        <v>2.1650311368213999</v>
      </c>
      <c r="V531" s="140">
        <v>4.9750721545572113E-2</v>
      </c>
      <c r="W531" s="1">
        <f t="shared" si="101"/>
        <v>-0.31507045351651403</v>
      </c>
      <c r="X531" s="1">
        <f t="shared" si="96"/>
        <v>-32.249999999999858</v>
      </c>
      <c r="Y531" s="1">
        <f t="shared" si="97"/>
        <v>1.899711404850458</v>
      </c>
      <c r="Z531" s="1">
        <f t="shared" si="98"/>
        <v>8.4662715283163159E-2</v>
      </c>
      <c r="AA531" s="1">
        <f t="shared" si="99"/>
        <v>22.438583483847381</v>
      </c>
      <c r="AC531" s="146">
        <f t="shared" si="95"/>
        <v>-6.4999999999999529</v>
      </c>
      <c r="AD531" s="147">
        <v>-0.12260863279199775</v>
      </c>
      <c r="AE531" s="1">
        <f t="shared" si="100"/>
        <v>-36093.999636523287</v>
      </c>
    </row>
    <row r="532" spans="20:31">
      <c r="T532" s="140">
        <f t="shared" si="94"/>
        <v>16.300000000000104</v>
      </c>
      <c r="U532" s="140">
        <v>2.1706035882962675</v>
      </c>
      <c r="V532" s="140">
        <v>4.9903800688789253E-2</v>
      </c>
      <c r="W532" s="1">
        <f t="shared" si="101"/>
        <v>-0.31584682726687369</v>
      </c>
      <c r="X532" s="1">
        <f t="shared" si="96"/>
        <v>-32.299999999999855</v>
      </c>
      <c r="Y532" s="1">
        <f t="shared" si="97"/>
        <v>1.9046605617181829</v>
      </c>
      <c r="Z532" s="1">
        <f t="shared" si="98"/>
        <v>8.5059253028099899E-2</v>
      </c>
      <c r="AA532" s="1">
        <f t="shared" si="99"/>
        <v>22.392161862613175</v>
      </c>
      <c r="AC532" s="146">
        <f t="shared" si="95"/>
        <v>-6.5199999999999525</v>
      </c>
      <c r="AD532" s="147">
        <v>-0.12298589012366544</v>
      </c>
      <c r="AE532" s="1">
        <f t="shared" si="100"/>
        <v>-36205.058096943358</v>
      </c>
    </row>
    <row r="533" spans="20:31">
      <c r="T533" s="140">
        <f t="shared" si="94"/>
        <v>16.350000000000104</v>
      </c>
      <c r="U533" s="140">
        <v>2.1761760397711347</v>
      </c>
      <c r="V533" s="140">
        <v>5.0056879832006407E-2</v>
      </c>
      <c r="W533" s="1">
        <f t="shared" si="101"/>
        <v>-0.31662320101723329</v>
      </c>
      <c r="X533" s="1">
        <f t="shared" si="96"/>
        <v>-32.349999999999852</v>
      </c>
      <c r="Y533" s="1">
        <f t="shared" si="97"/>
        <v>1.9096097185859078</v>
      </c>
      <c r="Z533" s="1">
        <f t="shared" si="98"/>
        <v>8.5456858583048773E-2</v>
      </c>
      <c r="AA533" s="1">
        <f t="shared" si="99"/>
        <v>22.345891836523677</v>
      </c>
      <c r="AC533" s="146">
        <f t="shared" si="95"/>
        <v>-6.5399999999999521</v>
      </c>
      <c r="AD533" s="147">
        <v>-0.12336314745533311</v>
      </c>
      <c r="AE533" s="1">
        <f t="shared" si="100"/>
        <v>-36316.116557363428</v>
      </c>
    </row>
    <row r="534" spans="20:31">
      <c r="T534" s="140">
        <f t="shared" si="94"/>
        <v>16.400000000000105</v>
      </c>
      <c r="U534" s="140">
        <v>2.1817484912460028</v>
      </c>
      <c r="V534" s="140">
        <v>5.0209958975223554E-2</v>
      </c>
      <c r="W534" s="1">
        <f t="shared" si="101"/>
        <v>-0.31739957476759301</v>
      </c>
      <c r="X534" s="1">
        <f t="shared" si="96"/>
        <v>-32.399999999999856</v>
      </c>
      <c r="Y534" s="1">
        <f t="shared" si="97"/>
        <v>1.9145588754536331</v>
      </c>
      <c r="Z534" s="1">
        <f t="shared" si="98"/>
        <v>8.5855531948009864E-2</v>
      </c>
      <c r="AA534" s="1">
        <f t="shared" si="99"/>
        <v>22.29977302584301</v>
      </c>
      <c r="AC534" s="146">
        <f t="shared" si="95"/>
        <v>-6.5599999999999516</v>
      </c>
      <c r="AD534" s="147">
        <v>-0.12374040478700081</v>
      </c>
      <c r="AE534" s="1">
        <f t="shared" si="100"/>
        <v>-36427.175017783506</v>
      </c>
    </row>
    <row r="535" spans="20:31">
      <c r="T535" s="140">
        <f t="shared" si="94"/>
        <v>16.450000000000106</v>
      </c>
      <c r="U535" s="140">
        <v>2.18732094272087</v>
      </c>
      <c r="V535" s="140">
        <v>5.0363038118440701E-2</v>
      </c>
      <c r="W535" s="1">
        <f t="shared" si="101"/>
        <v>-0.31817594851795261</v>
      </c>
      <c r="X535" s="1">
        <f t="shared" si="96"/>
        <v>-32.449999999999861</v>
      </c>
      <c r="Y535" s="1">
        <f t="shared" si="97"/>
        <v>1.919508032321358</v>
      </c>
      <c r="Z535" s="1">
        <f t="shared" si="98"/>
        <v>8.6255273122983034E-2</v>
      </c>
      <c r="AA535" s="1">
        <f t="shared" si="99"/>
        <v>22.25380504661457</v>
      </c>
      <c r="AC535" s="146">
        <f t="shared" si="95"/>
        <v>-6.5799999999999512</v>
      </c>
      <c r="AD535" s="147">
        <v>-0.1241176621186685</v>
      </c>
      <c r="AE535" s="1">
        <f t="shared" si="100"/>
        <v>-36538.233478203576</v>
      </c>
    </row>
    <row r="536" spans="20:31">
      <c r="T536" s="140">
        <f t="shared" si="94"/>
        <v>16.500000000000107</v>
      </c>
      <c r="U536" s="140">
        <v>2.1928933941957376</v>
      </c>
      <c r="V536" s="140">
        <v>5.051611726165784E-2</v>
      </c>
      <c r="W536" s="1">
        <f t="shared" si="101"/>
        <v>-0.31895232226831227</v>
      </c>
      <c r="X536" s="1">
        <f t="shared" si="96"/>
        <v>-32.499999999999858</v>
      </c>
      <c r="Y536" s="1">
        <f t="shared" si="97"/>
        <v>1.9244571891890829</v>
      </c>
      <c r="Z536" s="1">
        <f t="shared" si="98"/>
        <v>8.6656082107968421E-2</v>
      </c>
      <c r="AA536" s="1">
        <f t="shared" si="99"/>
        <v>22.207987510805317</v>
      </c>
      <c r="AC536" s="146">
        <f t="shared" si="95"/>
        <v>-6.5999999999999508</v>
      </c>
      <c r="AD536" s="147">
        <v>-0.12449491945033617</v>
      </c>
      <c r="AE536" s="1">
        <f t="shared" si="100"/>
        <v>-36649.291938623639</v>
      </c>
    </row>
    <row r="537" spans="20:31">
      <c r="T537" s="140">
        <f t="shared" si="94"/>
        <v>16.550000000000107</v>
      </c>
      <c r="U537" s="140">
        <v>2.1984658456706048</v>
      </c>
      <c r="V537" s="140">
        <v>5.0669196404874987E-2</v>
      </c>
      <c r="W537" s="1">
        <f t="shared" si="101"/>
        <v>-0.31972869601867188</v>
      </c>
      <c r="X537" s="1">
        <f t="shared" si="96"/>
        <v>-32.549999999999855</v>
      </c>
      <c r="Y537" s="1">
        <f t="shared" si="97"/>
        <v>1.9294063460568081</v>
      </c>
      <c r="Z537" s="1">
        <f t="shared" si="98"/>
        <v>8.7057958902965929E-2</v>
      </c>
      <c r="AA537" s="1">
        <f t="shared" si="99"/>
        <v>22.162320026447073</v>
      </c>
      <c r="AC537" s="146">
        <f t="shared" si="95"/>
        <v>-6.6199999999999504</v>
      </c>
      <c r="AD537" s="147">
        <v>-0.12487217678200385</v>
      </c>
      <c r="AE537" s="1">
        <f t="shared" si="100"/>
        <v>-36760.350399043717</v>
      </c>
    </row>
    <row r="538" spans="20:31">
      <c r="T538" s="140">
        <f t="shared" si="94"/>
        <v>16.600000000000108</v>
      </c>
      <c r="U538" s="140">
        <v>2.2040382971454724</v>
      </c>
      <c r="V538" s="140">
        <v>5.0822275548092141E-2</v>
      </c>
      <c r="W538" s="1">
        <f t="shared" si="101"/>
        <v>-0.32050506976903154</v>
      </c>
      <c r="X538" s="1">
        <f t="shared" si="96"/>
        <v>-32.599999999999859</v>
      </c>
      <c r="Y538" s="1">
        <f t="shared" si="97"/>
        <v>1.934355502924533</v>
      </c>
      <c r="Z538" s="1">
        <f t="shared" si="98"/>
        <v>8.7460903507975626E-2</v>
      </c>
      <c r="AA538" s="1">
        <f t="shared" si="99"/>
        <v>22.116802197774433</v>
      </c>
      <c r="AC538" s="146">
        <f t="shared" si="95"/>
        <v>-6.6399999999999499</v>
      </c>
      <c r="AD538" s="147">
        <v>-0.12524943411367154</v>
      </c>
      <c r="AE538" s="1">
        <f t="shared" si="100"/>
        <v>-36871.408859463787</v>
      </c>
    </row>
    <row r="539" spans="20:31">
      <c r="T539" s="140">
        <f t="shared" si="94"/>
        <v>16.650000000000109</v>
      </c>
      <c r="U539" s="140">
        <v>2.20961074862034</v>
      </c>
      <c r="V539" s="140">
        <v>5.0975354691309281E-2</v>
      </c>
      <c r="W539" s="1">
        <f t="shared" si="101"/>
        <v>-0.3212814435193912</v>
      </c>
      <c r="X539" s="1">
        <f t="shared" si="96"/>
        <v>-32.649999999999864</v>
      </c>
      <c r="Y539" s="1">
        <f t="shared" si="97"/>
        <v>1.9393046597922583</v>
      </c>
      <c r="Z539" s="1">
        <f t="shared" si="98"/>
        <v>8.7864915922997458E-2</v>
      </c>
      <c r="AA539" s="1">
        <f t="shared" si="99"/>
        <v>22.071433625359806</v>
      </c>
      <c r="AC539" s="146">
        <f t="shared" si="95"/>
        <v>-6.6599999999999495</v>
      </c>
      <c r="AD539" s="147">
        <v>-0.12562669144533919</v>
      </c>
      <c r="AE539" s="1">
        <f t="shared" si="100"/>
        <v>-36982.46731988385</v>
      </c>
    </row>
    <row r="540" spans="20:31">
      <c r="T540" s="140">
        <f t="shared" si="94"/>
        <v>16.700000000000109</v>
      </c>
      <c r="U540" s="140">
        <v>2.2151832000952076</v>
      </c>
      <c r="V540" s="140">
        <v>5.1128433834526428E-2</v>
      </c>
      <c r="W540" s="1">
        <f t="shared" si="101"/>
        <v>-0.32205781726975086</v>
      </c>
      <c r="X540" s="1">
        <f t="shared" si="96"/>
        <v>-32.699999999999861</v>
      </c>
      <c r="Y540" s="1">
        <f t="shared" si="97"/>
        <v>1.9442538166599832</v>
      </c>
      <c r="Z540" s="1">
        <f t="shared" si="98"/>
        <v>8.8269996148031452E-2</v>
      </c>
      <c r="AA540" s="1">
        <f t="shared" si="99"/>
        <v>22.026213906245228</v>
      </c>
      <c r="AC540" s="146">
        <f t="shared" si="95"/>
        <v>-6.6799999999999491</v>
      </c>
      <c r="AD540" s="147">
        <v>-0.12600394877700688</v>
      </c>
      <c r="AE540" s="1">
        <f t="shared" si="100"/>
        <v>-37093.52578030392</v>
      </c>
    </row>
    <row r="541" spans="20:31">
      <c r="T541" s="140">
        <f t="shared" si="94"/>
        <v>16.75000000000011</v>
      </c>
      <c r="U541" s="140">
        <v>2.2207556515700748</v>
      </c>
      <c r="V541" s="140">
        <v>5.1281512977743575E-2</v>
      </c>
      <c r="W541" s="1">
        <f t="shared" si="101"/>
        <v>-0.32283419102011041</v>
      </c>
      <c r="X541" s="1">
        <f t="shared" si="96"/>
        <v>-32.749999999999858</v>
      </c>
      <c r="Y541" s="1">
        <f t="shared" si="97"/>
        <v>1.9492029735277081</v>
      </c>
      <c r="Z541" s="1">
        <f t="shared" si="98"/>
        <v>8.8676144183077593E-2</v>
      </c>
      <c r="AA541" s="1">
        <f t="shared" si="99"/>
        <v>21.981142634071386</v>
      </c>
      <c r="AC541" s="146">
        <f t="shared" si="95"/>
        <v>-6.6999999999999487</v>
      </c>
      <c r="AD541" s="147">
        <v>-0.12638120610867457</v>
      </c>
      <c r="AE541" s="1">
        <f t="shared" si="100"/>
        <v>-37204.584240723991</v>
      </c>
    </row>
    <row r="542" spans="20:31">
      <c r="T542" s="140">
        <f t="shared" si="94"/>
        <v>16.800000000000111</v>
      </c>
      <c r="U542" s="140">
        <v>2.2263281030449424</v>
      </c>
      <c r="V542" s="140">
        <v>5.1434592120960729E-2</v>
      </c>
      <c r="W542" s="1">
        <f t="shared" si="101"/>
        <v>-0.32361056477047007</v>
      </c>
      <c r="X542" s="1">
        <f t="shared" si="96"/>
        <v>-32.799999999999862</v>
      </c>
      <c r="Y542" s="1">
        <f t="shared" si="97"/>
        <v>1.954152130395433</v>
      </c>
      <c r="Z542" s="1">
        <f t="shared" si="98"/>
        <v>8.9083360028135924E-2</v>
      </c>
      <c r="AA542" s="1">
        <f t="shared" si="99"/>
        <v>21.936219399203591</v>
      </c>
      <c r="AC542" s="146">
        <f t="shared" si="95"/>
        <v>-6.7199999999999482</v>
      </c>
      <c r="AD542" s="147">
        <v>-0.12675846344034225</v>
      </c>
      <c r="AE542" s="1">
        <f t="shared" si="100"/>
        <v>-37315.642701144061</v>
      </c>
    </row>
    <row r="543" spans="20:31">
      <c r="T543" s="140">
        <f t="shared" si="94"/>
        <v>16.850000000000112</v>
      </c>
      <c r="U543" s="140">
        <v>2.2319005545198096</v>
      </c>
      <c r="V543" s="140">
        <v>5.1587671264177869E-2</v>
      </c>
      <c r="W543" s="1">
        <f t="shared" si="101"/>
        <v>-0.32438693852082967</v>
      </c>
      <c r="X543" s="1">
        <f t="shared" si="96"/>
        <v>-32.849999999999866</v>
      </c>
      <c r="Y543" s="1">
        <f t="shared" si="97"/>
        <v>1.9591012872631581</v>
      </c>
      <c r="Z543" s="1">
        <f t="shared" si="98"/>
        <v>8.949164368320639E-2</v>
      </c>
      <c r="AA543" s="1">
        <f t="shared" si="99"/>
        <v>21.891443788855053</v>
      </c>
      <c r="AC543" s="146">
        <f t="shared" si="95"/>
        <v>-6.7399999999999478</v>
      </c>
      <c r="AD543" s="147">
        <v>-0.12713572077200994</v>
      </c>
      <c r="AE543" s="1">
        <f t="shared" si="100"/>
        <v>-37426.701161564139</v>
      </c>
    </row>
    <row r="544" spans="20:31">
      <c r="T544" s="140">
        <f t="shared" ref="T544:T546" si="102">T543+$V$2</f>
        <v>16.900000000000112</v>
      </c>
      <c r="U544" s="140">
        <v>2.2374730059946777</v>
      </c>
      <c r="V544" s="140">
        <v>5.1740750407395016E-2</v>
      </c>
      <c r="W544" s="1">
        <f t="shared" si="101"/>
        <v>-0.32516331227118939</v>
      </c>
      <c r="X544" s="1">
        <f t="shared" si="96"/>
        <v>-32.899999999999864</v>
      </c>
      <c r="Y544" s="1">
        <f t="shared" si="97"/>
        <v>1.9640504441308833</v>
      </c>
      <c r="Z544" s="1">
        <f t="shared" si="98"/>
        <v>8.9900995148289045E-2</v>
      </c>
      <c r="AA544" s="1">
        <f t="shared" si="99"/>
        <v>21.846815387207226</v>
      </c>
      <c r="AC544" s="146">
        <f t="shared" si="95"/>
        <v>-6.7599999999999474</v>
      </c>
      <c r="AD544" s="147">
        <v>-0.12751297810367759</v>
      </c>
      <c r="AE544" s="1">
        <f t="shared" si="100"/>
        <v>-37537.759621984194</v>
      </c>
    </row>
    <row r="545" spans="20:31">
      <c r="T545" s="140">
        <f t="shared" si="102"/>
        <v>16.950000000000113</v>
      </c>
      <c r="U545" s="140">
        <v>2.2430454574695449</v>
      </c>
      <c r="V545" s="140">
        <v>5.1893829550612162E-2</v>
      </c>
      <c r="W545" s="1">
        <f t="shared" si="101"/>
        <v>-0.32593968602154894</v>
      </c>
      <c r="X545" s="1">
        <f t="shared" si="96"/>
        <v>-32.949999999999861</v>
      </c>
      <c r="Y545" s="1">
        <f t="shared" si="97"/>
        <v>1.9689996009986079</v>
      </c>
      <c r="Z545" s="1">
        <f t="shared" si="98"/>
        <v>9.0311414423383821E-2</v>
      </c>
      <c r="AA545" s="1">
        <f t="shared" si="99"/>
        <v>21.802333775527561</v>
      </c>
      <c r="AC545" s="146">
        <f t="shared" si="95"/>
        <v>-6.779999999999947</v>
      </c>
      <c r="AD545" s="147">
        <v>-0.12789023543534528</v>
      </c>
      <c r="AE545" s="1">
        <f t="shared" si="100"/>
        <v>-37648.818082404272</v>
      </c>
    </row>
    <row r="546" spans="20:31">
      <c r="T546" s="140">
        <f t="shared" si="102"/>
        <v>17.000000000000114</v>
      </c>
      <c r="U546" s="140">
        <v>2.2486179089444125</v>
      </c>
      <c r="V546" s="140">
        <v>5.2046908693829302E-2</v>
      </c>
      <c r="W546" s="1">
        <f t="shared" si="101"/>
        <v>-0.32671605977190865</v>
      </c>
      <c r="X546" s="1">
        <f t="shared" si="96"/>
        <v>-32.999999999999865</v>
      </c>
      <c r="Y546" s="1">
        <f t="shared" si="97"/>
        <v>1.9739487578663333</v>
      </c>
      <c r="Z546" s="1">
        <f t="shared" si="98"/>
        <v>9.0722901508490758E-2</v>
      </c>
      <c r="AA546" s="1">
        <f t="shared" si="99"/>
        <v>21.7579985322845</v>
      </c>
      <c r="AC546" s="146">
        <f t="shared" si="95"/>
        <v>-6.7999999999999465</v>
      </c>
      <c r="AD546" s="147">
        <v>-0.12826749276701296</v>
      </c>
      <c r="AE546" s="1">
        <f t="shared" si="100"/>
        <v>-37759.87654282435</v>
      </c>
    </row>
    <row r="547" spans="20:31">
      <c r="T547" s="140"/>
      <c r="U547" s="140"/>
      <c r="V547" s="140"/>
      <c r="AC547" s="146">
        <f t="shared" si="95"/>
        <v>-6.8199999999999461</v>
      </c>
      <c r="AD547" s="147">
        <v>-0.12864475009868065</v>
      </c>
      <c r="AE547" s="1">
        <f t="shared" si="100"/>
        <v>-37870.935003244413</v>
      </c>
    </row>
    <row r="548" spans="20:31">
      <c r="T548" s="140"/>
      <c r="U548" s="140"/>
      <c r="V548" s="140"/>
      <c r="AC548" s="146">
        <f t="shared" si="95"/>
        <v>-6.8399999999999457</v>
      </c>
      <c r="AD548" s="147">
        <v>-0.12902200743034833</v>
      </c>
      <c r="AE548" s="1">
        <f t="shared" si="100"/>
        <v>-37981.993463664483</v>
      </c>
    </row>
    <row r="549" spans="20:31">
      <c r="T549" s="140"/>
      <c r="U549" s="140"/>
      <c r="V549" s="140"/>
      <c r="AC549" s="146">
        <f t="shared" si="95"/>
        <v>-6.8599999999999453</v>
      </c>
      <c r="AD549" s="147">
        <v>-0.12939926476201599</v>
      </c>
      <c r="AE549" s="1">
        <f t="shared" si="100"/>
        <v>-38093.051924084546</v>
      </c>
    </row>
    <row r="550" spans="20:31">
      <c r="T550" s="140"/>
      <c r="U550" s="140"/>
      <c r="V550" s="140"/>
      <c r="AC550" s="146">
        <f t="shared" si="95"/>
        <v>-6.8799999999999448</v>
      </c>
      <c r="AD550" s="147">
        <v>-0.12977652209368368</v>
      </c>
      <c r="AE550" s="1">
        <f t="shared" si="100"/>
        <v>-38204.110384504616</v>
      </c>
    </row>
    <row r="551" spans="20:31">
      <c r="T551" s="140"/>
      <c r="U551" s="140"/>
      <c r="V551" s="140"/>
      <c r="AC551" s="146">
        <f t="shared" si="95"/>
        <v>-6.8999999999999444</v>
      </c>
      <c r="AD551" s="147">
        <v>-0.13015377942535136</v>
      </c>
      <c r="AE551" s="1">
        <f t="shared" si="100"/>
        <v>-38315.168844924694</v>
      </c>
    </row>
    <row r="552" spans="20:31">
      <c r="T552" s="140"/>
      <c r="U552" s="140"/>
      <c r="V552" s="140"/>
      <c r="AC552" s="146">
        <f t="shared" si="95"/>
        <v>-6.919999999999944</v>
      </c>
      <c r="AD552" s="147">
        <v>-0.13053103675701905</v>
      </c>
      <c r="AE552" s="1">
        <f t="shared" si="100"/>
        <v>-38426.227305344772</v>
      </c>
    </row>
    <row r="553" spans="20:31">
      <c r="T553" s="140"/>
      <c r="U553" s="140"/>
      <c r="V553" s="140"/>
      <c r="AC553" s="146">
        <f t="shared" si="95"/>
        <v>-6.9399999999999435</v>
      </c>
      <c r="AD553" s="147">
        <v>-0.13090829408868673</v>
      </c>
      <c r="AE553" s="1">
        <f t="shared" si="100"/>
        <v>-38537.285765764835</v>
      </c>
    </row>
    <row r="554" spans="20:31">
      <c r="T554" s="140"/>
      <c r="U554" s="140"/>
      <c r="V554" s="140"/>
      <c r="AC554" s="146">
        <f t="shared" si="95"/>
        <v>-6.9599999999999431</v>
      </c>
      <c r="AD554" s="147">
        <v>-0.13128555142035439</v>
      </c>
      <c r="AE554" s="1">
        <f t="shared" si="100"/>
        <v>-38648.344226184905</v>
      </c>
    </row>
    <row r="555" spans="20:31">
      <c r="T555" s="140"/>
      <c r="U555" s="140"/>
      <c r="V555" s="140"/>
      <c r="AC555" s="146">
        <f t="shared" ref="AC555:AC618" si="103">AC554-$AD$2</f>
        <v>-6.9799999999999427</v>
      </c>
      <c r="AD555" s="147">
        <v>-0.13166280875202208</v>
      </c>
      <c r="AE555" s="1">
        <f t="shared" si="100"/>
        <v>-38759.402686604968</v>
      </c>
    </row>
    <row r="556" spans="20:31">
      <c r="T556" s="140"/>
      <c r="U556" s="140"/>
      <c r="V556" s="140"/>
      <c r="AC556" s="146">
        <f t="shared" si="103"/>
        <v>-6.9999999999999423</v>
      </c>
      <c r="AD556" s="147">
        <v>-0.13204006608368976</v>
      </c>
      <c r="AE556" s="1">
        <f t="shared" si="100"/>
        <v>-38870.461147025038</v>
      </c>
    </row>
    <row r="557" spans="20:31">
      <c r="T557" s="140"/>
      <c r="U557" s="140"/>
      <c r="V557" s="140"/>
      <c r="AC557" s="146">
        <f t="shared" si="103"/>
        <v>-7.0199999999999418</v>
      </c>
      <c r="AD557" s="147">
        <v>-0.13241732341535745</v>
      </c>
      <c r="AE557" s="1">
        <f t="shared" si="100"/>
        <v>-38981.519607445116</v>
      </c>
    </row>
    <row r="558" spans="20:31">
      <c r="T558" s="140"/>
      <c r="U558" s="140"/>
      <c r="V558" s="140"/>
      <c r="AC558" s="146">
        <f t="shared" si="103"/>
        <v>-7.0399999999999414</v>
      </c>
      <c r="AD558" s="147">
        <v>-0.13279458074702513</v>
      </c>
      <c r="AE558" s="1">
        <f t="shared" si="100"/>
        <v>-39092.578067865194</v>
      </c>
    </row>
    <row r="559" spans="20:31">
      <c r="AC559" s="146">
        <f t="shared" si="103"/>
        <v>-7.059999999999941</v>
      </c>
      <c r="AD559" s="147">
        <v>-0.13317183807869279</v>
      </c>
      <c r="AE559" s="1">
        <f t="shared" si="100"/>
        <v>-39203.636528285249</v>
      </c>
    </row>
    <row r="560" spans="20:31">
      <c r="AC560" s="146">
        <f t="shared" si="103"/>
        <v>-7.0799999999999406</v>
      </c>
      <c r="AD560" s="147">
        <v>-0.13354909541036047</v>
      </c>
      <c r="AE560" s="1">
        <f t="shared" si="100"/>
        <v>-39314.694988705327</v>
      </c>
    </row>
    <row r="561" spans="29:31">
      <c r="AC561" s="146">
        <f t="shared" si="103"/>
        <v>-7.0999999999999401</v>
      </c>
      <c r="AD561" s="147">
        <v>-0.13392635274202816</v>
      </c>
      <c r="AE561" s="1">
        <f t="shared" si="100"/>
        <v>-39425.75344912539</v>
      </c>
    </row>
    <row r="562" spans="29:31">
      <c r="AC562" s="146">
        <f t="shared" si="103"/>
        <v>-7.1199999999999397</v>
      </c>
      <c r="AD562" s="147">
        <v>-0.13430361007369584</v>
      </c>
      <c r="AE562" s="1">
        <f t="shared" si="100"/>
        <v>-39536.81190954546</v>
      </c>
    </row>
    <row r="563" spans="29:31">
      <c r="AC563" s="146">
        <f t="shared" si="103"/>
        <v>-7.1399999999999393</v>
      </c>
      <c r="AD563" s="147">
        <v>-0.13468086740536353</v>
      </c>
      <c r="AE563" s="1">
        <f t="shared" si="100"/>
        <v>-39647.870369965538</v>
      </c>
    </row>
    <row r="564" spans="29:31">
      <c r="AC564" s="146">
        <f t="shared" si="103"/>
        <v>-7.1599999999999389</v>
      </c>
      <c r="AD564" s="147">
        <v>-0.13505812473703119</v>
      </c>
      <c r="AE564" s="1">
        <f t="shared" si="100"/>
        <v>-39758.928830385594</v>
      </c>
    </row>
    <row r="565" spans="29:31">
      <c r="AC565" s="146">
        <f t="shared" si="103"/>
        <v>-7.1799999999999384</v>
      </c>
      <c r="AD565" s="147">
        <v>-0.13543538206869887</v>
      </c>
      <c r="AE565" s="1">
        <f t="shared" si="100"/>
        <v>-39869.987290805671</v>
      </c>
    </row>
    <row r="566" spans="29:31">
      <c r="AC566" s="146">
        <f t="shared" si="103"/>
        <v>-7.199999999999938</v>
      </c>
      <c r="AD566" s="147">
        <v>-0.13581263940036659</v>
      </c>
      <c r="AE566" s="1">
        <f t="shared" si="100"/>
        <v>-39981.045751225749</v>
      </c>
    </row>
    <row r="567" spans="29:31">
      <c r="AC567" s="146">
        <f t="shared" si="103"/>
        <v>-7.2199999999999376</v>
      </c>
      <c r="AD567" s="147">
        <v>-0.13618989673203424</v>
      </c>
      <c r="AE567" s="1">
        <f t="shared" si="100"/>
        <v>-40092.104211645812</v>
      </c>
    </row>
    <row r="568" spans="29:31">
      <c r="AC568" s="146">
        <f t="shared" si="103"/>
        <v>-7.2399999999999372</v>
      </c>
      <c r="AD568" s="147">
        <v>-0.13656715406370193</v>
      </c>
      <c r="AE568" s="1">
        <f t="shared" si="100"/>
        <v>-40203.162672065882</v>
      </c>
    </row>
    <row r="569" spans="29:31">
      <c r="AC569" s="146">
        <f t="shared" si="103"/>
        <v>-7.2599999999999367</v>
      </c>
      <c r="AD569" s="147">
        <v>-0.13694441139536959</v>
      </c>
      <c r="AE569" s="1">
        <f t="shared" si="100"/>
        <v>-40314.221132485953</v>
      </c>
    </row>
    <row r="570" spans="29:31">
      <c r="AC570" s="146">
        <f t="shared" si="103"/>
        <v>-7.2799999999999363</v>
      </c>
      <c r="AD570" s="147">
        <v>-0.1373216687270373</v>
      </c>
      <c r="AE570" s="1">
        <f t="shared" si="100"/>
        <v>-40425.279592906023</v>
      </c>
    </row>
    <row r="571" spans="29:31">
      <c r="AC571" s="146">
        <f t="shared" si="103"/>
        <v>-7.2999999999999359</v>
      </c>
      <c r="AD571" s="147">
        <v>-0.13769892605870496</v>
      </c>
      <c r="AE571" s="1">
        <f t="shared" si="100"/>
        <v>-40536.338053326093</v>
      </c>
    </row>
    <row r="572" spans="29:31">
      <c r="AC572" s="146">
        <f t="shared" si="103"/>
        <v>-7.3199999999999354</v>
      </c>
      <c r="AD572" s="147">
        <v>-0.13807618339037264</v>
      </c>
      <c r="AE572" s="1">
        <f t="shared" si="100"/>
        <v>-40647.396513746164</v>
      </c>
    </row>
    <row r="573" spans="29:31">
      <c r="AC573" s="146">
        <f t="shared" si="103"/>
        <v>-7.339999999999935</v>
      </c>
      <c r="AD573" s="147">
        <v>-0.13845344072204033</v>
      </c>
      <c r="AE573" s="1">
        <f t="shared" si="100"/>
        <v>-40758.454974166234</v>
      </c>
    </row>
    <row r="574" spans="29:31">
      <c r="AC574" s="146">
        <f t="shared" si="103"/>
        <v>-7.3599999999999346</v>
      </c>
      <c r="AD574" s="147">
        <v>-0.13883069805370801</v>
      </c>
      <c r="AE574" s="1">
        <f t="shared" si="100"/>
        <v>-40869.513434586304</v>
      </c>
    </row>
    <row r="575" spans="29:31">
      <c r="AC575" s="146">
        <f t="shared" si="103"/>
        <v>-7.3799999999999342</v>
      </c>
      <c r="AD575" s="147">
        <v>-0.13920795538537567</v>
      </c>
      <c r="AE575" s="1">
        <f t="shared" si="100"/>
        <v>-40980.571895006375</v>
      </c>
    </row>
    <row r="576" spans="29:31">
      <c r="AC576" s="146">
        <f t="shared" si="103"/>
        <v>-7.3999999999999337</v>
      </c>
      <c r="AD576" s="147">
        <v>-0.13958521271704338</v>
      </c>
      <c r="AE576" s="1">
        <f t="shared" si="100"/>
        <v>-41091.630355426445</v>
      </c>
    </row>
    <row r="577" spans="29:31">
      <c r="AC577" s="146">
        <f t="shared" si="103"/>
        <v>-7.4199999999999333</v>
      </c>
      <c r="AD577" s="147">
        <v>-0.13996247004871104</v>
      </c>
      <c r="AE577" s="1">
        <f t="shared" ref="AE577:AE640" si="104">AD577*0.5*rho*V^2*SRef</f>
        <v>-41202.688815846515</v>
      </c>
    </row>
    <row r="578" spans="29:31">
      <c r="AC578" s="146">
        <f t="shared" si="103"/>
        <v>-7.4399999999999329</v>
      </c>
      <c r="AD578" s="147">
        <v>-0.14033972738037873</v>
      </c>
      <c r="AE578" s="1">
        <f t="shared" si="104"/>
        <v>-41313.747276266586</v>
      </c>
    </row>
    <row r="579" spans="29:31">
      <c r="AC579" s="146">
        <f t="shared" si="103"/>
        <v>-7.4599999999999325</v>
      </c>
      <c r="AD579" s="147">
        <v>-0.14071698471204638</v>
      </c>
      <c r="AE579" s="1">
        <f t="shared" si="104"/>
        <v>-41424.805736686649</v>
      </c>
    </row>
    <row r="580" spans="29:31">
      <c r="AC580" s="146">
        <f t="shared" si="103"/>
        <v>-7.479999999999932</v>
      </c>
      <c r="AD580" s="147">
        <v>-0.1410942420437141</v>
      </c>
      <c r="AE580" s="1">
        <f t="shared" si="104"/>
        <v>-41535.864197106726</v>
      </c>
    </row>
    <row r="581" spans="29:31">
      <c r="AC581" s="146">
        <f t="shared" si="103"/>
        <v>-7.4999999999999316</v>
      </c>
      <c r="AD581" s="147">
        <v>-0.14147149937538175</v>
      </c>
      <c r="AE581" s="1">
        <f t="shared" si="104"/>
        <v>-41646.922657526797</v>
      </c>
    </row>
    <row r="582" spans="29:31">
      <c r="AC582" s="146">
        <f t="shared" si="103"/>
        <v>-7.5199999999999312</v>
      </c>
      <c r="AD582" s="147">
        <v>-0.14184875670704944</v>
      </c>
      <c r="AE582" s="1">
        <f t="shared" si="104"/>
        <v>-41757.98111794686</v>
      </c>
    </row>
    <row r="583" spans="29:31">
      <c r="AC583" s="146">
        <f t="shared" si="103"/>
        <v>-7.5399999999999308</v>
      </c>
      <c r="AD583" s="147">
        <v>-0.14222601403871712</v>
      </c>
      <c r="AE583" s="1">
        <f t="shared" si="104"/>
        <v>-41869.039578366937</v>
      </c>
    </row>
    <row r="584" spans="29:31">
      <c r="AC584" s="146">
        <f t="shared" si="103"/>
        <v>-7.5599999999999303</v>
      </c>
      <c r="AD584" s="147">
        <v>-0.14260327137038481</v>
      </c>
      <c r="AE584" s="1">
        <f t="shared" si="104"/>
        <v>-41980.098038787008</v>
      </c>
    </row>
    <row r="585" spans="29:31">
      <c r="AC585" s="146">
        <f t="shared" si="103"/>
        <v>-7.5799999999999299</v>
      </c>
      <c r="AD585" s="147">
        <v>-0.14298052870205247</v>
      </c>
      <c r="AE585" s="1">
        <f t="shared" si="104"/>
        <v>-42091.156499207071</v>
      </c>
    </row>
    <row r="586" spans="29:31">
      <c r="AC586" s="146">
        <f t="shared" si="103"/>
        <v>-7.5999999999999295</v>
      </c>
      <c r="AD586" s="147">
        <v>-0.14335778603372018</v>
      </c>
      <c r="AE586" s="1">
        <f t="shared" si="104"/>
        <v>-42202.214959627148</v>
      </c>
    </row>
    <row r="587" spans="29:31">
      <c r="AC587" s="146">
        <f t="shared" si="103"/>
        <v>-7.6199999999999291</v>
      </c>
      <c r="AD587" s="147">
        <v>-0.14373504336538787</v>
      </c>
      <c r="AE587" s="1">
        <f t="shared" si="104"/>
        <v>-42313.273420047226</v>
      </c>
    </row>
    <row r="588" spans="29:31">
      <c r="AC588" s="146">
        <f t="shared" si="103"/>
        <v>-7.6399999999999286</v>
      </c>
      <c r="AD588" s="147">
        <v>-0.14411230069705552</v>
      </c>
      <c r="AE588" s="1">
        <f t="shared" si="104"/>
        <v>-42424.331880467282</v>
      </c>
    </row>
    <row r="589" spans="29:31">
      <c r="AC589" s="146">
        <f t="shared" si="103"/>
        <v>-7.6599999999999282</v>
      </c>
      <c r="AD589" s="147">
        <v>-0.14448955802872321</v>
      </c>
      <c r="AE589" s="1">
        <f t="shared" si="104"/>
        <v>-42535.390340887359</v>
      </c>
    </row>
    <row r="590" spans="29:31">
      <c r="AC590" s="146">
        <f t="shared" si="103"/>
        <v>-7.6799999999999278</v>
      </c>
      <c r="AD590" s="147">
        <v>-0.14486681536039089</v>
      </c>
      <c r="AE590" s="1">
        <f t="shared" si="104"/>
        <v>-42646.44880130743</v>
      </c>
    </row>
    <row r="591" spans="29:31">
      <c r="AC591" s="146">
        <f t="shared" si="103"/>
        <v>-7.6999999999999273</v>
      </c>
      <c r="AD591" s="147">
        <v>-0.14524407269205858</v>
      </c>
      <c r="AE591" s="1">
        <f t="shared" si="104"/>
        <v>-42757.507261727493</v>
      </c>
    </row>
    <row r="592" spans="29:31">
      <c r="AC592" s="146">
        <f t="shared" si="103"/>
        <v>-7.7199999999999269</v>
      </c>
      <c r="AD592" s="147">
        <v>-0.14562133002372624</v>
      </c>
      <c r="AE592" s="1">
        <f t="shared" si="104"/>
        <v>-42868.565722147563</v>
      </c>
    </row>
    <row r="593" spans="29:31">
      <c r="AC593" s="146">
        <f t="shared" si="103"/>
        <v>-7.7399999999999265</v>
      </c>
      <c r="AD593" s="147">
        <v>-0.14599858735539395</v>
      </c>
      <c r="AE593" s="1">
        <f t="shared" si="104"/>
        <v>-42979.624182567641</v>
      </c>
    </row>
    <row r="594" spans="29:31">
      <c r="AC594" s="146">
        <f t="shared" si="103"/>
        <v>-7.7599999999999261</v>
      </c>
      <c r="AD594" s="147">
        <v>-0.14637584468706161</v>
      </c>
      <c r="AE594" s="1">
        <f t="shared" si="104"/>
        <v>-43090.682642987704</v>
      </c>
    </row>
    <row r="595" spans="29:31">
      <c r="AC595" s="146">
        <f t="shared" si="103"/>
        <v>-7.7799999999999256</v>
      </c>
      <c r="AD595" s="147">
        <v>-0.14675310201872929</v>
      </c>
      <c r="AE595" s="1">
        <f t="shared" si="104"/>
        <v>-43201.741103407774</v>
      </c>
    </row>
    <row r="596" spans="29:31">
      <c r="AC596" s="146">
        <f t="shared" si="103"/>
        <v>-7.7999999999999252</v>
      </c>
      <c r="AD596" s="147">
        <v>-0.14713035935039698</v>
      </c>
      <c r="AE596" s="1">
        <f t="shared" si="104"/>
        <v>-43312.799563827852</v>
      </c>
    </row>
    <row r="597" spans="29:31">
      <c r="AC597" s="146">
        <f t="shared" si="103"/>
        <v>-7.8199999999999248</v>
      </c>
      <c r="AD597" s="147">
        <v>-0.14750761668206466</v>
      </c>
      <c r="AE597" s="1">
        <f t="shared" si="104"/>
        <v>-43423.858024247915</v>
      </c>
    </row>
    <row r="598" spans="29:31">
      <c r="AC598" s="146">
        <f t="shared" si="103"/>
        <v>-7.8399999999999244</v>
      </c>
      <c r="AD598" s="147">
        <v>-0.14788487401373232</v>
      </c>
      <c r="AE598" s="1">
        <f t="shared" si="104"/>
        <v>-43534.916484667985</v>
      </c>
    </row>
    <row r="599" spans="29:31">
      <c r="AC599" s="146">
        <f t="shared" si="103"/>
        <v>-7.8599999999999239</v>
      </c>
      <c r="AD599" s="147">
        <v>-0.14826213134540001</v>
      </c>
      <c r="AE599" s="1">
        <f t="shared" si="104"/>
        <v>-43645.974945088055</v>
      </c>
    </row>
    <row r="600" spans="29:31">
      <c r="AC600" s="146">
        <f t="shared" si="103"/>
        <v>-7.8799999999999235</v>
      </c>
      <c r="AD600" s="147">
        <v>-0.14863938867706769</v>
      </c>
      <c r="AE600" s="1">
        <f t="shared" si="104"/>
        <v>-43757.033405508126</v>
      </c>
    </row>
    <row r="601" spans="29:31">
      <c r="AC601" s="146">
        <f t="shared" si="103"/>
        <v>-7.8999999999999231</v>
      </c>
      <c r="AD601" s="147">
        <v>-0.14901664600873538</v>
      </c>
      <c r="AE601" s="1">
        <f t="shared" si="104"/>
        <v>-43868.091865928196</v>
      </c>
    </row>
    <row r="602" spans="29:31">
      <c r="AC602" s="146">
        <f t="shared" si="103"/>
        <v>-7.9199999999999227</v>
      </c>
      <c r="AD602" s="147">
        <v>-0.14939390334040303</v>
      </c>
      <c r="AE602" s="1">
        <f t="shared" si="104"/>
        <v>-43979.150326348266</v>
      </c>
    </row>
    <row r="603" spans="29:31">
      <c r="AC603" s="146">
        <f t="shared" si="103"/>
        <v>-7.9399999999999222</v>
      </c>
      <c r="AD603" s="147">
        <v>-0.14977116067207075</v>
      </c>
      <c r="AE603" s="1">
        <f t="shared" si="104"/>
        <v>-44090.208786768337</v>
      </c>
    </row>
    <row r="604" spans="29:31">
      <c r="AC604" s="146">
        <f t="shared" si="103"/>
        <v>-7.9599999999999218</v>
      </c>
      <c r="AD604" s="147">
        <v>-0.1501484180037384</v>
      </c>
      <c r="AE604" s="1">
        <f t="shared" si="104"/>
        <v>-44201.267247188407</v>
      </c>
    </row>
    <row r="605" spans="29:31">
      <c r="AC605" s="146">
        <f t="shared" si="103"/>
        <v>-7.9799999999999214</v>
      </c>
      <c r="AD605" s="147">
        <v>-0.15052567533540609</v>
      </c>
      <c r="AE605" s="1">
        <f t="shared" si="104"/>
        <v>-44312.325707608477</v>
      </c>
    </row>
    <row r="606" spans="29:31">
      <c r="AC606" s="146">
        <f t="shared" si="103"/>
        <v>-7.999999999999921</v>
      </c>
      <c r="AD606" s="147">
        <v>-0.15090293266707377</v>
      </c>
      <c r="AE606" s="1">
        <f t="shared" si="104"/>
        <v>-44423.384168028548</v>
      </c>
    </row>
    <row r="607" spans="29:31">
      <c r="AC607" s="146">
        <f t="shared" si="103"/>
        <v>-8.0199999999999214</v>
      </c>
      <c r="AD607" s="147">
        <v>-0.15128018999874146</v>
      </c>
      <c r="AE607" s="1">
        <f t="shared" si="104"/>
        <v>-44534.442628448618</v>
      </c>
    </row>
    <row r="608" spans="29:31">
      <c r="AC608" s="146">
        <f t="shared" si="103"/>
        <v>-8.039999999999921</v>
      </c>
      <c r="AD608" s="147">
        <v>-0.15165744733040915</v>
      </c>
      <c r="AE608" s="1">
        <f t="shared" si="104"/>
        <v>-44645.501088868696</v>
      </c>
    </row>
    <row r="609" spans="29:31">
      <c r="AC609" s="146">
        <f t="shared" si="103"/>
        <v>-8.0599999999999206</v>
      </c>
      <c r="AD609" s="147">
        <v>-0.1520347046620768</v>
      </c>
      <c r="AE609" s="1">
        <f t="shared" si="104"/>
        <v>-44756.559549288751</v>
      </c>
    </row>
    <row r="610" spans="29:31">
      <c r="AC610" s="146">
        <f t="shared" si="103"/>
        <v>-8.0799999999999201</v>
      </c>
      <c r="AD610" s="147">
        <v>-0.15241196199374452</v>
      </c>
      <c r="AE610" s="1">
        <f t="shared" si="104"/>
        <v>-44867.618009708836</v>
      </c>
    </row>
    <row r="611" spans="29:31">
      <c r="AC611" s="146">
        <f t="shared" si="103"/>
        <v>-8.0999999999999197</v>
      </c>
      <c r="AD611" s="147">
        <v>-0.15278921932541217</v>
      </c>
      <c r="AE611" s="1">
        <f t="shared" si="104"/>
        <v>-44978.676470128899</v>
      </c>
    </row>
    <row r="612" spans="29:31">
      <c r="AC612" s="146">
        <f t="shared" si="103"/>
        <v>-8.1199999999999193</v>
      </c>
      <c r="AD612" s="147">
        <v>-0.15316647665707986</v>
      </c>
      <c r="AE612" s="1">
        <f t="shared" si="104"/>
        <v>-45089.73493054897</v>
      </c>
    </row>
    <row r="613" spans="29:31">
      <c r="AC613" s="146">
        <f t="shared" si="103"/>
        <v>-8.1399999999999189</v>
      </c>
      <c r="AD613" s="147">
        <v>-0.15354373398874754</v>
      </c>
      <c r="AE613" s="1">
        <f t="shared" si="104"/>
        <v>-45200.79339096904</v>
      </c>
    </row>
    <row r="614" spans="29:31">
      <c r="AC614" s="146">
        <f t="shared" si="103"/>
        <v>-8.1599999999999184</v>
      </c>
      <c r="AD614" s="147">
        <v>-0.15392099132041523</v>
      </c>
      <c r="AE614" s="1">
        <f t="shared" si="104"/>
        <v>-45311.851851389118</v>
      </c>
    </row>
    <row r="615" spans="29:31">
      <c r="AC615" s="146">
        <f t="shared" si="103"/>
        <v>-8.179999999999918</v>
      </c>
      <c r="AD615" s="147">
        <v>-0.15429824865208289</v>
      </c>
      <c r="AE615" s="1">
        <f t="shared" si="104"/>
        <v>-45422.910311809173</v>
      </c>
    </row>
    <row r="616" spans="29:31">
      <c r="AC616" s="146">
        <f t="shared" si="103"/>
        <v>-8.1999999999999176</v>
      </c>
      <c r="AD616" s="147">
        <v>-0.1546755059837506</v>
      </c>
      <c r="AE616" s="1">
        <f t="shared" si="104"/>
        <v>-45533.968772229251</v>
      </c>
    </row>
    <row r="617" spans="29:31">
      <c r="AC617" s="146">
        <f t="shared" si="103"/>
        <v>-8.2199999999999172</v>
      </c>
      <c r="AD617" s="147">
        <v>-0.15505276331541828</v>
      </c>
      <c r="AE617" s="1">
        <f t="shared" si="104"/>
        <v>-45645.027232649329</v>
      </c>
    </row>
    <row r="618" spans="29:31">
      <c r="AC618" s="146">
        <f t="shared" si="103"/>
        <v>-8.2399999999999167</v>
      </c>
      <c r="AD618" s="147">
        <v>-0.15543002064708594</v>
      </c>
      <c r="AE618" s="1">
        <f t="shared" si="104"/>
        <v>-45756.085693069384</v>
      </c>
    </row>
    <row r="619" spans="29:31">
      <c r="AC619" s="146">
        <f t="shared" ref="AC619:AC682" si="105">AC618-$AD$2</f>
        <v>-8.2599999999999163</v>
      </c>
      <c r="AD619" s="147">
        <v>-0.15580727797875366</v>
      </c>
      <c r="AE619" s="1">
        <f t="shared" si="104"/>
        <v>-45867.144153489469</v>
      </c>
    </row>
    <row r="620" spans="29:31">
      <c r="AC620" s="146">
        <f t="shared" si="105"/>
        <v>-8.2799999999999159</v>
      </c>
      <c r="AD620" s="147">
        <v>-0.15618453531042131</v>
      </c>
      <c r="AE620" s="1">
        <f t="shared" si="104"/>
        <v>-45978.20261390954</v>
      </c>
    </row>
    <row r="621" spans="29:31">
      <c r="AC621" s="146">
        <f t="shared" si="105"/>
        <v>-8.2999999999999154</v>
      </c>
      <c r="AD621" s="147">
        <v>-0.156561792642089</v>
      </c>
      <c r="AE621" s="1">
        <f t="shared" si="104"/>
        <v>-46089.261074329603</v>
      </c>
    </row>
    <row r="622" spans="29:31">
      <c r="AC622" s="146">
        <f t="shared" si="105"/>
        <v>-8.319999999999915</v>
      </c>
      <c r="AD622" s="147">
        <v>-0.15693904997375666</v>
      </c>
      <c r="AE622" s="1">
        <f t="shared" si="104"/>
        <v>-46200.319534749673</v>
      </c>
    </row>
    <row r="623" spans="29:31">
      <c r="AC623" s="146">
        <f t="shared" si="105"/>
        <v>-8.3399999999999146</v>
      </c>
      <c r="AD623" s="147">
        <v>-0.15731630730542437</v>
      </c>
      <c r="AE623" s="1">
        <f t="shared" si="104"/>
        <v>-46311.377995169751</v>
      </c>
    </row>
    <row r="624" spans="29:31">
      <c r="AC624" s="146">
        <f t="shared" si="105"/>
        <v>-8.3599999999999142</v>
      </c>
      <c r="AD624" s="147">
        <v>-0.15769356463709203</v>
      </c>
      <c r="AE624" s="1">
        <f t="shared" si="104"/>
        <v>-46422.436455589806</v>
      </c>
    </row>
    <row r="625" spans="29:31">
      <c r="AC625" s="146">
        <f t="shared" si="105"/>
        <v>-8.3799999999999137</v>
      </c>
      <c r="AD625" s="147">
        <v>-0.15807082196875971</v>
      </c>
      <c r="AE625" s="1">
        <f t="shared" si="104"/>
        <v>-46533.494916009884</v>
      </c>
    </row>
    <row r="626" spans="29:31">
      <c r="AC626" s="146">
        <f t="shared" si="105"/>
        <v>-8.3999999999999133</v>
      </c>
      <c r="AD626" s="147">
        <v>-0.1584480793004274</v>
      </c>
      <c r="AE626" s="1">
        <f t="shared" si="104"/>
        <v>-46644.553376429962</v>
      </c>
    </row>
    <row r="627" spans="29:31">
      <c r="AC627" s="146">
        <f t="shared" si="105"/>
        <v>-8.4199999999999129</v>
      </c>
      <c r="AD627" s="147">
        <v>-0.15882533663209508</v>
      </c>
      <c r="AE627" s="1">
        <f t="shared" si="104"/>
        <v>-46755.611836850025</v>
      </c>
    </row>
    <row r="628" spans="29:31">
      <c r="AC628" s="146">
        <f t="shared" si="105"/>
        <v>-8.4399999999999125</v>
      </c>
      <c r="AD628" s="147">
        <v>-0.15920259396376274</v>
      </c>
      <c r="AE628" s="1">
        <f t="shared" si="104"/>
        <v>-46866.670297270095</v>
      </c>
    </row>
    <row r="629" spans="29:31">
      <c r="AC629" s="146">
        <f t="shared" si="105"/>
        <v>-8.459999999999912</v>
      </c>
      <c r="AD629" s="147">
        <v>-0.15957985129543045</v>
      </c>
      <c r="AE629" s="1">
        <f t="shared" si="104"/>
        <v>-46977.728757690173</v>
      </c>
    </row>
    <row r="630" spans="29:31">
      <c r="AC630" s="146">
        <f t="shared" si="105"/>
        <v>-8.4799999999999116</v>
      </c>
      <c r="AD630" s="147">
        <v>-0.15995710862709811</v>
      </c>
      <c r="AE630" s="1">
        <f t="shared" si="104"/>
        <v>-47088.787218110228</v>
      </c>
    </row>
    <row r="631" spans="29:31">
      <c r="AC631" s="146">
        <f t="shared" si="105"/>
        <v>-8.4999999999999112</v>
      </c>
      <c r="AD631" s="147">
        <v>-0.1603343659587658</v>
      </c>
      <c r="AE631" s="1">
        <f t="shared" si="104"/>
        <v>-47199.845678530306</v>
      </c>
    </row>
    <row r="632" spans="29:31">
      <c r="AC632" s="146">
        <f t="shared" si="105"/>
        <v>-8.5199999999999108</v>
      </c>
      <c r="AD632" s="147">
        <v>-0.16071162329043345</v>
      </c>
      <c r="AE632" s="1">
        <f t="shared" si="104"/>
        <v>-47310.904138950369</v>
      </c>
    </row>
    <row r="633" spans="29:31">
      <c r="AC633" s="146">
        <f t="shared" si="105"/>
        <v>-8.5399999999999103</v>
      </c>
      <c r="AD633" s="147">
        <v>-0.16108888062210117</v>
      </c>
      <c r="AE633" s="1">
        <f t="shared" si="104"/>
        <v>-47421.962599370447</v>
      </c>
    </row>
    <row r="634" spans="29:31">
      <c r="AC634" s="146">
        <f t="shared" si="105"/>
        <v>-8.5599999999999099</v>
      </c>
      <c r="AD634" s="147">
        <v>-0.16146613795376882</v>
      </c>
      <c r="AE634" s="1">
        <f t="shared" si="104"/>
        <v>-47533.021059790517</v>
      </c>
    </row>
    <row r="635" spans="29:31">
      <c r="AC635" s="146">
        <f t="shared" si="105"/>
        <v>-8.5799999999999095</v>
      </c>
      <c r="AD635" s="147">
        <v>-0.16184339528543651</v>
      </c>
      <c r="AE635" s="1">
        <f t="shared" si="104"/>
        <v>-47644.079520210587</v>
      </c>
    </row>
    <row r="636" spans="29:31">
      <c r="AC636" s="146">
        <f t="shared" si="105"/>
        <v>-8.5999999999999091</v>
      </c>
      <c r="AD636" s="147">
        <v>-0.16222065261710419</v>
      </c>
      <c r="AE636" s="1">
        <f t="shared" si="104"/>
        <v>-47755.13798063065</v>
      </c>
    </row>
    <row r="637" spans="29:31">
      <c r="AC637" s="146">
        <f t="shared" si="105"/>
        <v>-8.6199999999999086</v>
      </c>
      <c r="AD637" s="147">
        <v>-0.16259790994877188</v>
      </c>
      <c r="AE637" s="1">
        <f t="shared" si="104"/>
        <v>-47866.196441050728</v>
      </c>
    </row>
    <row r="638" spans="29:31">
      <c r="AC638" s="146">
        <f t="shared" si="105"/>
        <v>-8.6399999999999082</v>
      </c>
      <c r="AD638" s="147">
        <v>-0.16297516728043954</v>
      </c>
      <c r="AE638" s="1">
        <f t="shared" si="104"/>
        <v>-47977.254901470791</v>
      </c>
    </row>
    <row r="639" spans="29:31">
      <c r="AC639" s="146">
        <f t="shared" si="105"/>
        <v>-8.6599999999999078</v>
      </c>
      <c r="AD639" s="147">
        <v>-0.16335242461210722</v>
      </c>
      <c r="AE639" s="1">
        <f t="shared" si="104"/>
        <v>-48088.313361890861</v>
      </c>
    </row>
    <row r="640" spans="29:31">
      <c r="AC640" s="146">
        <f t="shared" si="105"/>
        <v>-8.6799999999999073</v>
      </c>
      <c r="AD640" s="147">
        <v>-0.16372968194377491</v>
      </c>
      <c r="AE640" s="1">
        <f t="shared" si="104"/>
        <v>-48199.371822310939</v>
      </c>
    </row>
    <row r="641" spans="29:31">
      <c r="AC641" s="146">
        <f t="shared" si="105"/>
        <v>-8.6999999999999069</v>
      </c>
      <c r="AD641" s="147">
        <v>-0.16410693927544259</v>
      </c>
      <c r="AE641" s="1">
        <f t="shared" ref="AE641:AE704" si="106">AD641*0.5*rho*V^2*SRef</f>
        <v>-48310.430282731009</v>
      </c>
    </row>
    <row r="642" spans="29:31">
      <c r="AC642" s="146">
        <f t="shared" si="105"/>
        <v>-8.7199999999999065</v>
      </c>
      <c r="AD642" s="147">
        <v>-0.16448419660711025</v>
      </c>
      <c r="AE642" s="1">
        <f t="shared" si="106"/>
        <v>-48421.488743151072</v>
      </c>
    </row>
    <row r="643" spans="29:31">
      <c r="AC643" s="146">
        <f t="shared" si="105"/>
        <v>-8.7399999999999061</v>
      </c>
      <c r="AD643" s="147">
        <v>-0.16486145393877796</v>
      </c>
      <c r="AE643" s="1">
        <f t="shared" si="106"/>
        <v>-48532.54720357115</v>
      </c>
    </row>
    <row r="644" spans="29:31">
      <c r="AC644" s="146">
        <f t="shared" si="105"/>
        <v>-8.7599999999999056</v>
      </c>
      <c r="AD644" s="147">
        <v>-0.16523871127044562</v>
      </c>
      <c r="AE644" s="1">
        <f t="shared" si="106"/>
        <v>-48643.605663991213</v>
      </c>
    </row>
    <row r="645" spans="29:31">
      <c r="AC645" s="146">
        <f t="shared" si="105"/>
        <v>-8.7799999999999052</v>
      </c>
      <c r="AD645" s="147">
        <v>-0.16561596860211331</v>
      </c>
      <c r="AE645" s="1">
        <f t="shared" si="106"/>
        <v>-48754.664124411283</v>
      </c>
    </row>
    <row r="646" spans="29:31">
      <c r="AC646" s="146">
        <f t="shared" si="105"/>
        <v>-8.7999999999999048</v>
      </c>
      <c r="AD646" s="147">
        <v>-0.16599322593378099</v>
      </c>
      <c r="AE646" s="1">
        <f t="shared" si="106"/>
        <v>-48865.722584831361</v>
      </c>
    </row>
    <row r="647" spans="29:31">
      <c r="AC647" s="146">
        <f t="shared" si="105"/>
        <v>-8.8199999999999044</v>
      </c>
      <c r="AD647" s="147">
        <v>-0.16637048326544868</v>
      </c>
      <c r="AE647" s="1">
        <f t="shared" si="106"/>
        <v>-48976.781045251431</v>
      </c>
    </row>
    <row r="648" spans="29:31">
      <c r="AC648" s="146">
        <f t="shared" si="105"/>
        <v>-8.8399999999999039</v>
      </c>
      <c r="AD648" s="147">
        <v>-0.16674774059711633</v>
      </c>
      <c r="AE648" s="1">
        <f t="shared" si="106"/>
        <v>-49087.839505671494</v>
      </c>
    </row>
    <row r="649" spans="29:31">
      <c r="AC649" s="146">
        <f t="shared" si="105"/>
        <v>-8.8599999999999035</v>
      </c>
      <c r="AD649" s="147">
        <v>-0.16712499792878402</v>
      </c>
      <c r="AE649" s="1">
        <f t="shared" si="106"/>
        <v>-49198.897966091565</v>
      </c>
    </row>
    <row r="650" spans="29:31">
      <c r="AC650" s="146">
        <f t="shared" si="105"/>
        <v>-8.8799999999999031</v>
      </c>
      <c r="AD650" s="147">
        <v>-0.1675022552604517</v>
      </c>
      <c r="AE650" s="1">
        <f t="shared" si="106"/>
        <v>-49309.956426511635</v>
      </c>
    </row>
    <row r="651" spans="29:31">
      <c r="AC651" s="146">
        <f t="shared" si="105"/>
        <v>-8.8999999999999027</v>
      </c>
      <c r="AD651" s="147">
        <v>-0.16787951259211939</v>
      </c>
      <c r="AE651" s="1">
        <f t="shared" si="106"/>
        <v>-49421.014886931705</v>
      </c>
    </row>
    <row r="652" spans="29:31">
      <c r="AC652" s="146">
        <f t="shared" si="105"/>
        <v>-8.9199999999999022</v>
      </c>
      <c r="AD652" s="147">
        <v>-0.16825676992378708</v>
      </c>
      <c r="AE652" s="1">
        <f t="shared" si="106"/>
        <v>-49532.073347351776</v>
      </c>
    </row>
    <row r="653" spans="29:31">
      <c r="AC653" s="146">
        <f t="shared" si="105"/>
        <v>-8.9399999999999018</v>
      </c>
      <c r="AD653" s="147">
        <v>-0.16863402725545476</v>
      </c>
      <c r="AE653" s="1">
        <f t="shared" si="106"/>
        <v>-49643.131807771846</v>
      </c>
    </row>
    <row r="654" spans="29:31">
      <c r="AC654" s="146">
        <f t="shared" si="105"/>
        <v>-8.9599999999999014</v>
      </c>
      <c r="AD654" s="147">
        <v>-0.16901128458712245</v>
      </c>
      <c r="AE654" s="1">
        <f t="shared" si="106"/>
        <v>-49754.190268191931</v>
      </c>
    </row>
    <row r="655" spans="29:31">
      <c r="AC655" s="146">
        <f t="shared" si="105"/>
        <v>-8.979999999999901</v>
      </c>
      <c r="AD655" s="147">
        <v>-0.1693885419187901</v>
      </c>
      <c r="AE655" s="1">
        <f t="shared" si="106"/>
        <v>-49865.248728611987</v>
      </c>
    </row>
    <row r="656" spans="29:31">
      <c r="AC656" s="146">
        <f t="shared" si="105"/>
        <v>-8.9999999999999005</v>
      </c>
      <c r="AD656" s="147">
        <v>-0.16976579925045782</v>
      </c>
      <c r="AE656" s="1">
        <f t="shared" si="106"/>
        <v>-49976.307189032072</v>
      </c>
    </row>
    <row r="657" spans="29:31">
      <c r="AC657" s="146">
        <f t="shared" si="105"/>
        <v>-9.0199999999999001</v>
      </c>
      <c r="AD657" s="147">
        <v>-0.17014305658212547</v>
      </c>
      <c r="AE657" s="1">
        <f t="shared" si="106"/>
        <v>-50087.365649452127</v>
      </c>
    </row>
    <row r="658" spans="29:31">
      <c r="AC658" s="146">
        <f t="shared" si="105"/>
        <v>-9.0399999999998997</v>
      </c>
      <c r="AD658" s="147">
        <v>-0.17052031391379316</v>
      </c>
      <c r="AE658" s="1">
        <f t="shared" si="106"/>
        <v>-50198.424109872198</v>
      </c>
    </row>
    <row r="659" spans="29:31">
      <c r="AC659" s="146">
        <f t="shared" si="105"/>
        <v>-9.0599999999998992</v>
      </c>
      <c r="AD659" s="147">
        <v>-0.17089757124546082</v>
      </c>
      <c r="AE659" s="1">
        <f t="shared" si="106"/>
        <v>-50309.482570292268</v>
      </c>
    </row>
    <row r="660" spans="29:31">
      <c r="AC660" s="146">
        <f t="shared" si="105"/>
        <v>-9.0799999999998988</v>
      </c>
      <c r="AD660" s="147">
        <v>-0.17127482857712853</v>
      </c>
      <c r="AE660" s="1">
        <f t="shared" si="106"/>
        <v>-50420.541030712353</v>
      </c>
    </row>
    <row r="661" spans="29:31">
      <c r="AC661" s="146">
        <f t="shared" si="105"/>
        <v>-9.0999999999998984</v>
      </c>
      <c r="AD661" s="147">
        <v>-0.17165208590879619</v>
      </c>
      <c r="AE661" s="1">
        <f t="shared" si="106"/>
        <v>-50531.599491132409</v>
      </c>
    </row>
    <row r="662" spans="29:31">
      <c r="AC662" s="146">
        <f t="shared" si="105"/>
        <v>-9.119999999999898</v>
      </c>
      <c r="AD662" s="147">
        <v>-0.17202934324046387</v>
      </c>
      <c r="AE662" s="1">
        <f t="shared" si="106"/>
        <v>-50642.657951552479</v>
      </c>
    </row>
    <row r="663" spans="29:31">
      <c r="AC663" s="146">
        <f t="shared" si="105"/>
        <v>-9.1399999999998975</v>
      </c>
      <c r="AD663" s="147">
        <v>-0.17240660057213156</v>
      </c>
      <c r="AE663" s="1">
        <f t="shared" si="106"/>
        <v>-50753.716411972542</v>
      </c>
    </row>
    <row r="664" spans="29:31">
      <c r="AC664" s="146">
        <f t="shared" si="105"/>
        <v>-9.1599999999998971</v>
      </c>
      <c r="AD664" s="147">
        <v>-0.17278385790379924</v>
      </c>
      <c r="AE664" s="1">
        <f t="shared" si="106"/>
        <v>-50864.77487239262</v>
      </c>
    </row>
    <row r="665" spans="29:31">
      <c r="AC665" s="146">
        <f t="shared" si="105"/>
        <v>-9.1799999999998967</v>
      </c>
      <c r="AD665" s="147">
        <v>-0.1731611152354669</v>
      </c>
      <c r="AE665" s="1">
        <f t="shared" si="106"/>
        <v>-50975.83333281269</v>
      </c>
    </row>
    <row r="666" spans="29:31">
      <c r="AC666" s="146">
        <f t="shared" si="105"/>
        <v>-9.1999999999998963</v>
      </c>
      <c r="AD666" s="147">
        <v>-0.17353837256713461</v>
      </c>
      <c r="AE666" s="1">
        <f t="shared" si="106"/>
        <v>-51086.891793232753</v>
      </c>
    </row>
    <row r="667" spans="29:31">
      <c r="AC667" s="146">
        <f t="shared" si="105"/>
        <v>-9.2199999999998958</v>
      </c>
      <c r="AD667" s="147">
        <v>-0.17391562989880227</v>
      </c>
      <c r="AE667" s="1">
        <f t="shared" si="106"/>
        <v>-51197.950253652831</v>
      </c>
    </row>
    <row r="668" spans="29:31">
      <c r="AC668" s="146">
        <f t="shared" si="105"/>
        <v>-9.2399999999998954</v>
      </c>
      <c r="AD668" s="147">
        <v>-0.17429288723046996</v>
      </c>
      <c r="AE668" s="1">
        <f t="shared" si="106"/>
        <v>-51309.008714072901</v>
      </c>
    </row>
    <row r="669" spans="29:31">
      <c r="AC669" s="146">
        <f t="shared" si="105"/>
        <v>-9.259999999999895</v>
      </c>
      <c r="AD669" s="147">
        <v>-0.17467014456213761</v>
      </c>
      <c r="AE669" s="1">
        <f t="shared" si="106"/>
        <v>-51420.067174492957</v>
      </c>
    </row>
    <row r="670" spans="29:31">
      <c r="AC670" s="146">
        <f t="shared" si="105"/>
        <v>-9.2799999999998946</v>
      </c>
      <c r="AD670" s="147">
        <v>-0.17504740189380533</v>
      </c>
      <c r="AE670" s="1">
        <f t="shared" si="106"/>
        <v>-51531.125634913042</v>
      </c>
    </row>
    <row r="671" spans="29:31">
      <c r="AC671" s="146">
        <f t="shared" si="105"/>
        <v>-9.2999999999998941</v>
      </c>
      <c r="AD671" s="147">
        <v>-0.17542465922547298</v>
      </c>
      <c r="AE671" s="1">
        <f t="shared" si="106"/>
        <v>-51642.184095333112</v>
      </c>
    </row>
    <row r="672" spans="29:31">
      <c r="AC672" s="146">
        <f t="shared" si="105"/>
        <v>-9.3199999999998937</v>
      </c>
      <c r="AD672" s="147">
        <v>-0.17580191655714067</v>
      </c>
      <c r="AE672" s="1">
        <f t="shared" si="106"/>
        <v>-51753.242555753175</v>
      </c>
    </row>
    <row r="673" spans="29:31">
      <c r="AC673" s="146">
        <f t="shared" si="105"/>
        <v>-9.3399999999998933</v>
      </c>
      <c r="AD673" s="147">
        <v>-0.17617917388880835</v>
      </c>
      <c r="AE673" s="1">
        <f t="shared" si="106"/>
        <v>-51864.301016173253</v>
      </c>
    </row>
    <row r="674" spans="29:31">
      <c r="AC674" s="146">
        <f t="shared" si="105"/>
        <v>-9.3599999999998929</v>
      </c>
      <c r="AD674" s="147">
        <v>-0.17655643122047604</v>
      </c>
      <c r="AE674" s="1">
        <f t="shared" si="106"/>
        <v>-51975.359476593323</v>
      </c>
    </row>
    <row r="675" spans="29:31">
      <c r="AC675" s="146">
        <f t="shared" si="105"/>
        <v>-9.3799999999998924</v>
      </c>
      <c r="AD675" s="147">
        <v>-0.1769336885521437</v>
      </c>
      <c r="AE675" s="1">
        <f t="shared" si="106"/>
        <v>-52086.417937013379</v>
      </c>
    </row>
    <row r="676" spans="29:31">
      <c r="AC676" s="146">
        <f t="shared" si="105"/>
        <v>-9.399999999999892</v>
      </c>
      <c r="AD676" s="147">
        <v>-0.17731094588381141</v>
      </c>
      <c r="AE676" s="1">
        <f t="shared" si="106"/>
        <v>-52197.476397433464</v>
      </c>
    </row>
    <row r="677" spans="29:31">
      <c r="AC677" s="146">
        <f t="shared" si="105"/>
        <v>-9.4199999999998916</v>
      </c>
      <c r="AD677" s="147">
        <v>-0.17768820321547907</v>
      </c>
      <c r="AE677" s="1">
        <f t="shared" si="106"/>
        <v>-52308.534857853534</v>
      </c>
    </row>
    <row r="678" spans="29:31">
      <c r="AC678" s="146">
        <f t="shared" si="105"/>
        <v>-9.4399999999998911</v>
      </c>
      <c r="AD678" s="147">
        <v>-0.17806546054714675</v>
      </c>
      <c r="AE678" s="1">
        <f t="shared" si="106"/>
        <v>-52419.593318273597</v>
      </c>
    </row>
    <row r="679" spans="29:31">
      <c r="AC679" s="146">
        <f t="shared" si="105"/>
        <v>-9.4599999999998907</v>
      </c>
      <c r="AD679" s="147">
        <v>-0.17844271787881441</v>
      </c>
      <c r="AE679" s="1">
        <f t="shared" si="106"/>
        <v>-52530.65177869366</v>
      </c>
    </row>
    <row r="680" spans="29:31">
      <c r="AC680" s="146">
        <f t="shared" si="105"/>
        <v>-9.4799999999998903</v>
      </c>
      <c r="AD680" s="147">
        <v>-0.17881997521048212</v>
      </c>
      <c r="AE680" s="1">
        <f t="shared" si="106"/>
        <v>-52641.710239113745</v>
      </c>
    </row>
    <row r="681" spans="29:31">
      <c r="AC681" s="146">
        <f t="shared" si="105"/>
        <v>-9.4999999999998899</v>
      </c>
      <c r="AD681" s="147">
        <v>-0.17919723254214978</v>
      </c>
      <c r="AE681" s="1">
        <f t="shared" si="106"/>
        <v>-52752.768699533801</v>
      </c>
    </row>
    <row r="682" spans="29:31">
      <c r="AC682" s="146">
        <f t="shared" si="105"/>
        <v>-9.5199999999998894</v>
      </c>
      <c r="AD682" s="147">
        <v>-0.17957448987381747</v>
      </c>
      <c r="AE682" s="1">
        <f t="shared" si="106"/>
        <v>-52863.827159953871</v>
      </c>
    </row>
    <row r="683" spans="29:31">
      <c r="AC683" s="146">
        <f t="shared" ref="AC683:AC746" si="107">AC682-$AD$2</f>
        <v>-9.539999999999889</v>
      </c>
      <c r="AD683" s="147">
        <v>-0.17995174720548515</v>
      </c>
      <c r="AE683" s="1">
        <f t="shared" si="106"/>
        <v>-52974.885620373956</v>
      </c>
    </row>
    <row r="684" spans="29:31">
      <c r="AC684" s="146">
        <f t="shared" si="107"/>
        <v>-9.5599999999998886</v>
      </c>
      <c r="AD684" s="147">
        <v>-0.18032900453715284</v>
      </c>
      <c r="AE684" s="1">
        <f t="shared" si="106"/>
        <v>-53085.944080794019</v>
      </c>
    </row>
    <row r="685" spans="29:31">
      <c r="AC685" s="146">
        <f t="shared" si="107"/>
        <v>-9.5799999999998882</v>
      </c>
      <c r="AD685" s="147">
        <v>-0.18070626186882049</v>
      </c>
      <c r="AE685" s="1">
        <f t="shared" si="106"/>
        <v>-53197.002541214082</v>
      </c>
    </row>
    <row r="686" spans="29:31">
      <c r="AC686" s="146">
        <f t="shared" si="107"/>
        <v>-9.5999999999998877</v>
      </c>
      <c r="AD686" s="147">
        <v>-0.18108351920048821</v>
      </c>
      <c r="AE686" s="1">
        <f t="shared" si="106"/>
        <v>-53308.061001634167</v>
      </c>
    </row>
    <row r="687" spans="29:31">
      <c r="AC687" s="146">
        <f t="shared" si="107"/>
        <v>-9.6199999999998873</v>
      </c>
      <c r="AD687" s="147">
        <v>-0.18146077653215589</v>
      </c>
      <c r="AE687" s="1">
        <f t="shared" si="106"/>
        <v>-53419.11946205423</v>
      </c>
    </row>
    <row r="688" spans="29:31">
      <c r="AC688" s="146">
        <f t="shared" si="107"/>
        <v>-9.6399999999998869</v>
      </c>
      <c r="AD688" s="147">
        <v>-0.18183803386382355</v>
      </c>
      <c r="AE688" s="1">
        <f t="shared" si="106"/>
        <v>-53530.177922474293</v>
      </c>
    </row>
    <row r="689" spans="29:31">
      <c r="AC689" s="146">
        <f t="shared" si="107"/>
        <v>-9.6599999999998865</v>
      </c>
      <c r="AD689" s="147">
        <v>-0.18221529119549124</v>
      </c>
      <c r="AE689" s="1">
        <f t="shared" si="106"/>
        <v>-53641.236382894378</v>
      </c>
    </row>
    <row r="690" spans="29:31">
      <c r="AC690" s="146">
        <f t="shared" si="107"/>
        <v>-9.679999999999886</v>
      </c>
      <c r="AD690" s="147">
        <v>-0.18259254852715892</v>
      </c>
      <c r="AE690" s="1">
        <f t="shared" si="106"/>
        <v>-53752.294843314441</v>
      </c>
    </row>
    <row r="691" spans="29:31">
      <c r="AC691" s="146">
        <f t="shared" si="107"/>
        <v>-9.6999999999998856</v>
      </c>
      <c r="AD691" s="147">
        <v>-0.18296980585882661</v>
      </c>
      <c r="AE691" s="1">
        <f t="shared" si="106"/>
        <v>-53863.353303734519</v>
      </c>
    </row>
    <row r="692" spans="29:31">
      <c r="AC692" s="146">
        <f t="shared" si="107"/>
        <v>-9.7199999999998852</v>
      </c>
      <c r="AD692" s="147">
        <v>-0.18334706319049426</v>
      </c>
      <c r="AE692" s="1">
        <f t="shared" si="106"/>
        <v>-53974.411764154582</v>
      </c>
    </row>
    <row r="693" spans="29:31">
      <c r="AC693" s="146">
        <f t="shared" si="107"/>
        <v>-9.7399999999998847</v>
      </c>
      <c r="AD693" s="147">
        <v>-0.18372432052216198</v>
      </c>
      <c r="AE693" s="1">
        <f t="shared" si="106"/>
        <v>-54085.470224574652</v>
      </c>
    </row>
    <row r="694" spans="29:31">
      <c r="AC694" s="146">
        <f t="shared" si="107"/>
        <v>-9.7599999999998843</v>
      </c>
      <c r="AD694" s="147">
        <v>-0.18410157785382963</v>
      </c>
      <c r="AE694" s="1">
        <f t="shared" si="106"/>
        <v>-54196.528684994715</v>
      </c>
    </row>
    <row r="695" spans="29:31">
      <c r="AC695" s="146">
        <f t="shared" si="107"/>
        <v>-9.7799999999998839</v>
      </c>
      <c r="AD695" s="147">
        <v>-0.18447883518549732</v>
      </c>
      <c r="AE695" s="1">
        <f t="shared" si="106"/>
        <v>-54307.587145414793</v>
      </c>
    </row>
    <row r="696" spans="29:31">
      <c r="AC696" s="146">
        <f t="shared" si="107"/>
        <v>-9.7999999999998835</v>
      </c>
      <c r="AD696" s="147">
        <v>-0.184856092517165</v>
      </c>
      <c r="AE696" s="1">
        <f t="shared" si="106"/>
        <v>-54418.645605834863</v>
      </c>
    </row>
    <row r="697" spans="29:31">
      <c r="AC697" s="146">
        <f t="shared" si="107"/>
        <v>-9.819999999999883</v>
      </c>
      <c r="AD697" s="147">
        <v>-0.18523334984883269</v>
      </c>
      <c r="AE697" s="1">
        <f t="shared" si="106"/>
        <v>-54529.704066254941</v>
      </c>
    </row>
    <row r="698" spans="29:31">
      <c r="AC698" s="146">
        <f t="shared" si="107"/>
        <v>-9.8399999999998826</v>
      </c>
      <c r="AD698" s="147">
        <v>-0.18561060718050035</v>
      </c>
      <c r="AE698" s="1">
        <f t="shared" si="106"/>
        <v>-54640.762526675004</v>
      </c>
    </row>
    <row r="699" spans="29:31">
      <c r="AC699" s="146">
        <f t="shared" si="107"/>
        <v>-9.8599999999998822</v>
      </c>
      <c r="AD699" s="147">
        <v>-0.18598786451216803</v>
      </c>
      <c r="AE699" s="1">
        <f t="shared" si="106"/>
        <v>-54751.820987095067</v>
      </c>
    </row>
    <row r="700" spans="29:31">
      <c r="AC700" s="146">
        <f t="shared" si="107"/>
        <v>-9.8799999999998818</v>
      </c>
      <c r="AD700" s="147">
        <v>-0.18636512184383572</v>
      </c>
      <c r="AE700" s="1">
        <f t="shared" si="106"/>
        <v>-54862.879447515137</v>
      </c>
    </row>
    <row r="701" spans="29:31">
      <c r="AC701" s="146">
        <f t="shared" si="107"/>
        <v>-9.8999999999998813</v>
      </c>
      <c r="AD701" s="147">
        <v>-0.1867423791755034</v>
      </c>
      <c r="AE701" s="1">
        <f t="shared" si="106"/>
        <v>-54973.937907935215</v>
      </c>
    </row>
    <row r="702" spans="29:31">
      <c r="AC702" s="146">
        <f t="shared" si="107"/>
        <v>-9.9199999999998809</v>
      </c>
      <c r="AD702" s="147">
        <v>-0.18711963650717106</v>
      </c>
      <c r="AE702" s="1">
        <f t="shared" si="106"/>
        <v>-55084.996368355278</v>
      </c>
    </row>
    <row r="703" spans="29:31">
      <c r="AC703" s="146">
        <f t="shared" si="107"/>
        <v>-9.9399999999998805</v>
      </c>
      <c r="AD703" s="147">
        <v>-0.18749689383883877</v>
      </c>
      <c r="AE703" s="1">
        <f t="shared" si="106"/>
        <v>-55196.054828775363</v>
      </c>
    </row>
    <row r="704" spans="29:31">
      <c r="AC704" s="146">
        <f t="shared" si="107"/>
        <v>-9.9599999999998801</v>
      </c>
      <c r="AD704" s="147">
        <v>-0.18787415117050643</v>
      </c>
      <c r="AE704" s="1">
        <f t="shared" si="106"/>
        <v>-55307.113289195426</v>
      </c>
    </row>
    <row r="705" spans="29:31">
      <c r="AC705" s="146">
        <f t="shared" si="107"/>
        <v>-9.9799999999998796</v>
      </c>
      <c r="AD705" s="147">
        <v>-0.18825140850217412</v>
      </c>
      <c r="AE705" s="1">
        <f t="shared" ref="AE705:AE768" si="108">AD705*0.5*rho*V^2*SRef</f>
        <v>-55418.171749615489</v>
      </c>
    </row>
    <row r="706" spans="29:31">
      <c r="AC706" s="146">
        <f t="shared" si="107"/>
        <v>-9.9999999999998792</v>
      </c>
      <c r="AD706" s="147">
        <v>-0.1886286658338418</v>
      </c>
      <c r="AE706" s="1">
        <f t="shared" si="108"/>
        <v>-55529.230210035559</v>
      </c>
    </row>
    <row r="707" spans="29:31">
      <c r="AC707" s="146">
        <f t="shared" si="107"/>
        <v>-10.019999999999879</v>
      </c>
      <c r="AD707" s="147">
        <v>-0.18900592316550949</v>
      </c>
      <c r="AE707" s="1">
        <f t="shared" si="108"/>
        <v>-55640.288670455637</v>
      </c>
    </row>
    <row r="708" spans="29:31">
      <c r="AC708" s="146">
        <f t="shared" si="107"/>
        <v>-10.039999999999878</v>
      </c>
      <c r="AD708" s="147">
        <v>-0.18938318049717714</v>
      </c>
      <c r="AE708" s="1">
        <f t="shared" si="108"/>
        <v>-55751.3471308757</v>
      </c>
    </row>
    <row r="709" spans="29:31">
      <c r="AC709" s="146">
        <f t="shared" si="107"/>
        <v>-10.059999999999878</v>
      </c>
      <c r="AD709" s="147">
        <v>-0.18976043782884483</v>
      </c>
      <c r="AE709" s="1">
        <f t="shared" si="108"/>
        <v>-55862.40559129577</v>
      </c>
    </row>
    <row r="710" spans="29:31">
      <c r="AC710" s="146">
        <f t="shared" si="107"/>
        <v>-10.079999999999878</v>
      </c>
      <c r="AD710" s="147">
        <v>-0.19013769516051252</v>
      </c>
      <c r="AE710" s="1">
        <f t="shared" si="108"/>
        <v>-55973.464051715848</v>
      </c>
    </row>
    <row r="711" spans="29:31">
      <c r="AC711" s="146">
        <f t="shared" si="107"/>
        <v>-10.099999999999877</v>
      </c>
      <c r="AD711" s="147">
        <v>-0.1905149524921802</v>
      </c>
      <c r="AE711" s="1">
        <f t="shared" si="108"/>
        <v>-56084.522512135911</v>
      </c>
    </row>
    <row r="712" spans="29:31">
      <c r="AC712" s="146">
        <f t="shared" si="107"/>
        <v>-10.119999999999877</v>
      </c>
      <c r="AD712" s="147">
        <v>-0.19089220982384786</v>
      </c>
      <c r="AE712" s="1">
        <f t="shared" si="108"/>
        <v>-56195.580972555981</v>
      </c>
    </row>
    <row r="713" spans="29:31">
      <c r="AC713" s="146">
        <f t="shared" si="107"/>
        <v>-10.139999999999876</v>
      </c>
      <c r="AD713" s="147">
        <v>-0.19126946715551557</v>
      </c>
      <c r="AE713" s="1">
        <f t="shared" si="108"/>
        <v>-56306.639432976059</v>
      </c>
    </row>
    <row r="714" spans="29:31">
      <c r="AC714" s="146">
        <f t="shared" si="107"/>
        <v>-10.159999999999876</v>
      </c>
      <c r="AD714" s="147">
        <v>-0.19164672448718323</v>
      </c>
      <c r="AE714" s="1">
        <f t="shared" si="108"/>
        <v>-56417.697893396122</v>
      </c>
    </row>
    <row r="715" spans="29:31">
      <c r="AC715" s="146">
        <f t="shared" si="107"/>
        <v>-10.179999999999875</v>
      </c>
      <c r="AD715" s="147">
        <v>-0.19202398181885091</v>
      </c>
      <c r="AE715" s="1">
        <f t="shared" si="108"/>
        <v>-56528.756353816192</v>
      </c>
    </row>
    <row r="716" spans="29:31">
      <c r="AC716" s="146">
        <f t="shared" si="107"/>
        <v>-10.199999999999875</v>
      </c>
      <c r="AD716" s="147">
        <v>-0.1924012391505186</v>
      </c>
      <c r="AE716" s="1">
        <f t="shared" si="108"/>
        <v>-56639.81481423627</v>
      </c>
    </row>
    <row r="717" spans="29:31">
      <c r="AC717" s="146">
        <f t="shared" si="107"/>
        <v>-10.219999999999875</v>
      </c>
      <c r="AD717" s="147">
        <v>-0.19277849648218628</v>
      </c>
      <c r="AE717" s="1">
        <f t="shared" si="108"/>
        <v>-56750.873274656333</v>
      </c>
    </row>
    <row r="718" spans="29:31">
      <c r="AC718" s="146">
        <f t="shared" si="107"/>
        <v>-10.239999999999874</v>
      </c>
      <c r="AD718" s="147">
        <v>-0.19315575381385394</v>
      </c>
      <c r="AE718" s="1">
        <f t="shared" si="108"/>
        <v>-56861.931735076396</v>
      </c>
    </row>
    <row r="719" spans="29:31">
      <c r="AC719" s="146">
        <f t="shared" si="107"/>
        <v>-10.259999999999874</v>
      </c>
      <c r="AD719" s="147">
        <v>-0.19353301114552163</v>
      </c>
      <c r="AE719" s="1">
        <f t="shared" si="108"/>
        <v>-56972.990195496481</v>
      </c>
    </row>
    <row r="720" spans="29:31">
      <c r="AC720" s="146">
        <f t="shared" si="107"/>
        <v>-10.279999999999873</v>
      </c>
      <c r="AD720" s="147">
        <v>-0.19391026847718931</v>
      </c>
      <c r="AE720" s="1">
        <f t="shared" si="108"/>
        <v>-57084.048655916544</v>
      </c>
    </row>
    <row r="721" spans="29:31">
      <c r="AC721" s="146">
        <f t="shared" si="107"/>
        <v>-10.299999999999873</v>
      </c>
      <c r="AD721" s="147">
        <v>-0.194287525808857</v>
      </c>
      <c r="AE721" s="1">
        <f t="shared" si="108"/>
        <v>-57195.107116336614</v>
      </c>
    </row>
    <row r="722" spans="29:31">
      <c r="AC722" s="146">
        <f t="shared" si="107"/>
        <v>-10.319999999999872</v>
      </c>
      <c r="AD722" s="147">
        <v>-0.19466478314052468</v>
      </c>
      <c r="AE722" s="1">
        <f t="shared" si="108"/>
        <v>-57306.165576756692</v>
      </c>
    </row>
    <row r="723" spans="29:31">
      <c r="AC723" s="146">
        <f t="shared" si="107"/>
        <v>-10.339999999999872</v>
      </c>
      <c r="AD723" s="147">
        <v>-0.19504204047219237</v>
      </c>
      <c r="AE723" s="1">
        <f t="shared" si="108"/>
        <v>-57417.224037176755</v>
      </c>
    </row>
    <row r="724" spans="29:31">
      <c r="AC724" s="146">
        <f t="shared" si="107"/>
        <v>-10.359999999999872</v>
      </c>
      <c r="AD724" s="147">
        <v>-0.19541929780386005</v>
      </c>
      <c r="AE724" s="1">
        <f t="shared" si="108"/>
        <v>-57528.282497596825</v>
      </c>
    </row>
    <row r="725" spans="29:31">
      <c r="AC725" s="146">
        <f t="shared" si="107"/>
        <v>-10.379999999999871</v>
      </c>
      <c r="AD725" s="147">
        <v>-0.19579655513552771</v>
      </c>
      <c r="AE725" s="1">
        <f t="shared" si="108"/>
        <v>-57639.340958016903</v>
      </c>
    </row>
    <row r="726" spans="29:31">
      <c r="AC726" s="146">
        <f t="shared" si="107"/>
        <v>-10.399999999999871</v>
      </c>
      <c r="AD726" s="147">
        <v>-0.19617381246719542</v>
      </c>
      <c r="AE726" s="1">
        <f t="shared" si="108"/>
        <v>-57750.399418436966</v>
      </c>
    </row>
    <row r="727" spans="29:31">
      <c r="AC727" s="146">
        <f t="shared" si="107"/>
        <v>-10.41999999999987</v>
      </c>
      <c r="AD727" s="147">
        <v>-0.19655106979886308</v>
      </c>
      <c r="AE727" s="1">
        <f t="shared" si="108"/>
        <v>-57861.457878857036</v>
      </c>
    </row>
    <row r="728" spans="29:31">
      <c r="AC728" s="146">
        <f t="shared" si="107"/>
        <v>-10.43999999999987</v>
      </c>
      <c r="AD728" s="147">
        <v>-0.19692832713053077</v>
      </c>
      <c r="AE728" s="1">
        <f t="shared" si="108"/>
        <v>-57972.516339277106</v>
      </c>
    </row>
    <row r="729" spans="29:31">
      <c r="AC729" s="146">
        <f t="shared" si="107"/>
        <v>-10.459999999999869</v>
      </c>
      <c r="AD729" s="147">
        <v>-0.19730558446219842</v>
      </c>
      <c r="AE729" s="1">
        <f t="shared" si="108"/>
        <v>-58083.574799697162</v>
      </c>
    </row>
    <row r="730" spans="29:31">
      <c r="AC730" s="146">
        <f t="shared" si="107"/>
        <v>-10.479999999999869</v>
      </c>
      <c r="AD730" s="147">
        <v>-0.19768284179386614</v>
      </c>
      <c r="AE730" s="1">
        <f t="shared" si="108"/>
        <v>-58194.633260117247</v>
      </c>
    </row>
    <row r="731" spans="29:31">
      <c r="AC731" s="146">
        <f t="shared" si="107"/>
        <v>-10.499999999999869</v>
      </c>
      <c r="AD731" s="147">
        <v>-0.1980600991255338</v>
      </c>
      <c r="AE731" s="1">
        <f t="shared" si="108"/>
        <v>-58305.691720537317</v>
      </c>
    </row>
    <row r="732" spans="29:31">
      <c r="AC732" s="146">
        <f t="shared" si="107"/>
        <v>-10.519999999999868</v>
      </c>
      <c r="AD732" s="147">
        <v>-0.19843735645720148</v>
      </c>
      <c r="AE732" s="1">
        <f t="shared" si="108"/>
        <v>-58416.750180957388</v>
      </c>
    </row>
    <row r="733" spans="29:31">
      <c r="AC733" s="146">
        <f t="shared" si="107"/>
        <v>-10.539999999999868</v>
      </c>
      <c r="AD733" s="147">
        <v>-0.19881461378886917</v>
      </c>
      <c r="AE733" s="1">
        <f t="shared" si="108"/>
        <v>-58527.808641377458</v>
      </c>
    </row>
    <row r="734" spans="29:31">
      <c r="AC734" s="146">
        <f t="shared" si="107"/>
        <v>-10.559999999999867</v>
      </c>
      <c r="AD734" s="147">
        <v>-0.19919187112053685</v>
      </c>
      <c r="AE734" s="1">
        <f t="shared" si="108"/>
        <v>-58638.867101797528</v>
      </c>
    </row>
    <row r="735" spans="29:31">
      <c r="AC735" s="146">
        <f t="shared" si="107"/>
        <v>-10.579999999999867</v>
      </c>
      <c r="AD735" s="147">
        <v>-0.19956912845220451</v>
      </c>
      <c r="AE735" s="1">
        <f t="shared" si="108"/>
        <v>-58749.925562217584</v>
      </c>
    </row>
    <row r="736" spans="29:31">
      <c r="AC736" s="146">
        <f t="shared" si="107"/>
        <v>-10.599999999999866</v>
      </c>
      <c r="AD736" s="147">
        <v>-0.19994638578387222</v>
      </c>
      <c r="AE736" s="1">
        <f t="shared" si="108"/>
        <v>-58860.984022637669</v>
      </c>
    </row>
    <row r="737" spans="29:31">
      <c r="AC737" s="146">
        <f t="shared" si="107"/>
        <v>-10.619999999999866</v>
      </c>
      <c r="AD737" s="147">
        <v>-0.20032364311553988</v>
      </c>
      <c r="AE737" s="1">
        <f t="shared" si="108"/>
        <v>-58972.042483057739</v>
      </c>
    </row>
    <row r="738" spans="29:31">
      <c r="AC738" s="146">
        <f t="shared" si="107"/>
        <v>-10.639999999999866</v>
      </c>
      <c r="AD738" s="147">
        <v>-0.20070090044720756</v>
      </c>
      <c r="AE738" s="1">
        <f t="shared" si="108"/>
        <v>-59083.10094347781</v>
      </c>
    </row>
    <row r="739" spans="29:31">
      <c r="AC739" s="146">
        <f t="shared" si="107"/>
        <v>-10.659999999999865</v>
      </c>
      <c r="AD739" s="147">
        <v>-0.20107815777887522</v>
      </c>
      <c r="AE739" s="1">
        <f t="shared" si="108"/>
        <v>-59194.159403897873</v>
      </c>
    </row>
    <row r="740" spans="29:31">
      <c r="AC740" s="146">
        <f t="shared" si="107"/>
        <v>-10.679999999999865</v>
      </c>
      <c r="AD740" s="147">
        <v>-0.20145541511054293</v>
      </c>
      <c r="AE740" s="1">
        <f t="shared" si="108"/>
        <v>-59305.21786431795</v>
      </c>
    </row>
    <row r="741" spans="29:31">
      <c r="AC741" s="146">
        <f t="shared" si="107"/>
        <v>-10.699999999999864</v>
      </c>
      <c r="AD741" s="147">
        <v>-0.20183267244221059</v>
      </c>
      <c r="AE741" s="1">
        <f t="shared" si="108"/>
        <v>-59416.276324738006</v>
      </c>
    </row>
    <row r="742" spans="29:31">
      <c r="AC742" s="146">
        <f t="shared" si="107"/>
        <v>-10.719999999999864</v>
      </c>
      <c r="AD742" s="147">
        <v>-0.20220992977387828</v>
      </c>
      <c r="AE742" s="1">
        <f t="shared" si="108"/>
        <v>-59527.334785158084</v>
      </c>
    </row>
    <row r="743" spans="29:31">
      <c r="AC743" s="146">
        <f t="shared" si="107"/>
        <v>-10.739999999999863</v>
      </c>
      <c r="AD743" s="147">
        <v>-0.20258718710554596</v>
      </c>
      <c r="AE743" s="1">
        <f t="shared" si="108"/>
        <v>-59638.393245578154</v>
      </c>
    </row>
    <row r="744" spans="29:31">
      <c r="AC744" s="146">
        <f t="shared" si="107"/>
        <v>-10.759999999999863</v>
      </c>
      <c r="AD744" s="147">
        <v>-0.20296444443721365</v>
      </c>
      <c r="AE744" s="1">
        <f t="shared" si="108"/>
        <v>-59749.451705998232</v>
      </c>
    </row>
    <row r="745" spans="29:31">
      <c r="AC745" s="146">
        <f t="shared" si="107"/>
        <v>-10.779999999999863</v>
      </c>
      <c r="AD745" s="147">
        <v>-0.20334170176888131</v>
      </c>
      <c r="AE745" s="1">
        <f t="shared" si="108"/>
        <v>-59860.510166418295</v>
      </c>
    </row>
    <row r="746" spans="29:31">
      <c r="AC746" s="146">
        <f t="shared" si="107"/>
        <v>-10.799999999999862</v>
      </c>
      <c r="AD746" s="147">
        <v>-0.20371895910054902</v>
      </c>
      <c r="AE746" s="1">
        <f t="shared" si="108"/>
        <v>-59971.568626838372</v>
      </c>
    </row>
    <row r="747" spans="29:31">
      <c r="AC747" s="146">
        <f t="shared" ref="AC747:AC810" si="109">AC746-$AD$2</f>
        <v>-10.819999999999862</v>
      </c>
      <c r="AD747" s="147">
        <v>-0.20409621643221668</v>
      </c>
      <c r="AE747" s="1">
        <f t="shared" si="108"/>
        <v>-60082.627087258428</v>
      </c>
    </row>
    <row r="748" spans="29:31">
      <c r="AC748" s="146">
        <f t="shared" si="109"/>
        <v>-10.839999999999861</v>
      </c>
      <c r="AD748" s="147">
        <v>-0.20447347376388436</v>
      </c>
      <c r="AE748" s="1">
        <f t="shared" si="108"/>
        <v>-60193.685547678506</v>
      </c>
    </row>
    <row r="749" spans="29:31">
      <c r="AC749" s="146">
        <f t="shared" si="109"/>
        <v>-10.859999999999861</v>
      </c>
      <c r="AD749" s="147">
        <v>-0.20485073109555202</v>
      </c>
      <c r="AE749" s="1">
        <f t="shared" si="108"/>
        <v>-60304.744008098576</v>
      </c>
    </row>
    <row r="750" spans="29:31">
      <c r="AC750" s="146">
        <f t="shared" si="109"/>
        <v>-10.87999999999986</v>
      </c>
      <c r="AD750" s="147">
        <v>-0.20522798842721973</v>
      </c>
      <c r="AE750" s="1">
        <f t="shared" si="108"/>
        <v>-60415.802468518654</v>
      </c>
    </row>
    <row r="751" spans="29:31">
      <c r="AC751" s="146">
        <f t="shared" si="109"/>
        <v>-10.89999999999986</v>
      </c>
      <c r="AD751" s="147">
        <v>-0.20560524575888739</v>
      </c>
      <c r="AE751" s="1">
        <f t="shared" si="108"/>
        <v>-60526.860928938717</v>
      </c>
    </row>
    <row r="752" spans="29:31">
      <c r="AC752" s="146">
        <f t="shared" si="109"/>
        <v>-10.91999999999986</v>
      </c>
      <c r="AD752" s="147">
        <v>-0.20598250309055507</v>
      </c>
      <c r="AE752" s="1">
        <f t="shared" si="108"/>
        <v>-60637.919389358787</v>
      </c>
    </row>
    <row r="753" spans="29:31">
      <c r="AC753" s="146">
        <f t="shared" si="109"/>
        <v>-10.939999999999859</v>
      </c>
      <c r="AD753" s="147">
        <v>-0.20635976042222276</v>
      </c>
      <c r="AE753" s="1">
        <f t="shared" si="108"/>
        <v>-60748.97784977885</v>
      </c>
    </row>
    <row r="754" spans="29:31">
      <c r="AC754" s="146">
        <f t="shared" si="109"/>
        <v>-10.959999999999859</v>
      </c>
      <c r="AD754" s="147">
        <v>-0.20673701775389045</v>
      </c>
      <c r="AE754" s="1">
        <f t="shared" si="108"/>
        <v>-60860.036310198928</v>
      </c>
    </row>
    <row r="755" spans="29:31">
      <c r="AC755" s="146">
        <f t="shared" si="109"/>
        <v>-10.979999999999858</v>
      </c>
      <c r="AD755" s="147">
        <v>-0.2071142750855581</v>
      </c>
      <c r="AE755" s="1">
        <f t="shared" si="108"/>
        <v>-60971.094770618998</v>
      </c>
    </row>
    <row r="756" spans="29:31">
      <c r="AC756" s="146">
        <f t="shared" si="109"/>
        <v>-10.999999999999858</v>
      </c>
      <c r="AD756" s="147">
        <v>-0.20749153241722582</v>
      </c>
      <c r="AE756" s="1">
        <f t="shared" si="108"/>
        <v>-61082.153231039076</v>
      </c>
    </row>
    <row r="757" spans="29:31">
      <c r="AC757" s="146">
        <f t="shared" si="109"/>
        <v>-11.019999999999857</v>
      </c>
      <c r="AD757" s="147">
        <v>-0.2078687897488935</v>
      </c>
      <c r="AE757" s="1">
        <f t="shared" si="108"/>
        <v>-61193.211691459146</v>
      </c>
    </row>
    <row r="758" spans="29:31">
      <c r="AC758" s="146">
        <f t="shared" si="109"/>
        <v>-11.039999999999857</v>
      </c>
      <c r="AD758" s="147">
        <v>-0.20824604708056116</v>
      </c>
      <c r="AE758" s="1">
        <f t="shared" si="108"/>
        <v>-61304.270151879209</v>
      </c>
    </row>
    <row r="759" spans="29:31">
      <c r="AC759" s="146">
        <f t="shared" si="109"/>
        <v>-11.059999999999857</v>
      </c>
      <c r="AD759" s="147">
        <v>-0.20862330441222884</v>
      </c>
      <c r="AE759" s="1">
        <f t="shared" si="108"/>
        <v>-61415.328612299272</v>
      </c>
    </row>
    <row r="760" spans="29:31">
      <c r="AC760" s="146">
        <f t="shared" si="109"/>
        <v>-11.079999999999856</v>
      </c>
      <c r="AD760" s="147">
        <v>-0.20900056174389653</v>
      </c>
      <c r="AE760" s="1">
        <f t="shared" si="108"/>
        <v>-61526.38707271935</v>
      </c>
    </row>
    <row r="761" spans="29:31">
      <c r="AC761" s="146">
        <f t="shared" si="109"/>
        <v>-11.099999999999856</v>
      </c>
      <c r="AD761" s="147">
        <v>-0.20937781907556421</v>
      </c>
      <c r="AE761" s="1">
        <f t="shared" si="108"/>
        <v>-61637.44553313942</v>
      </c>
    </row>
    <row r="762" spans="29:31">
      <c r="AC762" s="146">
        <f t="shared" si="109"/>
        <v>-11.119999999999855</v>
      </c>
      <c r="AD762" s="147">
        <v>-0.20975507640723187</v>
      </c>
      <c r="AE762" s="1">
        <f t="shared" si="108"/>
        <v>-61748.503993559483</v>
      </c>
    </row>
    <row r="763" spans="29:31">
      <c r="AC763" s="146">
        <f t="shared" si="109"/>
        <v>-11.139999999999855</v>
      </c>
      <c r="AD763" s="147">
        <v>-0.21013233373889958</v>
      </c>
      <c r="AE763" s="1">
        <f t="shared" si="108"/>
        <v>-61859.562453979568</v>
      </c>
    </row>
    <row r="764" spans="29:31">
      <c r="AC764" s="146">
        <f t="shared" si="109"/>
        <v>-11.159999999999854</v>
      </c>
      <c r="AD764" s="147">
        <v>-0.21050959107056724</v>
      </c>
      <c r="AE764" s="1">
        <f t="shared" si="108"/>
        <v>-61970.620914399631</v>
      </c>
    </row>
    <row r="765" spans="29:31">
      <c r="AC765" s="146">
        <f t="shared" si="109"/>
        <v>-11.179999999999854</v>
      </c>
      <c r="AD765" s="147">
        <v>-0.21088684840223493</v>
      </c>
      <c r="AE765" s="1">
        <f t="shared" si="108"/>
        <v>-62081.679374819694</v>
      </c>
    </row>
    <row r="766" spans="29:31">
      <c r="AC766" s="146">
        <f t="shared" si="109"/>
        <v>-11.199999999999854</v>
      </c>
      <c r="AD766" s="147">
        <v>-0.21126410573390261</v>
      </c>
      <c r="AE766" s="1">
        <f t="shared" si="108"/>
        <v>-62192.737835239772</v>
      </c>
    </row>
    <row r="767" spans="29:31">
      <c r="AC767" s="146">
        <f t="shared" si="109"/>
        <v>-11.219999999999853</v>
      </c>
      <c r="AD767" s="147">
        <v>-0.2116413630655703</v>
      </c>
      <c r="AE767" s="1">
        <f t="shared" si="108"/>
        <v>-62303.796295659842</v>
      </c>
    </row>
    <row r="768" spans="29:31">
      <c r="AC768" s="146">
        <f t="shared" si="109"/>
        <v>-11.239999999999853</v>
      </c>
      <c r="AD768" s="147">
        <v>-0.21201862039723796</v>
      </c>
      <c r="AE768" s="1">
        <f t="shared" si="108"/>
        <v>-62414.854756079905</v>
      </c>
    </row>
    <row r="769" spans="29:31">
      <c r="AC769" s="146">
        <f t="shared" si="109"/>
        <v>-11.259999999999852</v>
      </c>
      <c r="AD769" s="147">
        <v>-0.21239587772890564</v>
      </c>
      <c r="AE769" s="1">
        <f t="shared" ref="AE769:AE832" si="110">AD769*0.5*rho*V^2*SRef</f>
        <v>-62525.913216499983</v>
      </c>
    </row>
    <row r="770" spans="29:31">
      <c r="AC770" s="146">
        <f t="shared" si="109"/>
        <v>-11.279999999999852</v>
      </c>
      <c r="AD770" s="147">
        <v>-0.21277313506057333</v>
      </c>
      <c r="AE770" s="1">
        <f t="shared" si="110"/>
        <v>-62636.971676920053</v>
      </c>
    </row>
    <row r="771" spans="29:31">
      <c r="AC771" s="146">
        <f t="shared" si="109"/>
        <v>-11.299999999999851</v>
      </c>
      <c r="AD771" s="147">
        <v>-0.21315039239224101</v>
      </c>
      <c r="AE771" s="1">
        <f t="shared" si="110"/>
        <v>-62748.030137340116</v>
      </c>
    </row>
    <row r="772" spans="29:31">
      <c r="AC772" s="146">
        <f t="shared" si="109"/>
        <v>-11.319999999999851</v>
      </c>
      <c r="AD772" s="147">
        <v>-0.21352764972390867</v>
      </c>
      <c r="AE772" s="1">
        <f t="shared" si="110"/>
        <v>-62859.088597760179</v>
      </c>
    </row>
    <row r="773" spans="29:31">
      <c r="AC773" s="146">
        <f t="shared" si="109"/>
        <v>-11.339999999999851</v>
      </c>
      <c r="AD773" s="147">
        <v>-0.21390490705557638</v>
      </c>
      <c r="AE773" s="1">
        <f t="shared" si="110"/>
        <v>-62970.147058180264</v>
      </c>
    </row>
    <row r="774" spans="29:31">
      <c r="AC774" s="146">
        <f t="shared" si="109"/>
        <v>-11.35999999999985</v>
      </c>
      <c r="AD774" s="147">
        <v>-0.21428216438724404</v>
      </c>
      <c r="AE774" s="1">
        <f t="shared" si="110"/>
        <v>-63081.205518600327</v>
      </c>
    </row>
    <row r="775" spans="29:31">
      <c r="AC775" s="146">
        <f t="shared" si="109"/>
        <v>-11.37999999999985</v>
      </c>
      <c r="AD775" s="147">
        <v>-0.21465942171891172</v>
      </c>
      <c r="AE775" s="1">
        <f t="shared" si="110"/>
        <v>-63192.263979020405</v>
      </c>
    </row>
    <row r="776" spans="29:31">
      <c r="AC776" s="146">
        <f t="shared" si="109"/>
        <v>-11.399999999999849</v>
      </c>
      <c r="AD776" s="147">
        <v>-0.21503667905057941</v>
      </c>
      <c r="AE776" s="1">
        <f t="shared" si="110"/>
        <v>-63303.322439440475</v>
      </c>
    </row>
    <row r="777" spans="29:31">
      <c r="AC777" s="146">
        <f t="shared" si="109"/>
        <v>-11.419999999999849</v>
      </c>
      <c r="AD777" s="147">
        <v>-0.2154139363822471</v>
      </c>
      <c r="AE777" s="1">
        <f t="shared" si="110"/>
        <v>-63414.380899860538</v>
      </c>
    </row>
    <row r="778" spans="29:31">
      <c r="AC778" s="146">
        <f t="shared" si="109"/>
        <v>-11.439999999999849</v>
      </c>
      <c r="AD778" s="147">
        <v>-0.21579119371391475</v>
      </c>
      <c r="AE778" s="1">
        <f t="shared" si="110"/>
        <v>-63525.439360280601</v>
      </c>
    </row>
    <row r="779" spans="29:31">
      <c r="AC779" s="146">
        <f t="shared" si="109"/>
        <v>-11.459999999999848</v>
      </c>
      <c r="AD779" s="147">
        <v>-0.21616845104558244</v>
      </c>
      <c r="AE779" s="1">
        <f t="shared" si="110"/>
        <v>-63636.497820700686</v>
      </c>
    </row>
    <row r="780" spans="29:31">
      <c r="AC780" s="146">
        <f t="shared" si="109"/>
        <v>-11.479999999999848</v>
      </c>
      <c r="AD780" s="147">
        <v>-0.21654570837725012</v>
      </c>
      <c r="AE780" s="1">
        <f t="shared" si="110"/>
        <v>-63747.556281120749</v>
      </c>
    </row>
    <row r="781" spans="29:31">
      <c r="AC781" s="146">
        <f t="shared" si="109"/>
        <v>-11.499999999999847</v>
      </c>
      <c r="AD781" s="147">
        <v>-0.21692296570891781</v>
      </c>
      <c r="AE781" s="1">
        <f t="shared" si="110"/>
        <v>-63858.614741540827</v>
      </c>
    </row>
    <row r="782" spans="29:31">
      <c r="AC782" s="146">
        <f t="shared" si="109"/>
        <v>-11.519999999999847</v>
      </c>
      <c r="AD782" s="147">
        <v>-0.21730022304058547</v>
      </c>
      <c r="AE782" s="1">
        <f t="shared" si="110"/>
        <v>-63969.673201960883</v>
      </c>
    </row>
    <row r="783" spans="29:31">
      <c r="AC783" s="146">
        <f t="shared" si="109"/>
        <v>-11.539999999999846</v>
      </c>
      <c r="AD783" s="147">
        <v>-0.21767748037225318</v>
      </c>
      <c r="AE783" s="1">
        <f t="shared" si="110"/>
        <v>-64080.73166238096</v>
      </c>
    </row>
    <row r="784" spans="29:31">
      <c r="AC784" s="146">
        <f t="shared" si="109"/>
        <v>-11.559999999999846</v>
      </c>
      <c r="AD784" s="147">
        <v>-0.21805473770392084</v>
      </c>
      <c r="AE784" s="1">
        <f t="shared" si="110"/>
        <v>-64191.790122801023</v>
      </c>
    </row>
    <row r="785" spans="29:31">
      <c r="AC785" s="146">
        <f t="shared" si="109"/>
        <v>-11.579999999999846</v>
      </c>
      <c r="AD785" s="147">
        <v>-0.21843199503558852</v>
      </c>
      <c r="AE785" s="1">
        <f t="shared" si="110"/>
        <v>-64302.848583221108</v>
      </c>
    </row>
    <row r="786" spans="29:31">
      <c r="AC786" s="146">
        <f t="shared" si="109"/>
        <v>-11.599999999999845</v>
      </c>
      <c r="AD786" s="147">
        <v>-0.21880925236725618</v>
      </c>
      <c r="AE786" s="1">
        <f t="shared" si="110"/>
        <v>-64413.907043641164</v>
      </c>
    </row>
    <row r="787" spans="29:31">
      <c r="AC787" s="146">
        <f t="shared" si="109"/>
        <v>-11.619999999999845</v>
      </c>
      <c r="AD787" s="147">
        <v>-0.21918650969892389</v>
      </c>
      <c r="AE787" s="1">
        <f t="shared" si="110"/>
        <v>-64524.965504061249</v>
      </c>
    </row>
    <row r="788" spans="29:31">
      <c r="AC788" s="146">
        <f t="shared" si="109"/>
        <v>-11.639999999999844</v>
      </c>
      <c r="AD788" s="147">
        <v>-0.21956376703059155</v>
      </c>
      <c r="AE788" s="1">
        <f t="shared" si="110"/>
        <v>-64636.023964481312</v>
      </c>
    </row>
    <row r="789" spans="29:31">
      <c r="AC789" s="146">
        <f t="shared" si="109"/>
        <v>-11.659999999999844</v>
      </c>
      <c r="AD789" s="147">
        <v>-0.21994102436225924</v>
      </c>
      <c r="AE789" s="1">
        <f t="shared" si="110"/>
        <v>-64747.082424901375</v>
      </c>
    </row>
    <row r="790" spans="29:31">
      <c r="AC790" s="146">
        <f t="shared" si="109"/>
        <v>-11.679999999999843</v>
      </c>
      <c r="AD790" s="147">
        <v>-0.22031828169392695</v>
      </c>
      <c r="AE790" s="1">
        <f t="shared" si="110"/>
        <v>-64858.14088532146</v>
      </c>
    </row>
    <row r="791" spans="29:31">
      <c r="AC791" s="146">
        <f t="shared" si="109"/>
        <v>-11.699999999999843</v>
      </c>
      <c r="AD791" s="147">
        <v>-0.22069553902559461</v>
      </c>
      <c r="AE791" s="1">
        <f t="shared" si="110"/>
        <v>-64969.19934574153</v>
      </c>
    </row>
    <row r="792" spans="29:31">
      <c r="AC792" s="146">
        <f t="shared" si="109"/>
        <v>-11.719999999999843</v>
      </c>
      <c r="AD792" s="147">
        <v>-0.22107279635726229</v>
      </c>
      <c r="AE792" s="1">
        <f t="shared" si="110"/>
        <v>-65080.257806161593</v>
      </c>
    </row>
    <row r="793" spans="29:31">
      <c r="AC793" s="146">
        <f t="shared" si="109"/>
        <v>-11.739999999999842</v>
      </c>
      <c r="AD793" s="147">
        <v>-0.22145005368892998</v>
      </c>
      <c r="AE793" s="1">
        <f t="shared" si="110"/>
        <v>-65191.316266581671</v>
      </c>
    </row>
    <row r="794" spans="29:31">
      <c r="AC794" s="146">
        <f t="shared" si="109"/>
        <v>-11.759999999999842</v>
      </c>
      <c r="AD794" s="147">
        <v>-0.22182731102059766</v>
      </c>
      <c r="AE794" s="1">
        <f t="shared" si="110"/>
        <v>-65302.374727001741</v>
      </c>
    </row>
    <row r="795" spans="29:31">
      <c r="AC795" s="146">
        <f t="shared" si="109"/>
        <v>-11.779999999999841</v>
      </c>
      <c r="AD795" s="147">
        <v>-0.22220456835226532</v>
      </c>
      <c r="AE795" s="1">
        <f t="shared" si="110"/>
        <v>-65413.433187421797</v>
      </c>
    </row>
    <row r="796" spans="29:31">
      <c r="AC796" s="146">
        <f t="shared" si="109"/>
        <v>-11.799999999999841</v>
      </c>
      <c r="AD796" s="147">
        <v>-0.22258182568393303</v>
      </c>
      <c r="AE796" s="1">
        <f t="shared" si="110"/>
        <v>-65524.491647841875</v>
      </c>
    </row>
    <row r="797" spans="29:31">
      <c r="AC797" s="146">
        <f t="shared" si="109"/>
        <v>-11.81999999999984</v>
      </c>
      <c r="AD797" s="147">
        <v>-0.22295908301560069</v>
      </c>
      <c r="AE797" s="1">
        <f t="shared" si="110"/>
        <v>-65635.55010826193</v>
      </c>
    </row>
    <row r="798" spans="29:31">
      <c r="AC798" s="146">
        <f t="shared" si="109"/>
        <v>-11.83999999999984</v>
      </c>
      <c r="AD798" s="147">
        <v>-0.22333634034726838</v>
      </c>
      <c r="AE798" s="1">
        <f t="shared" si="110"/>
        <v>-65746.608568682015</v>
      </c>
    </row>
    <row r="799" spans="29:31">
      <c r="AC799" s="146">
        <f t="shared" si="109"/>
        <v>-11.85999999999984</v>
      </c>
      <c r="AD799" s="147">
        <v>-0.22371359767893603</v>
      </c>
      <c r="AE799" s="1">
        <f t="shared" si="110"/>
        <v>-65857.667029102071</v>
      </c>
    </row>
    <row r="800" spans="29:31">
      <c r="AC800" s="146">
        <f t="shared" si="109"/>
        <v>-11.879999999999839</v>
      </c>
      <c r="AD800" s="147">
        <v>-0.22409085501060375</v>
      </c>
      <c r="AE800" s="1">
        <f t="shared" si="110"/>
        <v>-65968.725489522156</v>
      </c>
    </row>
    <row r="801" spans="29:31">
      <c r="AC801" s="146">
        <f t="shared" si="109"/>
        <v>-11.899999999999839</v>
      </c>
      <c r="AD801" s="147">
        <v>-0.2244681123422714</v>
      </c>
      <c r="AE801" s="1">
        <f t="shared" si="110"/>
        <v>-66079.783949942226</v>
      </c>
    </row>
    <row r="802" spans="29:31">
      <c r="AC802" s="146">
        <f t="shared" si="109"/>
        <v>-11.919999999999838</v>
      </c>
      <c r="AD802" s="147">
        <v>-0.22484536967393909</v>
      </c>
      <c r="AE802" s="1">
        <f t="shared" si="110"/>
        <v>-66190.842410362282</v>
      </c>
    </row>
    <row r="803" spans="29:31">
      <c r="AC803" s="146">
        <f t="shared" si="109"/>
        <v>-11.939999999999838</v>
      </c>
      <c r="AD803" s="147">
        <v>-0.22522262700560677</v>
      </c>
      <c r="AE803" s="1">
        <f t="shared" si="110"/>
        <v>-66301.900870782352</v>
      </c>
    </row>
    <row r="804" spans="29:31">
      <c r="AC804" s="146">
        <f t="shared" si="109"/>
        <v>-11.959999999999837</v>
      </c>
      <c r="AD804" s="147">
        <v>-0.22559988433727446</v>
      </c>
      <c r="AE804" s="1">
        <f t="shared" si="110"/>
        <v>-66412.959331202437</v>
      </c>
    </row>
    <row r="805" spans="29:31">
      <c r="AC805" s="146">
        <f t="shared" si="109"/>
        <v>-11.979999999999837</v>
      </c>
      <c r="AD805" s="147">
        <v>-0.22597714166894212</v>
      </c>
      <c r="AE805" s="1">
        <f t="shared" si="110"/>
        <v>-66524.017791622493</v>
      </c>
    </row>
    <row r="806" spans="29:31">
      <c r="AC806" s="146">
        <f t="shared" si="109"/>
        <v>-11.999999999999837</v>
      </c>
      <c r="AD806" s="147">
        <v>-0.22635439900060983</v>
      </c>
      <c r="AE806" s="1">
        <f t="shared" si="110"/>
        <v>-66635.076252042578</v>
      </c>
    </row>
    <row r="807" spans="29:31">
      <c r="AC807" s="146">
        <f t="shared" si="109"/>
        <v>-12.019999999999836</v>
      </c>
      <c r="AD807" s="147">
        <v>-0.22673165633227749</v>
      </c>
      <c r="AE807" s="1">
        <f t="shared" si="110"/>
        <v>-66746.134712462648</v>
      </c>
    </row>
    <row r="808" spans="29:31">
      <c r="AC808" s="146">
        <f t="shared" si="109"/>
        <v>-12.039999999999836</v>
      </c>
      <c r="AD808" s="147">
        <v>-0.22710891366394517</v>
      </c>
      <c r="AE808" s="1">
        <f t="shared" si="110"/>
        <v>-66857.193172882704</v>
      </c>
    </row>
    <row r="809" spans="29:31">
      <c r="AC809" s="146">
        <f t="shared" si="109"/>
        <v>-12.059999999999835</v>
      </c>
      <c r="AD809" s="147">
        <v>-0.22748617099561283</v>
      </c>
      <c r="AE809" s="1">
        <f t="shared" si="110"/>
        <v>-66968.251633302774</v>
      </c>
    </row>
    <row r="810" spans="29:31">
      <c r="AC810" s="146">
        <f t="shared" si="109"/>
        <v>-12.079999999999835</v>
      </c>
      <c r="AD810" s="147">
        <v>-0.22786342832728054</v>
      </c>
      <c r="AE810" s="1">
        <f t="shared" si="110"/>
        <v>-67079.310093722859</v>
      </c>
    </row>
    <row r="811" spans="29:31">
      <c r="AC811" s="146">
        <f t="shared" ref="AC811:AC874" si="111">AC810-$AD$2</f>
        <v>-12.099999999999834</v>
      </c>
      <c r="AD811" s="147">
        <v>-0.2282406856589482</v>
      </c>
      <c r="AE811" s="1">
        <f t="shared" si="110"/>
        <v>-67190.368554142915</v>
      </c>
    </row>
    <row r="812" spans="29:31">
      <c r="AC812" s="146">
        <f t="shared" si="111"/>
        <v>-12.119999999999834</v>
      </c>
      <c r="AD812" s="147">
        <v>-0.22861794299061589</v>
      </c>
      <c r="AE812" s="1">
        <f t="shared" si="110"/>
        <v>-67301.427014562985</v>
      </c>
    </row>
    <row r="813" spans="29:31">
      <c r="AC813" s="146">
        <f t="shared" si="111"/>
        <v>-12.139999999999834</v>
      </c>
      <c r="AD813" s="147">
        <v>-0.22899520032228357</v>
      </c>
      <c r="AE813" s="1">
        <f t="shared" si="110"/>
        <v>-67412.48547498307</v>
      </c>
    </row>
    <row r="814" spans="29:31">
      <c r="AC814" s="146">
        <f t="shared" si="111"/>
        <v>-12.159999999999833</v>
      </c>
      <c r="AD814" s="147">
        <v>-0.22937245765395126</v>
      </c>
      <c r="AE814" s="1">
        <f t="shared" si="110"/>
        <v>-67523.543935403126</v>
      </c>
    </row>
    <row r="815" spans="29:31">
      <c r="AC815" s="146">
        <f t="shared" si="111"/>
        <v>-12.179999999999833</v>
      </c>
      <c r="AD815" s="147">
        <v>-0.22974971498561891</v>
      </c>
      <c r="AE815" s="1">
        <f t="shared" si="110"/>
        <v>-67634.602395823196</v>
      </c>
    </row>
    <row r="816" spans="29:31">
      <c r="AC816" s="146">
        <f t="shared" si="111"/>
        <v>-12.199999999999832</v>
      </c>
      <c r="AD816" s="147">
        <v>-0.23012697231728663</v>
      </c>
      <c r="AE816" s="1">
        <f t="shared" si="110"/>
        <v>-67745.660856243281</v>
      </c>
    </row>
    <row r="817" spans="29:31">
      <c r="AC817" s="146">
        <f t="shared" si="111"/>
        <v>-12.219999999999832</v>
      </c>
      <c r="AD817" s="147">
        <v>-0.23050422964895428</v>
      </c>
      <c r="AE817" s="1">
        <f t="shared" si="110"/>
        <v>-67856.719316663337</v>
      </c>
    </row>
    <row r="818" spans="29:31">
      <c r="AC818" s="146">
        <f t="shared" si="111"/>
        <v>-12.239999999999831</v>
      </c>
      <c r="AD818" s="147">
        <v>-0.23088148698062197</v>
      </c>
      <c r="AE818" s="1">
        <f t="shared" si="110"/>
        <v>-67967.777777083407</v>
      </c>
    </row>
    <row r="819" spans="29:31">
      <c r="AC819" s="146">
        <f t="shared" si="111"/>
        <v>-12.259999999999831</v>
      </c>
      <c r="AD819" s="147">
        <v>-0.23125874431228963</v>
      </c>
      <c r="AE819" s="1">
        <f t="shared" si="110"/>
        <v>-68078.836237503463</v>
      </c>
    </row>
    <row r="820" spans="29:31">
      <c r="AC820" s="146">
        <f t="shared" si="111"/>
        <v>-12.279999999999831</v>
      </c>
      <c r="AD820" s="147">
        <v>-0.23163600164395734</v>
      </c>
      <c r="AE820" s="1">
        <f t="shared" si="110"/>
        <v>-68189.894697923548</v>
      </c>
    </row>
    <row r="821" spans="29:31">
      <c r="AC821" s="146">
        <f t="shared" si="111"/>
        <v>-12.29999999999983</v>
      </c>
      <c r="AD821" s="147">
        <v>-0.232013258975625</v>
      </c>
      <c r="AE821" s="1">
        <f t="shared" si="110"/>
        <v>-68300.953158343618</v>
      </c>
    </row>
    <row r="822" spans="29:31">
      <c r="AC822" s="146">
        <f t="shared" si="111"/>
        <v>-12.31999999999983</v>
      </c>
      <c r="AD822" s="147">
        <v>-0.23239051630729268</v>
      </c>
      <c r="AE822" s="1">
        <f t="shared" si="110"/>
        <v>-68412.011618763703</v>
      </c>
    </row>
    <row r="823" spans="29:31">
      <c r="AC823" s="146">
        <f t="shared" si="111"/>
        <v>-12.339999999999829</v>
      </c>
      <c r="AD823" s="147">
        <v>-0.23276777363896037</v>
      </c>
      <c r="AE823" s="1">
        <f t="shared" si="110"/>
        <v>-68523.070079183759</v>
      </c>
    </row>
    <row r="824" spans="29:31">
      <c r="AC824" s="146">
        <f t="shared" si="111"/>
        <v>-12.359999999999829</v>
      </c>
      <c r="AD824" s="147">
        <v>-0.23314503097062805</v>
      </c>
      <c r="AE824" s="1">
        <f t="shared" si="110"/>
        <v>-68634.128539603829</v>
      </c>
    </row>
    <row r="825" spans="29:31">
      <c r="AC825" s="146">
        <f t="shared" si="111"/>
        <v>-12.379999999999828</v>
      </c>
      <c r="AD825" s="147">
        <v>-0.23352228830229574</v>
      </c>
      <c r="AE825" s="1">
        <f t="shared" si="110"/>
        <v>-68745.187000023914</v>
      </c>
    </row>
    <row r="826" spans="29:31">
      <c r="AC826" s="146">
        <f t="shared" si="111"/>
        <v>-12.399999999999828</v>
      </c>
      <c r="AD826" s="147">
        <v>-0.23389954563396342</v>
      </c>
      <c r="AE826" s="1">
        <f t="shared" si="110"/>
        <v>-68856.24546044397</v>
      </c>
    </row>
    <row r="827" spans="29:31">
      <c r="AC827" s="146">
        <f t="shared" si="111"/>
        <v>-12.419999999999828</v>
      </c>
      <c r="AD827" s="147">
        <v>-0.23427680296563111</v>
      </c>
      <c r="AE827" s="1">
        <f t="shared" si="110"/>
        <v>-68967.30392086404</v>
      </c>
    </row>
    <row r="828" spans="29:31">
      <c r="AC828" s="146">
        <f t="shared" si="111"/>
        <v>-12.439999999999827</v>
      </c>
      <c r="AD828" s="147">
        <v>-0.23465406029729877</v>
      </c>
      <c r="AE828" s="1">
        <f t="shared" si="110"/>
        <v>-69078.362381284125</v>
      </c>
    </row>
    <row r="829" spans="29:31">
      <c r="AC829" s="146">
        <f t="shared" si="111"/>
        <v>-12.459999999999827</v>
      </c>
      <c r="AD829" s="147">
        <v>-0.23503131762896645</v>
      </c>
      <c r="AE829" s="1">
        <f t="shared" si="110"/>
        <v>-69189.420841704181</v>
      </c>
    </row>
    <row r="830" spans="29:31">
      <c r="AC830" s="146">
        <f t="shared" si="111"/>
        <v>-12.479999999999826</v>
      </c>
      <c r="AD830" s="147">
        <v>-0.23540857496063414</v>
      </c>
      <c r="AE830" s="1">
        <f t="shared" si="110"/>
        <v>-69300.479302124251</v>
      </c>
    </row>
    <row r="831" spans="29:31">
      <c r="AC831" s="146">
        <f t="shared" si="111"/>
        <v>-12.499999999999826</v>
      </c>
      <c r="AD831" s="147">
        <v>-0.23578583229230182</v>
      </c>
      <c r="AE831" s="1">
        <f t="shared" si="110"/>
        <v>-69411.537762544336</v>
      </c>
    </row>
    <row r="832" spans="29:31">
      <c r="AC832" s="146">
        <f t="shared" si="111"/>
        <v>-12.519999999999825</v>
      </c>
      <c r="AD832" s="147">
        <v>-0.23616308962396948</v>
      </c>
      <c r="AE832" s="1">
        <f t="shared" si="110"/>
        <v>-69522.596222964392</v>
      </c>
    </row>
    <row r="833" spans="29:31">
      <c r="AC833" s="146">
        <f t="shared" si="111"/>
        <v>-12.539999999999825</v>
      </c>
      <c r="AD833" s="147">
        <v>-0.23654034695563719</v>
      </c>
      <c r="AE833" s="1">
        <f t="shared" ref="AE833:AE896" si="112">AD833*0.5*rho*V^2*SRef</f>
        <v>-69633.654683384462</v>
      </c>
    </row>
    <row r="834" spans="29:31">
      <c r="AC834" s="146">
        <f t="shared" si="111"/>
        <v>-12.559999999999825</v>
      </c>
      <c r="AD834" s="147">
        <v>-0.23691760428730485</v>
      </c>
      <c r="AE834" s="1">
        <f t="shared" si="112"/>
        <v>-69744.713143804547</v>
      </c>
    </row>
    <row r="835" spans="29:31">
      <c r="AC835" s="146">
        <f t="shared" si="111"/>
        <v>-12.579999999999824</v>
      </c>
      <c r="AD835" s="147">
        <v>-0.23729486161897254</v>
      </c>
      <c r="AE835" s="1">
        <f t="shared" si="112"/>
        <v>-69855.771604224603</v>
      </c>
    </row>
    <row r="836" spans="29:31">
      <c r="AC836" s="146">
        <f t="shared" si="111"/>
        <v>-12.599999999999824</v>
      </c>
      <c r="AD836" s="147">
        <v>-0.23767211895064022</v>
      </c>
      <c r="AE836" s="1">
        <f t="shared" si="112"/>
        <v>-69966.830064644673</v>
      </c>
    </row>
    <row r="837" spans="29:31">
      <c r="AC837" s="146">
        <f t="shared" si="111"/>
        <v>-12.619999999999823</v>
      </c>
      <c r="AD837" s="147">
        <v>-0.23804937628230791</v>
      </c>
      <c r="AE837" s="1">
        <f t="shared" si="112"/>
        <v>-70077.888525064758</v>
      </c>
    </row>
    <row r="838" spans="29:31">
      <c r="AC838" s="146">
        <f t="shared" si="111"/>
        <v>-12.639999999999823</v>
      </c>
      <c r="AD838" s="147">
        <v>-0.23842663361397556</v>
      </c>
      <c r="AE838" s="1">
        <f t="shared" si="112"/>
        <v>-70188.946985484814</v>
      </c>
    </row>
    <row r="839" spans="29:31">
      <c r="AC839" s="146">
        <f t="shared" si="111"/>
        <v>-12.659999999999823</v>
      </c>
      <c r="AD839" s="147">
        <v>-0.23880389094564325</v>
      </c>
      <c r="AE839" s="1">
        <f t="shared" si="112"/>
        <v>-70300.005445904884</v>
      </c>
    </row>
    <row r="840" spans="29:31">
      <c r="AC840" s="146">
        <f t="shared" si="111"/>
        <v>-12.679999999999822</v>
      </c>
      <c r="AD840" s="147">
        <v>-0.23918114827731093</v>
      </c>
      <c r="AE840" s="1">
        <f t="shared" si="112"/>
        <v>-70411.063906324969</v>
      </c>
    </row>
    <row r="841" spans="29:31">
      <c r="AC841" s="146">
        <f t="shared" si="111"/>
        <v>-12.699999999999822</v>
      </c>
      <c r="AD841" s="147">
        <v>-0.23955840560897862</v>
      </c>
      <c r="AE841" s="1">
        <f t="shared" si="112"/>
        <v>-70522.122366745025</v>
      </c>
    </row>
    <row r="842" spans="29:31">
      <c r="AC842" s="146">
        <f t="shared" si="111"/>
        <v>-12.719999999999821</v>
      </c>
      <c r="AD842" s="147">
        <v>-0.23993566294064628</v>
      </c>
      <c r="AE842" s="1">
        <f t="shared" si="112"/>
        <v>-70633.180827165095</v>
      </c>
    </row>
    <row r="843" spans="29:31">
      <c r="AC843" s="146">
        <f t="shared" si="111"/>
        <v>-12.739999999999821</v>
      </c>
      <c r="AD843" s="147">
        <v>-0.24031292027231399</v>
      </c>
      <c r="AE843" s="1">
        <f t="shared" si="112"/>
        <v>-70744.23928758518</v>
      </c>
    </row>
    <row r="844" spans="29:31">
      <c r="AC844" s="146">
        <f t="shared" si="111"/>
        <v>-12.75999999999982</v>
      </c>
      <c r="AD844" s="147">
        <v>-0.24069017760398165</v>
      </c>
      <c r="AE844" s="1">
        <f t="shared" si="112"/>
        <v>-70855.297748005236</v>
      </c>
    </row>
    <row r="845" spans="29:31">
      <c r="AC845" s="146">
        <f t="shared" si="111"/>
        <v>-12.77999999999982</v>
      </c>
      <c r="AD845" s="147">
        <v>-0.24106743493564933</v>
      </c>
      <c r="AE845" s="1">
        <f t="shared" si="112"/>
        <v>-70966.356208425306</v>
      </c>
    </row>
    <row r="846" spans="29:31">
      <c r="AC846" s="146">
        <f t="shared" si="111"/>
        <v>-12.79999999999982</v>
      </c>
      <c r="AD846" s="147">
        <v>-0.24144469226731699</v>
      </c>
      <c r="AE846" s="1">
        <f t="shared" si="112"/>
        <v>-71077.414668845377</v>
      </c>
    </row>
    <row r="847" spans="29:31">
      <c r="AC847" s="146">
        <f t="shared" si="111"/>
        <v>-12.819999999999819</v>
      </c>
      <c r="AD847" s="147">
        <v>-0.2418219495989847</v>
      </c>
      <c r="AE847" s="1">
        <f t="shared" si="112"/>
        <v>-71188.473129265447</v>
      </c>
    </row>
    <row r="848" spans="29:31">
      <c r="AC848" s="146">
        <f t="shared" si="111"/>
        <v>-12.839999999999819</v>
      </c>
      <c r="AD848" s="147">
        <v>-0.24219920693065236</v>
      </c>
      <c r="AE848" s="1">
        <f t="shared" si="112"/>
        <v>-71299.531589685517</v>
      </c>
    </row>
    <row r="849" spans="29:31">
      <c r="AC849" s="146">
        <f t="shared" si="111"/>
        <v>-12.859999999999818</v>
      </c>
      <c r="AD849" s="147">
        <v>-0.24257646426232005</v>
      </c>
      <c r="AE849" s="1">
        <f t="shared" si="112"/>
        <v>-71410.590050105588</v>
      </c>
    </row>
    <row r="850" spans="29:31">
      <c r="AC850" s="146">
        <f t="shared" si="111"/>
        <v>-12.879999999999818</v>
      </c>
      <c r="AD850" s="147">
        <v>-0.24295372159398773</v>
      </c>
      <c r="AE850" s="1">
        <f t="shared" si="112"/>
        <v>-71521.648510525658</v>
      </c>
    </row>
    <row r="851" spans="29:31">
      <c r="AC851" s="146">
        <f t="shared" si="111"/>
        <v>-12.899999999999817</v>
      </c>
      <c r="AD851" s="147">
        <v>-0.24333097892565542</v>
      </c>
      <c r="AE851" s="1">
        <f t="shared" si="112"/>
        <v>-71632.706970945728</v>
      </c>
    </row>
    <row r="852" spans="29:31">
      <c r="AC852" s="146">
        <f t="shared" si="111"/>
        <v>-12.919999999999817</v>
      </c>
      <c r="AD852" s="147">
        <v>-0.24370823625732307</v>
      </c>
      <c r="AE852" s="1">
        <f t="shared" si="112"/>
        <v>-71743.765431365799</v>
      </c>
    </row>
    <row r="853" spans="29:31">
      <c r="AC853" s="146">
        <f t="shared" si="111"/>
        <v>-12.939999999999817</v>
      </c>
      <c r="AD853" s="147">
        <v>-0.24408549358899079</v>
      </c>
      <c r="AE853" s="1">
        <f t="shared" si="112"/>
        <v>-71854.823891785869</v>
      </c>
    </row>
    <row r="854" spans="29:31">
      <c r="AC854" s="146">
        <f t="shared" si="111"/>
        <v>-12.959999999999816</v>
      </c>
      <c r="AD854" s="147">
        <v>-0.24446275092065844</v>
      </c>
      <c r="AE854" s="1">
        <f t="shared" si="112"/>
        <v>-71965.882352205939</v>
      </c>
    </row>
    <row r="855" spans="29:31">
      <c r="AC855" s="146">
        <f t="shared" si="111"/>
        <v>-12.979999999999816</v>
      </c>
      <c r="AD855" s="147">
        <v>-0.24484000825232613</v>
      </c>
      <c r="AE855" s="1">
        <f t="shared" si="112"/>
        <v>-72076.94081262601</v>
      </c>
    </row>
    <row r="856" spans="29:31">
      <c r="AC856" s="146">
        <f t="shared" si="111"/>
        <v>-12.999999999999815</v>
      </c>
      <c r="AD856" s="147">
        <v>-0.24521726558399379</v>
      </c>
      <c r="AE856" s="1">
        <f t="shared" si="112"/>
        <v>-72187.99927304608</v>
      </c>
    </row>
    <row r="857" spans="29:31">
      <c r="AC857" s="146">
        <f t="shared" si="111"/>
        <v>-13.019999999999815</v>
      </c>
      <c r="AD857" s="147">
        <v>-0.2455945229156615</v>
      </c>
      <c r="AE857" s="1">
        <f t="shared" si="112"/>
        <v>-72299.05773346615</v>
      </c>
    </row>
    <row r="858" spans="29:31">
      <c r="AC858" s="146">
        <f t="shared" si="111"/>
        <v>-13.039999999999814</v>
      </c>
      <c r="AD858" s="147">
        <v>-0.24597178024732916</v>
      </c>
      <c r="AE858" s="1">
        <f t="shared" si="112"/>
        <v>-72410.116193886221</v>
      </c>
    </row>
    <row r="859" spans="29:31">
      <c r="AC859" s="146">
        <f t="shared" si="111"/>
        <v>-13.059999999999814</v>
      </c>
      <c r="AD859" s="147">
        <v>-0.24634903757899684</v>
      </c>
      <c r="AE859" s="1">
        <f t="shared" si="112"/>
        <v>-72521.174654306291</v>
      </c>
    </row>
    <row r="860" spans="29:31">
      <c r="AC860" s="146">
        <f t="shared" si="111"/>
        <v>-13.079999999999814</v>
      </c>
      <c r="AD860" s="147">
        <v>-0.24672629491066456</v>
      </c>
      <c r="AE860" s="1">
        <f t="shared" si="112"/>
        <v>-72632.233114726361</v>
      </c>
    </row>
    <row r="861" spans="29:31">
      <c r="AC861" s="146">
        <f t="shared" si="111"/>
        <v>-13.099999999999813</v>
      </c>
      <c r="AD861" s="147">
        <v>-0.24710355224233221</v>
      </c>
      <c r="AE861" s="1">
        <f t="shared" si="112"/>
        <v>-72743.291575146432</v>
      </c>
    </row>
    <row r="862" spans="29:31">
      <c r="AC862" s="146">
        <f t="shared" si="111"/>
        <v>-13.119999999999813</v>
      </c>
      <c r="AD862" s="147">
        <v>-0.2474808095739999</v>
      </c>
      <c r="AE862" s="1">
        <f t="shared" si="112"/>
        <v>-72854.350035566487</v>
      </c>
    </row>
    <row r="863" spans="29:31">
      <c r="AC863" s="146">
        <f t="shared" si="111"/>
        <v>-13.139999999999812</v>
      </c>
      <c r="AD863" s="147">
        <v>-0.24785806690566758</v>
      </c>
      <c r="AE863" s="1">
        <f t="shared" si="112"/>
        <v>-72965.408495986572</v>
      </c>
    </row>
    <row r="864" spans="29:31">
      <c r="AC864" s="146">
        <f t="shared" si="111"/>
        <v>-13.159999999999812</v>
      </c>
      <c r="AD864" s="147">
        <v>-0.24823532423733527</v>
      </c>
      <c r="AE864" s="1">
        <f t="shared" si="112"/>
        <v>-73076.466956406643</v>
      </c>
    </row>
    <row r="865" spans="29:31">
      <c r="AC865" s="146">
        <f t="shared" si="111"/>
        <v>-13.179999999999811</v>
      </c>
      <c r="AD865" s="147">
        <v>-0.24861258156900293</v>
      </c>
      <c r="AE865" s="1">
        <f t="shared" si="112"/>
        <v>-73187.525416826698</v>
      </c>
    </row>
    <row r="866" spans="29:31">
      <c r="AC866" s="146">
        <f t="shared" si="111"/>
        <v>-13.199999999999811</v>
      </c>
      <c r="AD866" s="147">
        <v>-0.24898983890067064</v>
      </c>
      <c r="AE866" s="1">
        <f t="shared" si="112"/>
        <v>-73298.583877246783</v>
      </c>
    </row>
    <row r="867" spans="29:31">
      <c r="AC867" s="146">
        <f t="shared" si="111"/>
        <v>-13.219999999999811</v>
      </c>
      <c r="AD867" s="147">
        <v>-0.2493670962323383</v>
      </c>
      <c r="AE867" s="1">
        <f t="shared" si="112"/>
        <v>-73409.642337666854</v>
      </c>
    </row>
    <row r="868" spans="29:31">
      <c r="AC868" s="146">
        <f t="shared" si="111"/>
        <v>-13.23999999999981</v>
      </c>
      <c r="AD868" s="147">
        <v>-0.24974435356400598</v>
      </c>
      <c r="AE868" s="1">
        <f t="shared" si="112"/>
        <v>-73520.700798086909</v>
      </c>
    </row>
    <row r="869" spans="29:31">
      <c r="AC869" s="146">
        <f t="shared" si="111"/>
        <v>-13.25999999999981</v>
      </c>
      <c r="AD869" s="147">
        <v>-0.25012161089567364</v>
      </c>
      <c r="AE869" s="1">
        <f t="shared" si="112"/>
        <v>-73631.759258506994</v>
      </c>
    </row>
    <row r="870" spans="29:31">
      <c r="AC870" s="146">
        <f t="shared" si="111"/>
        <v>-13.279999999999809</v>
      </c>
      <c r="AD870" s="147">
        <v>-0.25049886822734135</v>
      </c>
      <c r="AE870" s="1">
        <f t="shared" si="112"/>
        <v>-73742.817718927065</v>
      </c>
    </row>
    <row r="871" spans="29:31">
      <c r="AC871" s="146">
        <f t="shared" si="111"/>
        <v>-13.299999999999809</v>
      </c>
      <c r="AD871" s="147">
        <v>-0.25087612555900901</v>
      </c>
      <c r="AE871" s="1">
        <f t="shared" si="112"/>
        <v>-73853.87617934712</v>
      </c>
    </row>
    <row r="872" spans="29:31">
      <c r="AC872" s="146">
        <f t="shared" si="111"/>
        <v>-13.319999999999808</v>
      </c>
      <c r="AD872" s="147">
        <v>-0.25125338289067672</v>
      </c>
      <c r="AE872" s="1">
        <f t="shared" si="112"/>
        <v>-73964.934639767205</v>
      </c>
    </row>
    <row r="873" spans="29:31">
      <c r="AC873" s="146">
        <f t="shared" si="111"/>
        <v>-13.339999999999808</v>
      </c>
      <c r="AD873" s="147">
        <v>-0.25163064022234438</v>
      </c>
      <c r="AE873" s="1">
        <f t="shared" si="112"/>
        <v>-74075.993100187276</v>
      </c>
    </row>
    <row r="874" spans="29:31">
      <c r="AC874" s="146">
        <f t="shared" si="111"/>
        <v>-13.359999999999808</v>
      </c>
      <c r="AD874" s="147">
        <v>-0.25200789755401204</v>
      </c>
      <c r="AE874" s="1">
        <f t="shared" si="112"/>
        <v>-74187.051560607331</v>
      </c>
    </row>
    <row r="875" spans="29:31">
      <c r="AC875" s="146">
        <f t="shared" ref="AC875:AC938" si="113">AC874-$AD$2</f>
        <v>-13.379999999999807</v>
      </c>
      <c r="AD875" s="147">
        <v>-0.25238515488567975</v>
      </c>
      <c r="AE875" s="1">
        <f t="shared" si="112"/>
        <v>-74298.110021027416</v>
      </c>
    </row>
    <row r="876" spans="29:31">
      <c r="AC876" s="146">
        <f t="shared" si="113"/>
        <v>-13.399999999999807</v>
      </c>
      <c r="AD876" s="147">
        <v>-0.25276241221734741</v>
      </c>
      <c r="AE876" s="1">
        <f t="shared" si="112"/>
        <v>-74409.168481447487</v>
      </c>
    </row>
    <row r="877" spans="29:31">
      <c r="AC877" s="146">
        <f t="shared" si="113"/>
        <v>-13.419999999999806</v>
      </c>
      <c r="AD877" s="147">
        <v>-0.25313966954901507</v>
      </c>
      <c r="AE877" s="1">
        <f t="shared" si="112"/>
        <v>-74520.226941867542</v>
      </c>
    </row>
    <row r="878" spans="29:31">
      <c r="AC878" s="146">
        <f t="shared" si="113"/>
        <v>-13.439999999999806</v>
      </c>
      <c r="AD878" s="147">
        <v>-0.25351692688068278</v>
      </c>
      <c r="AE878" s="1">
        <f t="shared" si="112"/>
        <v>-74631.285402287627</v>
      </c>
    </row>
    <row r="879" spans="29:31">
      <c r="AC879" s="146">
        <f t="shared" si="113"/>
        <v>-13.459999999999805</v>
      </c>
      <c r="AD879" s="147">
        <v>-0.25389418421235044</v>
      </c>
      <c r="AE879" s="1">
        <f t="shared" si="112"/>
        <v>-74742.343862707683</v>
      </c>
    </row>
    <row r="880" spans="29:31">
      <c r="AC880" s="146">
        <f t="shared" si="113"/>
        <v>-13.479999999999805</v>
      </c>
      <c r="AD880" s="147">
        <v>-0.25427144154401815</v>
      </c>
      <c r="AE880" s="1">
        <f t="shared" si="112"/>
        <v>-74853.402323127753</v>
      </c>
    </row>
    <row r="881" spans="29:31">
      <c r="AC881" s="146">
        <f t="shared" si="113"/>
        <v>-13.499999999999805</v>
      </c>
      <c r="AD881" s="147">
        <v>-0.25464869887568581</v>
      </c>
      <c r="AE881" s="1">
        <f t="shared" si="112"/>
        <v>-74964.460783547838</v>
      </c>
    </row>
    <row r="882" spans="29:31">
      <c r="AC882" s="146">
        <f t="shared" si="113"/>
        <v>-13.519999999999804</v>
      </c>
      <c r="AD882" s="147">
        <v>-0.25502595620735352</v>
      </c>
      <c r="AE882" s="1">
        <f t="shared" si="112"/>
        <v>-75075.519243967909</v>
      </c>
    </row>
    <row r="883" spans="29:31">
      <c r="AC883" s="146">
        <f t="shared" si="113"/>
        <v>-13.539999999999804</v>
      </c>
      <c r="AD883" s="147">
        <v>-0.25540321353902118</v>
      </c>
      <c r="AE883" s="1">
        <f t="shared" si="112"/>
        <v>-75186.577704387964</v>
      </c>
    </row>
    <row r="884" spans="29:31">
      <c r="AC884" s="146">
        <f t="shared" si="113"/>
        <v>-13.559999999999803</v>
      </c>
      <c r="AD884" s="147">
        <v>-0.25578047087068884</v>
      </c>
      <c r="AE884" s="1">
        <f t="shared" si="112"/>
        <v>-75297.636164808035</v>
      </c>
    </row>
    <row r="885" spans="29:31">
      <c r="AC885" s="146">
        <f t="shared" si="113"/>
        <v>-13.579999999999803</v>
      </c>
      <c r="AD885" s="147">
        <v>-0.25615772820235655</v>
      </c>
      <c r="AE885" s="1">
        <f t="shared" si="112"/>
        <v>-75408.69462522812</v>
      </c>
    </row>
    <row r="886" spans="29:31">
      <c r="AC886" s="146">
        <f t="shared" si="113"/>
        <v>-13.599999999999802</v>
      </c>
      <c r="AD886" s="147">
        <v>-0.25653498553402421</v>
      </c>
      <c r="AE886" s="1">
        <f t="shared" si="112"/>
        <v>-75519.753085648175</v>
      </c>
    </row>
    <row r="887" spans="29:31">
      <c r="AC887" s="146">
        <f t="shared" si="113"/>
        <v>-13.619999999999802</v>
      </c>
      <c r="AD887" s="147">
        <v>-0.25691224286569186</v>
      </c>
      <c r="AE887" s="1">
        <f t="shared" si="112"/>
        <v>-75630.811546068246</v>
      </c>
    </row>
    <row r="888" spans="29:31">
      <c r="AC888" s="146">
        <f t="shared" si="113"/>
        <v>-13.639999999999802</v>
      </c>
      <c r="AD888" s="147">
        <v>-0.25728950019735958</v>
      </c>
      <c r="AE888" s="1">
        <f t="shared" si="112"/>
        <v>-75741.870006488331</v>
      </c>
    </row>
    <row r="889" spans="29:31">
      <c r="AC889" s="146">
        <f t="shared" si="113"/>
        <v>-13.659999999999801</v>
      </c>
      <c r="AD889" s="147">
        <v>-0.25766675752902723</v>
      </c>
      <c r="AE889" s="1">
        <f t="shared" si="112"/>
        <v>-75852.928466908386</v>
      </c>
    </row>
    <row r="890" spans="29:31">
      <c r="AC890" s="146">
        <f t="shared" si="113"/>
        <v>-13.679999999999801</v>
      </c>
      <c r="AD890" s="147">
        <v>-0.25804401486069495</v>
      </c>
      <c r="AE890" s="1">
        <f t="shared" si="112"/>
        <v>-75963.986927328471</v>
      </c>
    </row>
    <row r="891" spans="29:31">
      <c r="AC891" s="146">
        <f t="shared" si="113"/>
        <v>-13.6999999999998</v>
      </c>
      <c r="AD891" s="147">
        <v>-0.25842127219236261</v>
      </c>
      <c r="AE891" s="1">
        <f t="shared" si="112"/>
        <v>-76075.045387748527</v>
      </c>
    </row>
    <row r="892" spans="29:31">
      <c r="AC892" s="146">
        <f t="shared" si="113"/>
        <v>-13.7199999999998</v>
      </c>
      <c r="AD892" s="147">
        <v>-0.25879852952403032</v>
      </c>
      <c r="AE892" s="1">
        <f t="shared" si="112"/>
        <v>-76186.103848168597</v>
      </c>
    </row>
    <row r="893" spans="29:31">
      <c r="AC893" s="146">
        <f t="shared" si="113"/>
        <v>-13.739999999999799</v>
      </c>
      <c r="AD893" s="147">
        <v>-0.25917578685569798</v>
      </c>
      <c r="AE893" s="1">
        <f t="shared" si="112"/>
        <v>-76297.162308588682</v>
      </c>
    </row>
    <row r="894" spans="29:31">
      <c r="AC894" s="146">
        <f t="shared" si="113"/>
        <v>-13.759999999999799</v>
      </c>
      <c r="AD894" s="147">
        <v>-0.25955304418736563</v>
      </c>
      <c r="AE894" s="1">
        <f t="shared" si="112"/>
        <v>-76408.220769008738</v>
      </c>
    </row>
    <row r="895" spans="29:31">
      <c r="AC895" s="146">
        <f t="shared" si="113"/>
        <v>-13.779999999999799</v>
      </c>
      <c r="AD895" s="147">
        <v>-0.25993030151903335</v>
      </c>
      <c r="AE895" s="1">
        <f t="shared" si="112"/>
        <v>-76519.279229428808</v>
      </c>
    </row>
    <row r="896" spans="29:31">
      <c r="AC896" s="146">
        <f t="shared" si="113"/>
        <v>-13.799999999999798</v>
      </c>
      <c r="AD896" s="147">
        <v>-0.260307558850701</v>
      </c>
      <c r="AE896" s="1">
        <f t="shared" si="112"/>
        <v>-76630.337689848879</v>
      </c>
    </row>
    <row r="897" spans="29:31">
      <c r="AC897" s="146">
        <f t="shared" si="113"/>
        <v>-13.819999999999798</v>
      </c>
      <c r="AD897" s="147">
        <v>-0.26068481618236872</v>
      </c>
      <c r="AE897" s="1">
        <f t="shared" ref="AE897:AE960" si="114">AD897*0.5*rho*V^2*SRef</f>
        <v>-76741.396150268949</v>
      </c>
    </row>
    <row r="898" spans="29:31">
      <c r="AC898" s="146">
        <f t="shared" si="113"/>
        <v>-13.839999999999797</v>
      </c>
      <c r="AD898" s="147">
        <v>-0.26106207351403637</v>
      </c>
      <c r="AE898" s="1">
        <f t="shared" si="114"/>
        <v>-76852.454610689005</v>
      </c>
    </row>
    <row r="899" spans="29:31">
      <c r="AC899" s="146">
        <f t="shared" si="113"/>
        <v>-13.859999999999797</v>
      </c>
      <c r="AD899" s="147">
        <v>-0.26143933084570409</v>
      </c>
      <c r="AE899" s="1">
        <f t="shared" si="114"/>
        <v>-76963.513071109104</v>
      </c>
    </row>
    <row r="900" spans="29:31">
      <c r="AC900" s="146">
        <f t="shared" si="113"/>
        <v>-13.879999999999797</v>
      </c>
      <c r="AD900" s="147">
        <v>-0.26181658817737175</v>
      </c>
      <c r="AE900" s="1">
        <f t="shared" si="114"/>
        <v>-77074.57153152916</v>
      </c>
    </row>
    <row r="901" spans="29:31">
      <c r="AC901" s="146">
        <f t="shared" si="113"/>
        <v>-13.899999999999796</v>
      </c>
      <c r="AD901" s="147">
        <v>-0.26219384550903946</v>
      </c>
      <c r="AE901" s="1">
        <f t="shared" si="114"/>
        <v>-77185.62999194923</v>
      </c>
    </row>
    <row r="902" spans="29:31">
      <c r="AC902" s="146">
        <f t="shared" si="113"/>
        <v>-13.919999999999796</v>
      </c>
      <c r="AD902" s="147">
        <v>-0.26257110284070712</v>
      </c>
      <c r="AE902" s="1">
        <f t="shared" si="114"/>
        <v>-77296.688452369315</v>
      </c>
    </row>
    <row r="903" spans="29:31">
      <c r="AC903" s="146">
        <f t="shared" si="113"/>
        <v>-13.939999999999795</v>
      </c>
      <c r="AD903" s="147">
        <v>-0.26294836017237477</v>
      </c>
      <c r="AE903" s="1">
        <f t="shared" si="114"/>
        <v>-77407.746912789371</v>
      </c>
    </row>
    <row r="904" spans="29:31">
      <c r="AC904" s="146">
        <f t="shared" si="113"/>
        <v>-13.959999999999795</v>
      </c>
      <c r="AD904" s="147">
        <v>-0.26332561750404243</v>
      </c>
      <c r="AE904" s="1">
        <f t="shared" si="114"/>
        <v>-77518.805373209427</v>
      </c>
    </row>
    <row r="905" spans="29:31">
      <c r="AC905" s="146">
        <f t="shared" si="113"/>
        <v>-13.979999999999794</v>
      </c>
      <c r="AD905" s="147">
        <v>-0.26370287483571014</v>
      </c>
      <c r="AE905" s="1">
        <f t="shared" si="114"/>
        <v>-77629.863833629512</v>
      </c>
    </row>
    <row r="906" spans="29:31">
      <c r="AC906" s="146">
        <f t="shared" si="113"/>
        <v>-13.999999999999794</v>
      </c>
      <c r="AD906" s="147">
        <v>-0.2640801321673778</v>
      </c>
      <c r="AE906" s="1">
        <f t="shared" si="114"/>
        <v>-77740.922294049582</v>
      </c>
    </row>
    <row r="907" spans="29:31">
      <c r="AC907" s="146">
        <f t="shared" si="113"/>
        <v>-14.019999999999794</v>
      </c>
      <c r="AD907" s="147">
        <v>-0.26445738949904551</v>
      </c>
      <c r="AE907" s="1">
        <f t="shared" si="114"/>
        <v>-77851.980754469652</v>
      </c>
    </row>
    <row r="908" spans="29:31">
      <c r="AC908" s="146">
        <f t="shared" si="113"/>
        <v>-14.039999999999793</v>
      </c>
      <c r="AD908" s="147">
        <v>-0.26483464683071317</v>
      </c>
      <c r="AE908" s="1">
        <f t="shared" si="114"/>
        <v>-77963.039214889723</v>
      </c>
    </row>
    <row r="909" spans="29:31">
      <c r="AC909" s="146">
        <f t="shared" si="113"/>
        <v>-14.059999999999793</v>
      </c>
      <c r="AD909" s="147">
        <v>-0.26521190416238088</v>
      </c>
      <c r="AE909" s="1">
        <f t="shared" si="114"/>
        <v>-78074.097675309793</v>
      </c>
    </row>
    <row r="910" spans="29:31">
      <c r="AC910" s="146">
        <f t="shared" si="113"/>
        <v>-14.079999999999792</v>
      </c>
      <c r="AD910" s="147">
        <v>-0.26558916149404854</v>
      </c>
      <c r="AE910" s="1">
        <f t="shared" si="114"/>
        <v>-78185.156135729849</v>
      </c>
    </row>
    <row r="911" spans="29:31">
      <c r="AC911" s="146">
        <f t="shared" si="113"/>
        <v>-14.099999999999792</v>
      </c>
      <c r="AD911" s="147">
        <v>-0.26596641882571626</v>
      </c>
      <c r="AE911" s="1">
        <f t="shared" si="114"/>
        <v>-78296.214596149948</v>
      </c>
    </row>
    <row r="912" spans="29:31">
      <c r="AC912" s="146">
        <f t="shared" si="113"/>
        <v>-14.119999999999791</v>
      </c>
      <c r="AD912" s="147">
        <v>-0.26634367615738391</v>
      </c>
      <c r="AE912" s="1">
        <f t="shared" si="114"/>
        <v>-78407.273056570004</v>
      </c>
    </row>
    <row r="913" spans="29:31">
      <c r="AC913" s="146">
        <f t="shared" si="113"/>
        <v>-14.139999999999791</v>
      </c>
      <c r="AD913" s="147">
        <v>-0.26672093348905157</v>
      </c>
      <c r="AE913" s="1">
        <f t="shared" si="114"/>
        <v>-78518.33151699006</v>
      </c>
    </row>
    <row r="914" spans="29:31">
      <c r="AC914" s="146">
        <f t="shared" si="113"/>
        <v>-14.159999999999791</v>
      </c>
      <c r="AD914" s="147">
        <v>-0.26709819082071923</v>
      </c>
      <c r="AE914" s="1">
        <f t="shared" si="114"/>
        <v>-78629.38997741013</v>
      </c>
    </row>
    <row r="915" spans="29:31">
      <c r="AC915" s="146">
        <f t="shared" si="113"/>
        <v>-14.17999999999979</v>
      </c>
      <c r="AD915" s="147">
        <v>-0.26747544815238694</v>
      </c>
      <c r="AE915" s="1">
        <f t="shared" si="114"/>
        <v>-78740.448437830215</v>
      </c>
    </row>
    <row r="916" spans="29:31">
      <c r="AC916" s="146">
        <f t="shared" si="113"/>
        <v>-14.19999999999979</v>
      </c>
      <c r="AD916" s="147">
        <v>-0.2678527054840546</v>
      </c>
      <c r="AE916" s="1">
        <f t="shared" si="114"/>
        <v>-78851.506898250271</v>
      </c>
    </row>
    <row r="917" spans="29:31">
      <c r="AC917" s="146">
        <f t="shared" si="113"/>
        <v>-14.219999999999789</v>
      </c>
      <c r="AD917" s="147">
        <v>-0.26822996281572231</v>
      </c>
      <c r="AE917" s="1">
        <f t="shared" si="114"/>
        <v>-78962.565358670356</v>
      </c>
    </row>
    <row r="918" spans="29:31">
      <c r="AC918" s="146">
        <f t="shared" si="113"/>
        <v>-14.239999999999789</v>
      </c>
      <c r="AD918" s="147">
        <v>-0.26860722014738997</v>
      </c>
      <c r="AE918" s="1">
        <f t="shared" si="114"/>
        <v>-79073.623819090426</v>
      </c>
    </row>
    <row r="919" spans="29:31">
      <c r="AC919" s="146">
        <f t="shared" si="113"/>
        <v>-14.259999999999788</v>
      </c>
      <c r="AD919" s="147">
        <v>-0.26898447747905768</v>
      </c>
      <c r="AE919" s="1">
        <f t="shared" si="114"/>
        <v>-79184.682279510496</v>
      </c>
    </row>
    <row r="920" spans="29:31">
      <c r="AC920" s="146">
        <f t="shared" si="113"/>
        <v>-14.279999999999788</v>
      </c>
      <c r="AD920" s="147">
        <v>-0.26936173481072534</v>
      </c>
      <c r="AE920" s="1">
        <f t="shared" si="114"/>
        <v>-79295.740739930567</v>
      </c>
    </row>
    <row r="921" spans="29:31">
      <c r="AC921" s="146">
        <f t="shared" si="113"/>
        <v>-14.299999999999788</v>
      </c>
      <c r="AD921" s="147">
        <v>-0.26973899214239305</v>
      </c>
      <c r="AE921" s="1">
        <f t="shared" si="114"/>
        <v>-79406.799200350637</v>
      </c>
    </row>
    <row r="922" spans="29:31">
      <c r="AC922" s="146">
        <f t="shared" si="113"/>
        <v>-14.319999999999787</v>
      </c>
      <c r="AD922" s="147">
        <v>-0.27011624947406071</v>
      </c>
      <c r="AE922" s="1">
        <f t="shared" si="114"/>
        <v>-79517.857660770693</v>
      </c>
    </row>
    <row r="923" spans="29:31">
      <c r="AC923" s="146">
        <f t="shared" si="113"/>
        <v>-14.339999999999787</v>
      </c>
      <c r="AD923" s="147">
        <v>-0.27049350680572837</v>
      </c>
      <c r="AE923" s="1">
        <f t="shared" si="114"/>
        <v>-79628.916121190778</v>
      </c>
    </row>
    <row r="924" spans="29:31">
      <c r="AC924" s="146">
        <f t="shared" si="113"/>
        <v>-14.359999999999786</v>
      </c>
      <c r="AD924" s="147">
        <v>-0.27087076413739608</v>
      </c>
      <c r="AE924" s="1">
        <f t="shared" si="114"/>
        <v>-79739.974581610848</v>
      </c>
    </row>
    <row r="925" spans="29:31">
      <c r="AC925" s="146">
        <f t="shared" si="113"/>
        <v>-14.379999999999786</v>
      </c>
      <c r="AD925" s="147">
        <v>-0.27124802146906374</v>
      </c>
      <c r="AE925" s="1">
        <f t="shared" si="114"/>
        <v>-79851.033042030904</v>
      </c>
    </row>
    <row r="926" spans="29:31">
      <c r="AC926" s="146">
        <f t="shared" si="113"/>
        <v>-14.399999999999785</v>
      </c>
      <c r="AD926" s="147">
        <v>-0.2716252788007314</v>
      </c>
      <c r="AE926" s="1">
        <f t="shared" si="114"/>
        <v>-79962.091502450974</v>
      </c>
    </row>
    <row r="927" spans="29:31">
      <c r="AC927" s="146">
        <f t="shared" si="113"/>
        <v>-14.419999999999785</v>
      </c>
      <c r="AD927" s="147">
        <v>-0.27200253613239905</v>
      </c>
      <c r="AE927" s="1">
        <f t="shared" si="114"/>
        <v>-80073.149962871044</v>
      </c>
    </row>
    <row r="928" spans="29:31">
      <c r="AC928" s="146">
        <f t="shared" si="113"/>
        <v>-14.439999999999785</v>
      </c>
      <c r="AD928" s="147">
        <v>-0.27237979346406682</v>
      </c>
      <c r="AE928" s="1">
        <f t="shared" si="114"/>
        <v>-80184.208423291129</v>
      </c>
    </row>
    <row r="929" spans="29:31">
      <c r="AC929" s="146">
        <f t="shared" si="113"/>
        <v>-14.459999999999784</v>
      </c>
      <c r="AD929" s="147">
        <v>-0.27275705079573448</v>
      </c>
      <c r="AE929" s="1">
        <f t="shared" si="114"/>
        <v>-80295.2668837112</v>
      </c>
    </row>
    <row r="930" spans="29:31">
      <c r="AC930" s="146">
        <f t="shared" si="113"/>
        <v>-14.479999999999784</v>
      </c>
      <c r="AD930" s="147">
        <v>-0.27313430812740214</v>
      </c>
      <c r="AE930" s="1">
        <f t="shared" si="114"/>
        <v>-80406.32534413127</v>
      </c>
    </row>
    <row r="931" spans="29:31">
      <c r="AC931" s="146">
        <f t="shared" si="113"/>
        <v>-14.499999999999783</v>
      </c>
      <c r="AD931" s="147">
        <v>-0.27351156545906985</v>
      </c>
      <c r="AE931" s="1">
        <f t="shared" si="114"/>
        <v>-80517.38380455134</v>
      </c>
    </row>
    <row r="932" spans="29:31">
      <c r="AC932" s="146">
        <f t="shared" si="113"/>
        <v>-14.519999999999783</v>
      </c>
      <c r="AD932" s="147">
        <v>-0.27388882279073751</v>
      </c>
      <c r="AE932" s="1">
        <f t="shared" si="114"/>
        <v>-80628.442264971411</v>
      </c>
    </row>
    <row r="933" spans="29:31">
      <c r="AC933" s="146">
        <f t="shared" si="113"/>
        <v>-14.539999999999782</v>
      </c>
      <c r="AD933" s="147">
        <v>-0.27426608012240516</v>
      </c>
      <c r="AE933" s="1">
        <f t="shared" si="114"/>
        <v>-80739.500725391466</v>
      </c>
    </row>
    <row r="934" spans="29:31">
      <c r="AC934" s="146">
        <f t="shared" si="113"/>
        <v>-14.559999999999782</v>
      </c>
      <c r="AD934" s="147">
        <v>-0.27464333745407282</v>
      </c>
      <c r="AE934" s="1">
        <f t="shared" si="114"/>
        <v>-80850.559185811537</v>
      </c>
    </row>
    <row r="935" spans="29:31">
      <c r="AC935" s="146">
        <f t="shared" si="113"/>
        <v>-14.579999999999782</v>
      </c>
      <c r="AD935" s="147">
        <v>-0.27502059478574059</v>
      </c>
      <c r="AE935" s="1">
        <f t="shared" si="114"/>
        <v>-80961.617646231636</v>
      </c>
    </row>
    <row r="936" spans="29:31">
      <c r="AC936" s="146">
        <f t="shared" si="113"/>
        <v>-14.599999999999781</v>
      </c>
      <c r="AD936" s="147">
        <v>-0.27539785211740825</v>
      </c>
      <c r="AE936" s="1">
        <f t="shared" si="114"/>
        <v>-81072.676106651692</v>
      </c>
    </row>
    <row r="937" spans="29:31">
      <c r="AC937" s="146">
        <f t="shared" si="113"/>
        <v>-14.619999999999781</v>
      </c>
      <c r="AD937" s="147">
        <v>-0.27577510944907591</v>
      </c>
      <c r="AE937" s="1">
        <f t="shared" si="114"/>
        <v>-81183.734567071748</v>
      </c>
    </row>
    <row r="938" spans="29:31">
      <c r="AC938" s="146">
        <f t="shared" si="113"/>
        <v>-14.63999999999978</v>
      </c>
      <c r="AD938" s="147">
        <v>-0.27615236678074356</v>
      </c>
      <c r="AE938" s="1">
        <f t="shared" si="114"/>
        <v>-81294.793027491818</v>
      </c>
    </row>
    <row r="939" spans="29:31">
      <c r="AC939" s="146">
        <f t="shared" ref="AC939:AC1002" si="115">AC938-$AD$2</f>
        <v>-14.65999999999978</v>
      </c>
      <c r="AD939" s="147">
        <v>-0.27652962411241128</v>
      </c>
      <c r="AE939" s="1">
        <f t="shared" si="114"/>
        <v>-81405.851487911903</v>
      </c>
    </row>
    <row r="940" spans="29:31">
      <c r="AC940" s="146">
        <f t="shared" si="115"/>
        <v>-14.679999999999779</v>
      </c>
      <c r="AD940" s="147">
        <v>-0.27690688144407893</v>
      </c>
      <c r="AE940" s="1">
        <f t="shared" si="114"/>
        <v>-81516.909948331959</v>
      </c>
    </row>
    <row r="941" spans="29:31">
      <c r="AC941" s="146">
        <f t="shared" si="115"/>
        <v>-14.699999999999779</v>
      </c>
      <c r="AD941" s="147">
        <v>-0.27728413877574659</v>
      </c>
      <c r="AE941" s="1">
        <f t="shared" si="114"/>
        <v>-81627.968408752029</v>
      </c>
    </row>
    <row r="942" spans="29:31">
      <c r="AC942" s="146">
        <f t="shared" si="115"/>
        <v>-14.719999999999779</v>
      </c>
      <c r="AD942" s="147">
        <v>-0.2776613961074143</v>
      </c>
      <c r="AE942" s="1">
        <f t="shared" si="114"/>
        <v>-81739.026869172114</v>
      </c>
    </row>
    <row r="943" spans="29:31">
      <c r="AC943" s="146">
        <f t="shared" si="115"/>
        <v>-14.739999999999778</v>
      </c>
      <c r="AD943" s="147">
        <v>-0.27803865343908202</v>
      </c>
      <c r="AE943" s="1">
        <f t="shared" si="114"/>
        <v>-81850.085329592184</v>
      </c>
    </row>
    <row r="944" spans="29:31">
      <c r="AC944" s="146">
        <f t="shared" si="115"/>
        <v>-14.759999999999778</v>
      </c>
      <c r="AD944" s="147">
        <v>-0.27841591077074967</v>
      </c>
      <c r="AE944" s="1">
        <f t="shared" si="114"/>
        <v>-81961.143790012255</v>
      </c>
    </row>
    <row r="945" spans="29:31">
      <c r="AC945" s="146">
        <f t="shared" si="115"/>
        <v>-14.779999999999777</v>
      </c>
      <c r="AD945" s="147">
        <v>-0.27879316810241733</v>
      </c>
      <c r="AE945" s="1">
        <f t="shared" si="114"/>
        <v>-82072.20225043231</v>
      </c>
    </row>
    <row r="946" spans="29:31">
      <c r="AC946" s="146">
        <f t="shared" si="115"/>
        <v>-14.799999999999777</v>
      </c>
      <c r="AD946" s="147">
        <v>-0.27917042543408499</v>
      </c>
      <c r="AE946" s="1">
        <f t="shared" si="114"/>
        <v>-82183.260710852381</v>
      </c>
    </row>
    <row r="947" spans="29:31">
      <c r="AC947" s="146">
        <f t="shared" si="115"/>
        <v>-14.819999999999776</v>
      </c>
      <c r="AD947" s="147">
        <v>-0.2795476827657527</v>
      </c>
      <c r="AE947" s="1">
        <f t="shared" si="114"/>
        <v>-82294.319171272451</v>
      </c>
    </row>
    <row r="948" spans="29:31">
      <c r="AC948" s="146">
        <f t="shared" si="115"/>
        <v>-14.839999999999776</v>
      </c>
      <c r="AD948" s="147">
        <v>-0.27992494009742042</v>
      </c>
      <c r="AE948" s="1">
        <f t="shared" si="114"/>
        <v>-82405.377631692536</v>
      </c>
    </row>
    <row r="949" spans="29:31">
      <c r="AC949" s="146">
        <f t="shared" si="115"/>
        <v>-14.859999999999776</v>
      </c>
      <c r="AD949" s="147">
        <v>-0.28030219742908807</v>
      </c>
      <c r="AE949" s="1">
        <f t="shared" si="114"/>
        <v>-82516.436092112592</v>
      </c>
    </row>
    <row r="950" spans="29:31">
      <c r="AC950" s="146">
        <f t="shared" si="115"/>
        <v>-14.879999999999775</v>
      </c>
      <c r="AD950" s="147">
        <v>-0.28067945476075573</v>
      </c>
      <c r="AE950" s="1">
        <f t="shared" si="114"/>
        <v>-82627.494552532662</v>
      </c>
    </row>
    <row r="951" spans="29:31">
      <c r="AC951" s="146">
        <f t="shared" si="115"/>
        <v>-14.899999999999775</v>
      </c>
      <c r="AD951" s="147">
        <v>-0.28105671209242344</v>
      </c>
      <c r="AE951" s="1">
        <f t="shared" si="114"/>
        <v>-82738.553012952747</v>
      </c>
    </row>
    <row r="952" spans="29:31">
      <c r="AC952" s="146">
        <f t="shared" si="115"/>
        <v>-14.919999999999774</v>
      </c>
      <c r="AD952" s="147">
        <v>-0.2814339694240911</v>
      </c>
      <c r="AE952" s="1">
        <f t="shared" si="114"/>
        <v>-82849.611473372803</v>
      </c>
    </row>
    <row r="953" spans="29:31">
      <c r="AC953" s="146">
        <f t="shared" si="115"/>
        <v>-14.939999999999774</v>
      </c>
      <c r="AD953" s="147">
        <v>-0.28181122675575876</v>
      </c>
      <c r="AE953" s="1">
        <f t="shared" si="114"/>
        <v>-82960.669933792873</v>
      </c>
    </row>
    <row r="954" spans="29:31">
      <c r="AC954" s="146">
        <f t="shared" si="115"/>
        <v>-14.959999999999773</v>
      </c>
      <c r="AD954" s="147">
        <v>-0.28218848408742642</v>
      </c>
      <c r="AE954" s="1">
        <f t="shared" si="114"/>
        <v>-83071.728394212929</v>
      </c>
    </row>
    <row r="955" spans="29:31">
      <c r="AC955" s="146">
        <f t="shared" si="115"/>
        <v>-14.979999999999773</v>
      </c>
      <c r="AD955" s="147">
        <v>-0.28256574141909419</v>
      </c>
      <c r="AE955" s="1">
        <f t="shared" si="114"/>
        <v>-83182.786854633014</v>
      </c>
    </row>
    <row r="956" spans="29:31">
      <c r="AC956" s="146">
        <f t="shared" si="115"/>
        <v>-14.999999999999773</v>
      </c>
      <c r="AD956" s="147">
        <v>-0.28294299875076184</v>
      </c>
      <c r="AE956" s="1">
        <f t="shared" si="114"/>
        <v>-83293.845315053099</v>
      </c>
    </row>
    <row r="957" spans="29:31">
      <c r="AC957" s="146">
        <f t="shared" si="115"/>
        <v>-15.019999999999772</v>
      </c>
      <c r="AD957" s="147">
        <v>-0.2833202560824295</v>
      </c>
      <c r="AE957" s="1">
        <f t="shared" si="114"/>
        <v>-83404.903775473154</v>
      </c>
    </row>
    <row r="958" spans="29:31">
      <c r="AC958" s="146">
        <f t="shared" si="115"/>
        <v>-15.039999999999772</v>
      </c>
      <c r="AD958" s="147">
        <v>-0.28369751341409716</v>
      </c>
      <c r="AE958" s="1">
        <f t="shared" si="114"/>
        <v>-83515.962235893225</v>
      </c>
    </row>
    <row r="959" spans="29:31">
      <c r="AC959" s="146">
        <f t="shared" si="115"/>
        <v>-15.059999999999771</v>
      </c>
      <c r="AD959" s="147">
        <v>-0.28407477074576487</v>
      </c>
      <c r="AE959" s="1">
        <f t="shared" si="114"/>
        <v>-83627.020696313295</v>
      </c>
    </row>
    <row r="960" spans="29:31">
      <c r="AC960" s="146">
        <f t="shared" si="115"/>
        <v>-15.079999999999771</v>
      </c>
      <c r="AD960" s="147">
        <v>-0.28445202807743253</v>
      </c>
      <c r="AE960" s="1">
        <f t="shared" si="114"/>
        <v>-83738.079156733365</v>
      </c>
    </row>
    <row r="961" spans="29:31">
      <c r="AC961" s="146">
        <f t="shared" si="115"/>
        <v>-15.09999999999977</v>
      </c>
      <c r="AD961" s="147">
        <v>-0.28482928540910019</v>
      </c>
      <c r="AE961" s="1">
        <f t="shared" ref="AE961:AE1006" si="116">AD961*0.5*rho*V^2*SRef</f>
        <v>-83849.137617153421</v>
      </c>
    </row>
    <row r="962" spans="29:31">
      <c r="AC962" s="146">
        <f t="shared" si="115"/>
        <v>-15.11999999999977</v>
      </c>
      <c r="AD962" s="147">
        <v>-0.2852065427407679</v>
      </c>
      <c r="AE962" s="1">
        <f t="shared" si="116"/>
        <v>-83960.196077573506</v>
      </c>
    </row>
    <row r="963" spans="29:31">
      <c r="AC963" s="146">
        <f t="shared" si="115"/>
        <v>-15.13999999999977</v>
      </c>
      <c r="AD963" s="147">
        <v>-0.28558380007243561</v>
      </c>
      <c r="AE963" s="1">
        <f t="shared" si="116"/>
        <v>-84071.254537993591</v>
      </c>
    </row>
    <row r="964" spans="29:31">
      <c r="AC964" s="146">
        <f t="shared" si="115"/>
        <v>-15.159999999999769</v>
      </c>
      <c r="AD964" s="147">
        <v>-0.28596105740410327</v>
      </c>
      <c r="AE964" s="1">
        <f t="shared" si="116"/>
        <v>-84182.312998413647</v>
      </c>
    </row>
    <row r="965" spans="29:31">
      <c r="AC965" s="146">
        <f t="shared" si="115"/>
        <v>-15.179999999999769</v>
      </c>
      <c r="AD965" s="147">
        <v>-0.28633831473577093</v>
      </c>
      <c r="AE965" s="1">
        <f t="shared" si="116"/>
        <v>-84293.371458833717</v>
      </c>
    </row>
    <row r="966" spans="29:31">
      <c r="AC966" s="146">
        <f t="shared" si="115"/>
        <v>-15.199999999999768</v>
      </c>
      <c r="AD966" s="147">
        <v>-0.28671557206743864</v>
      </c>
      <c r="AE966" s="1">
        <f t="shared" si="116"/>
        <v>-84404.429919253802</v>
      </c>
    </row>
    <row r="967" spans="29:31">
      <c r="AC967" s="146">
        <f t="shared" si="115"/>
        <v>-15.219999999999768</v>
      </c>
      <c r="AD967" s="147">
        <v>-0.2870928293991063</v>
      </c>
      <c r="AE967" s="1">
        <f t="shared" si="116"/>
        <v>-84515.488379673858</v>
      </c>
    </row>
    <row r="968" spans="29:31">
      <c r="AC968" s="146">
        <f t="shared" si="115"/>
        <v>-15.239999999999768</v>
      </c>
      <c r="AD968" s="147">
        <v>-0.28747008673077401</v>
      </c>
      <c r="AE968" s="1">
        <f t="shared" si="116"/>
        <v>-84626.546840093943</v>
      </c>
    </row>
    <row r="969" spans="29:31">
      <c r="AC969" s="146">
        <f t="shared" si="115"/>
        <v>-15.259999999999767</v>
      </c>
      <c r="AD969" s="147">
        <v>-0.28784734406244167</v>
      </c>
      <c r="AE969" s="1">
        <f t="shared" si="116"/>
        <v>-84737.605300513998</v>
      </c>
    </row>
    <row r="970" spans="29:31">
      <c r="AC970" s="146">
        <f t="shared" si="115"/>
        <v>-15.279999999999767</v>
      </c>
      <c r="AD970" s="147">
        <v>-0.28822460139410938</v>
      </c>
      <c r="AE970" s="1">
        <f t="shared" si="116"/>
        <v>-84848.663760934069</v>
      </c>
    </row>
    <row r="971" spans="29:31">
      <c r="AC971" s="146">
        <f t="shared" si="115"/>
        <v>-15.299999999999766</v>
      </c>
      <c r="AD971" s="147">
        <v>-0.28860185872577704</v>
      </c>
      <c r="AE971" s="1">
        <f t="shared" si="116"/>
        <v>-84959.722221354139</v>
      </c>
    </row>
    <row r="972" spans="29:31">
      <c r="AC972" s="146">
        <f t="shared" si="115"/>
        <v>-15.319999999999766</v>
      </c>
      <c r="AD972" s="147">
        <v>-0.2889791160574447</v>
      </c>
      <c r="AE972" s="1">
        <f t="shared" si="116"/>
        <v>-85070.780681774209</v>
      </c>
    </row>
    <row r="973" spans="29:31">
      <c r="AC973" s="146">
        <f t="shared" si="115"/>
        <v>-15.339999999999765</v>
      </c>
      <c r="AD973" s="147">
        <v>-0.28935637338911235</v>
      </c>
      <c r="AE973" s="1">
        <f t="shared" si="116"/>
        <v>-85181.839142194265</v>
      </c>
    </row>
    <row r="974" spans="29:31">
      <c r="AC974" s="146">
        <f t="shared" si="115"/>
        <v>-15.359999999999765</v>
      </c>
      <c r="AD974" s="147">
        <v>-0.28973363072078007</v>
      </c>
      <c r="AE974" s="1">
        <f t="shared" si="116"/>
        <v>-85292.89760261435</v>
      </c>
    </row>
    <row r="975" spans="29:31">
      <c r="AC975" s="146">
        <f t="shared" si="115"/>
        <v>-15.379999999999765</v>
      </c>
      <c r="AD975" s="147">
        <v>-0.29011088805244778</v>
      </c>
      <c r="AE975" s="1">
        <f t="shared" si="116"/>
        <v>-85403.956063034435</v>
      </c>
    </row>
    <row r="976" spans="29:31">
      <c r="AC976" s="146">
        <f t="shared" si="115"/>
        <v>-15.399999999999764</v>
      </c>
      <c r="AD976" s="147">
        <v>-0.29048814538411544</v>
      </c>
      <c r="AE976" s="1">
        <f t="shared" si="116"/>
        <v>-85515.014523454491</v>
      </c>
    </row>
    <row r="977" spans="29:31">
      <c r="AC977" s="146">
        <f t="shared" si="115"/>
        <v>-15.419999999999764</v>
      </c>
      <c r="AD977" s="147">
        <v>-0.29086540271578309</v>
      </c>
      <c r="AE977" s="1">
        <f t="shared" si="116"/>
        <v>-85626.072983874561</v>
      </c>
    </row>
    <row r="978" spans="29:31">
      <c r="AC978" s="146">
        <f t="shared" si="115"/>
        <v>-15.439999999999763</v>
      </c>
      <c r="AD978" s="147">
        <v>-0.29124266004745081</v>
      </c>
      <c r="AE978" s="1">
        <f t="shared" si="116"/>
        <v>-85737.131444294631</v>
      </c>
    </row>
    <row r="979" spans="29:31">
      <c r="AC979" s="146">
        <f t="shared" si="115"/>
        <v>-15.459999999999763</v>
      </c>
      <c r="AD979" s="147">
        <v>-0.29161991737911847</v>
      </c>
      <c r="AE979" s="1">
        <f t="shared" si="116"/>
        <v>-85848.189904714702</v>
      </c>
    </row>
    <row r="980" spans="29:31">
      <c r="AC980" s="146">
        <f t="shared" si="115"/>
        <v>-15.479999999999762</v>
      </c>
      <c r="AD980" s="147">
        <v>-0.29199717471078612</v>
      </c>
      <c r="AE980" s="1">
        <f t="shared" si="116"/>
        <v>-85959.248365134772</v>
      </c>
    </row>
    <row r="981" spans="29:31">
      <c r="AC981" s="146">
        <f t="shared" si="115"/>
        <v>-15.499999999999762</v>
      </c>
      <c r="AD981" s="147">
        <v>-0.29237443204245378</v>
      </c>
      <c r="AE981" s="1">
        <f t="shared" si="116"/>
        <v>-86070.306825554828</v>
      </c>
    </row>
    <row r="982" spans="29:31">
      <c r="AC982" s="146">
        <f t="shared" si="115"/>
        <v>-15.519999999999762</v>
      </c>
      <c r="AD982" s="147">
        <v>-0.29275168937412155</v>
      </c>
      <c r="AE982" s="1">
        <f t="shared" si="116"/>
        <v>-86181.365285974913</v>
      </c>
    </row>
    <row r="983" spans="29:31">
      <c r="AC983" s="146">
        <f t="shared" si="115"/>
        <v>-15.539999999999761</v>
      </c>
      <c r="AD983" s="147">
        <v>-0.29312894670578921</v>
      </c>
      <c r="AE983" s="1">
        <f t="shared" si="116"/>
        <v>-86292.423746394983</v>
      </c>
    </row>
    <row r="984" spans="29:31">
      <c r="AC984" s="146">
        <f t="shared" si="115"/>
        <v>-15.559999999999761</v>
      </c>
      <c r="AD984" s="147">
        <v>-0.29350620403745686</v>
      </c>
      <c r="AE984" s="1">
        <f t="shared" si="116"/>
        <v>-86403.482206815053</v>
      </c>
    </row>
    <row r="985" spans="29:31">
      <c r="AC985" s="146">
        <f t="shared" si="115"/>
        <v>-15.57999999999976</v>
      </c>
      <c r="AD985" s="147">
        <v>-0.29388346136912452</v>
      </c>
      <c r="AE985" s="1">
        <f t="shared" si="116"/>
        <v>-86514.540667235109</v>
      </c>
    </row>
    <row r="986" spans="29:31">
      <c r="AC986" s="146">
        <f t="shared" si="115"/>
        <v>-15.59999999999976</v>
      </c>
      <c r="AD986" s="147">
        <v>-0.29426071870079223</v>
      </c>
      <c r="AE986" s="1">
        <f t="shared" si="116"/>
        <v>-86625.599127655194</v>
      </c>
    </row>
    <row r="987" spans="29:31">
      <c r="AC987" s="146">
        <f t="shared" si="115"/>
        <v>-15.619999999999759</v>
      </c>
      <c r="AD987" s="147">
        <v>-0.29463797603245989</v>
      </c>
      <c r="AE987" s="1">
        <f t="shared" si="116"/>
        <v>-86736.65758807525</v>
      </c>
    </row>
    <row r="988" spans="29:31">
      <c r="AC988" s="146">
        <f t="shared" si="115"/>
        <v>-15.639999999999759</v>
      </c>
      <c r="AD988" s="147">
        <v>-0.2950152333641276</v>
      </c>
      <c r="AE988" s="1">
        <f t="shared" si="116"/>
        <v>-86847.716048495335</v>
      </c>
    </row>
    <row r="989" spans="29:31">
      <c r="AC989" s="146">
        <f t="shared" si="115"/>
        <v>-15.659999999999759</v>
      </c>
      <c r="AD989" s="147">
        <v>-0.29539249069579526</v>
      </c>
      <c r="AE989" s="1">
        <f t="shared" si="116"/>
        <v>-86958.774508915405</v>
      </c>
    </row>
    <row r="990" spans="29:31">
      <c r="AC990" s="146">
        <f t="shared" si="115"/>
        <v>-15.679999999999758</v>
      </c>
      <c r="AD990" s="147">
        <v>-0.29576974802746298</v>
      </c>
      <c r="AE990" s="1">
        <f t="shared" si="116"/>
        <v>-87069.832969335475</v>
      </c>
    </row>
    <row r="991" spans="29:31">
      <c r="AC991" s="146">
        <f t="shared" si="115"/>
        <v>-15.699999999999758</v>
      </c>
      <c r="AD991" s="147">
        <v>-0.29614700535913063</v>
      </c>
      <c r="AE991" s="1">
        <f t="shared" si="116"/>
        <v>-87180.891429755546</v>
      </c>
    </row>
    <row r="992" spans="29:31">
      <c r="AC992" s="146">
        <f t="shared" si="115"/>
        <v>-15.719999999999757</v>
      </c>
      <c r="AD992" s="147">
        <v>-0.29652426269079829</v>
      </c>
      <c r="AE992" s="1">
        <f t="shared" si="116"/>
        <v>-87291.949890175616</v>
      </c>
    </row>
    <row r="993" spans="29:31">
      <c r="AC993" s="146">
        <f t="shared" si="115"/>
        <v>-15.739999999999757</v>
      </c>
      <c r="AD993" s="147">
        <v>-0.29690152002246595</v>
      </c>
      <c r="AE993" s="1">
        <f t="shared" si="116"/>
        <v>-87403.008350595672</v>
      </c>
    </row>
    <row r="994" spans="29:31">
      <c r="AC994" s="146">
        <f t="shared" si="115"/>
        <v>-15.759999999999756</v>
      </c>
      <c r="AD994" s="147">
        <v>-0.29727877735413366</v>
      </c>
      <c r="AE994" s="1">
        <f t="shared" si="116"/>
        <v>-87514.066811015742</v>
      </c>
    </row>
    <row r="995" spans="29:31">
      <c r="AC995" s="146">
        <f t="shared" si="115"/>
        <v>-15.779999999999756</v>
      </c>
      <c r="AD995" s="147">
        <v>-0.29765603468580137</v>
      </c>
      <c r="AE995" s="1">
        <f t="shared" si="116"/>
        <v>-87625.125271435827</v>
      </c>
    </row>
    <row r="996" spans="29:31">
      <c r="AC996" s="146">
        <f t="shared" si="115"/>
        <v>-15.799999999999756</v>
      </c>
      <c r="AD996" s="147">
        <v>-0.29803329201746903</v>
      </c>
      <c r="AE996" s="1">
        <f t="shared" si="116"/>
        <v>-87736.183731855897</v>
      </c>
    </row>
    <row r="997" spans="29:31">
      <c r="AC997" s="146">
        <f t="shared" si="115"/>
        <v>-15.819999999999755</v>
      </c>
      <c r="AD997" s="147">
        <v>-0.29841054934913669</v>
      </c>
      <c r="AE997" s="1">
        <f t="shared" si="116"/>
        <v>-87847.242192275953</v>
      </c>
    </row>
    <row r="998" spans="29:31">
      <c r="AC998" s="146">
        <f t="shared" si="115"/>
        <v>-15.839999999999755</v>
      </c>
      <c r="AD998" s="147">
        <v>-0.2987878066808044</v>
      </c>
      <c r="AE998" s="1">
        <f t="shared" si="116"/>
        <v>-87958.300652696038</v>
      </c>
    </row>
    <row r="999" spans="29:31">
      <c r="AC999" s="146">
        <f t="shared" si="115"/>
        <v>-15.859999999999754</v>
      </c>
      <c r="AD999" s="147">
        <v>-0.29916506401247206</v>
      </c>
      <c r="AE999" s="1">
        <f t="shared" si="116"/>
        <v>-88069.359113116094</v>
      </c>
    </row>
    <row r="1000" spans="29:31">
      <c r="AC1000" s="146">
        <f t="shared" si="115"/>
        <v>-15.879999999999754</v>
      </c>
      <c r="AD1000" s="147">
        <v>-0.29954232134413972</v>
      </c>
      <c r="AE1000" s="1">
        <f t="shared" si="116"/>
        <v>-88180.417573536164</v>
      </c>
    </row>
    <row r="1001" spans="29:31">
      <c r="AC1001" s="146">
        <f t="shared" si="115"/>
        <v>-15.899999999999753</v>
      </c>
      <c r="AD1001" s="147">
        <v>-0.29991957867580749</v>
      </c>
      <c r="AE1001" s="1">
        <f t="shared" si="116"/>
        <v>-88291.476033956264</v>
      </c>
    </row>
    <row r="1002" spans="29:31">
      <c r="AC1002" s="146">
        <f t="shared" si="115"/>
        <v>-15.919999999999753</v>
      </c>
      <c r="AD1002" s="147">
        <v>-0.30029683600747514</v>
      </c>
      <c r="AE1002" s="1">
        <f t="shared" si="116"/>
        <v>-88402.534494376319</v>
      </c>
    </row>
    <row r="1003" spans="29:31">
      <c r="AC1003" s="146">
        <f t="shared" ref="AC1003:AC1006" si="117">AC1002-$AD$2</f>
        <v>-15.939999999999753</v>
      </c>
      <c r="AD1003" s="147">
        <v>-0.3006740933391428</v>
      </c>
      <c r="AE1003" s="1">
        <f t="shared" si="116"/>
        <v>-88513.59295479639</v>
      </c>
    </row>
    <row r="1004" spans="29:31">
      <c r="AC1004" s="146">
        <f t="shared" si="117"/>
        <v>-15.959999999999752</v>
      </c>
      <c r="AD1004" s="147">
        <v>-0.30105135067081046</v>
      </c>
      <c r="AE1004" s="1">
        <f t="shared" si="116"/>
        <v>-88624.65141521646</v>
      </c>
    </row>
    <row r="1005" spans="29:31">
      <c r="AC1005" s="146">
        <f t="shared" si="117"/>
        <v>-15.979999999999752</v>
      </c>
      <c r="AD1005" s="147">
        <v>-0.30142860800247817</v>
      </c>
      <c r="AE1005" s="1">
        <f t="shared" si="116"/>
        <v>-88735.70987563653</v>
      </c>
    </row>
    <row r="1006" spans="29:31">
      <c r="AC1006" s="148">
        <f t="shared" si="117"/>
        <v>-15.999999999999751</v>
      </c>
      <c r="AD1006" s="149">
        <v>-0.30180586533414583</v>
      </c>
      <c r="AE1006" s="1">
        <f t="shared" si="116"/>
        <v>-88846.768336056586</v>
      </c>
    </row>
    <row r="1007" spans="29:31">
      <c r="AC1007" s="212"/>
    </row>
    <row r="1008" spans="29:31">
      <c r="AC1008" s="212"/>
    </row>
    <row r="1009" spans="29:29">
      <c r="AC1009" s="212"/>
    </row>
    <row r="1010" spans="29:29">
      <c r="AC1010" s="212"/>
    </row>
    <row r="1011" spans="29:29">
      <c r="AC1011" s="212"/>
    </row>
    <row r="1012" spans="29:29">
      <c r="AC1012" s="212"/>
    </row>
    <row r="1013" spans="29:29">
      <c r="AC1013" s="212"/>
    </row>
    <row r="1014" spans="29:29">
      <c r="AC1014" s="212"/>
    </row>
    <row r="1015" spans="29:29">
      <c r="AC1015" s="212"/>
    </row>
    <row r="1016" spans="29:29">
      <c r="AC1016" s="212"/>
    </row>
    <row r="1017" spans="29:29">
      <c r="AC1017" s="212"/>
    </row>
    <row r="1018" spans="29:29">
      <c r="AC1018" s="212"/>
    </row>
    <row r="1019" spans="29:29">
      <c r="AC1019" s="212"/>
    </row>
    <row r="1020" spans="29:29">
      <c r="AC1020" s="212"/>
    </row>
    <row r="1021" spans="29:29">
      <c r="AC1021" s="212"/>
    </row>
    <row r="1022" spans="29:29">
      <c r="AC1022" s="212"/>
    </row>
    <row r="1023" spans="29:29">
      <c r="AC1023" s="212"/>
    </row>
    <row r="1024" spans="29:29">
      <c r="AC1024" s="212"/>
    </row>
    <row r="1025" spans="29:29">
      <c r="AC1025" s="212"/>
    </row>
    <row r="1026" spans="29:29">
      <c r="AC1026" s="212"/>
    </row>
    <row r="1027" spans="29:29">
      <c r="AC1027" s="212"/>
    </row>
    <row r="1028" spans="29:29">
      <c r="AC1028" s="212"/>
    </row>
    <row r="1029" spans="29:29">
      <c r="AC1029" s="212"/>
    </row>
    <row r="1030" spans="29:29">
      <c r="AC1030" s="212"/>
    </row>
    <row r="1031" spans="29:29">
      <c r="AC1031" s="212"/>
    </row>
    <row r="1032" spans="29:29">
      <c r="AC1032" s="212"/>
    </row>
    <row r="1033" spans="29:29">
      <c r="AC1033" s="212"/>
    </row>
    <row r="1034" spans="29:29">
      <c r="AC1034" s="212"/>
    </row>
    <row r="1035" spans="29:29">
      <c r="AC1035" s="212"/>
    </row>
    <row r="1036" spans="29:29">
      <c r="AC1036" s="212"/>
    </row>
    <row r="1037" spans="29:29">
      <c r="AC1037" s="212"/>
    </row>
    <row r="1038" spans="29:29">
      <c r="AC1038" s="212"/>
    </row>
    <row r="1039" spans="29:29">
      <c r="AC1039" s="212"/>
    </row>
    <row r="1040" spans="29:29">
      <c r="AC1040" s="212"/>
    </row>
    <row r="1041" spans="29:29">
      <c r="AC1041" s="212"/>
    </row>
    <row r="1042" spans="29:29">
      <c r="AC1042" s="212"/>
    </row>
    <row r="1043" spans="29:29">
      <c r="AC1043" s="212"/>
    </row>
    <row r="1044" spans="29:29">
      <c r="AC1044" s="212"/>
    </row>
    <row r="1045" spans="29:29">
      <c r="AC1045" s="212"/>
    </row>
    <row r="1046" spans="29:29">
      <c r="AC1046" s="212"/>
    </row>
    <row r="1047" spans="29:29">
      <c r="AC1047" s="212"/>
    </row>
  </sheetData>
  <scenarios current="0" show="0" sqref="E60">
    <scenario name="Angle d'incidence variable" locked="1" count="1" user="Korbinian Stadlberger" comment="Korbinian Stadlberger, 19.03.2009_x000a_Modifiziert von Korbinian Stadlberger am 19.03.2009">
      <inputCells r="C2" val="1"/>
    </scenario>
  </scenarios>
  <mergeCells count="24">
    <mergeCell ref="K57:L57"/>
    <mergeCell ref="E4:F4"/>
    <mergeCell ref="E13:F13"/>
    <mergeCell ref="E29:F29"/>
    <mergeCell ref="H57:I57"/>
    <mergeCell ref="E33:F33"/>
    <mergeCell ref="H4:I4"/>
    <mergeCell ref="H33:I33"/>
    <mergeCell ref="H13:I13"/>
    <mergeCell ref="H41:I41"/>
    <mergeCell ref="E41:F41"/>
    <mergeCell ref="D2:E2"/>
    <mergeCell ref="G10:H10"/>
    <mergeCell ref="B58:C58"/>
    <mergeCell ref="E57:F57"/>
    <mergeCell ref="E49:F49"/>
    <mergeCell ref="B4:C4"/>
    <mergeCell ref="B13:C13"/>
    <mergeCell ref="B33:C33"/>
    <mergeCell ref="B41:C41"/>
    <mergeCell ref="E19:F19"/>
    <mergeCell ref="E24:F24"/>
    <mergeCell ref="E14:F14"/>
    <mergeCell ref="B50:C50"/>
  </mergeCells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1:H73"/>
  <sheetViews>
    <sheetView tabSelected="1" topLeftCell="A27" workbookViewId="0">
      <selection activeCell="A50" sqref="A50:B53"/>
    </sheetView>
  </sheetViews>
  <sheetFormatPr baseColWidth="10" defaultRowHeight="12.75"/>
  <cols>
    <col min="1" max="1" width="34.140625" customWidth="1"/>
    <col min="2" max="2" width="16.85546875" customWidth="1"/>
    <col min="3" max="3" width="15.85546875" customWidth="1"/>
    <col min="5" max="5" width="14" customWidth="1"/>
    <col min="6" max="6" width="24.42578125" customWidth="1"/>
    <col min="7" max="7" width="13.140625" customWidth="1"/>
  </cols>
  <sheetData>
    <row r="1" spans="1:3">
      <c r="A1" s="235" t="s">
        <v>63</v>
      </c>
      <c r="B1" s="235"/>
      <c r="C1" s="235"/>
    </row>
    <row r="2" spans="1:3">
      <c r="A2" s="83" t="s">
        <v>62</v>
      </c>
      <c r="B2" s="243">
        <v>-2</v>
      </c>
      <c r="C2" s="244"/>
    </row>
    <row r="3" spans="1:3">
      <c r="A3" s="83" t="s">
        <v>61</v>
      </c>
      <c r="B3" s="243">
        <v>4</v>
      </c>
      <c r="C3" s="244"/>
    </row>
    <row r="4" spans="1:3">
      <c r="A4" s="83" t="s">
        <v>60</v>
      </c>
      <c r="B4" s="243">
        <f>MAX(ABS(B3),ABS(B2))</f>
        <v>4</v>
      </c>
      <c r="C4" s="244"/>
    </row>
    <row r="5" spans="1:3">
      <c r="A5" s="85"/>
      <c r="B5" s="58"/>
      <c r="C5" s="58"/>
    </row>
    <row r="6" spans="1:3">
      <c r="A6" s="83" t="s">
        <v>64</v>
      </c>
      <c r="B6" s="245">
        <v>3</v>
      </c>
      <c r="C6" s="245"/>
    </row>
    <row r="7" spans="1:3">
      <c r="A7" s="85"/>
      <c r="B7" s="58"/>
      <c r="C7" s="58"/>
    </row>
    <row r="8" spans="1:3">
      <c r="B8" s="84" t="s">
        <v>198</v>
      </c>
      <c r="C8" s="84" t="s">
        <v>59</v>
      </c>
    </row>
    <row r="9" spans="1:3">
      <c r="A9" s="235" t="s">
        <v>32</v>
      </c>
      <c r="B9" s="235"/>
      <c r="C9" s="235"/>
    </row>
    <row r="10" spans="1:3">
      <c r="A10" s="83" t="s">
        <v>221</v>
      </c>
      <c r="B10" s="88">
        <f>0.06*(Nz^0.032)*((MVOE_cible+CU)^0.66)*((b_voil/COS(RADIANS(Fleche50)))^1.16)/((Sext_voil^0.065)*((0.12*c_voil_emplanture)^0.098))</f>
        <v>2464.2974826723871</v>
      </c>
      <c r="C10" s="89"/>
    </row>
    <row r="11" spans="1:3">
      <c r="A11" s="83" t="s">
        <v>33</v>
      </c>
      <c r="B11" s="88">
        <f>1.9*((MVOE_cible+CU)^0.27)*(Sm_fus^0.798)*(LFus^0.246)/(Nz^0.125)</f>
        <v>892.37989630397738</v>
      </c>
      <c r="C11" s="89"/>
    </row>
    <row r="12" spans="1:3">
      <c r="A12" s="83" t="s">
        <v>34</v>
      </c>
      <c r="B12" s="88">
        <f>1.7*(Sext_emp^0.5)*(MTOW_cible^0.4)</f>
        <v>478.54560530886937</v>
      </c>
      <c r="C12" s="89"/>
    </row>
    <row r="13" spans="1:3">
      <c r="A13" s="83" t="s">
        <v>35</v>
      </c>
      <c r="B13" s="88">
        <f>N*(2+1)*MMoteur/9</f>
        <v>332.67453939401571</v>
      </c>
      <c r="C13" s="89"/>
    </row>
    <row r="14" spans="1:3">
      <c r="A14" s="83" t="s">
        <v>36</v>
      </c>
      <c r="B14" s="88">
        <f>0.045*((MVOE_cible+0.1*QI)^0.97)*Vz_atterrissage^0.16</f>
        <v>372.96015524547954</v>
      </c>
      <c r="C14" s="89">
        <f>3*(0.5*0.4*0.4)</f>
        <v>0.24000000000000005</v>
      </c>
    </row>
    <row r="15" spans="1:3">
      <c r="A15" s="83" t="s">
        <v>280</v>
      </c>
      <c r="B15" s="88">
        <f>Mvoilure+Mfuselage+B12+B13+B14</f>
        <v>4540.857678924729</v>
      </c>
      <c r="C15" s="89"/>
    </row>
    <row r="17" spans="1:3">
      <c r="A17" s="235" t="s">
        <v>37</v>
      </c>
      <c r="B17" s="235"/>
      <c r="C17" s="235"/>
    </row>
    <row r="18" spans="1:3">
      <c r="A18" s="83" t="s">
        <v>38</v>
      </c>
      <c r="B18" s="88">
        <f>N*MMoteur</f>
        <v>998.02361818204724</v>
      </c>
      <c r="C18" s="89"/>
    </row>
    <row r="19" spans="1:3">
      <c r="A19" s="83" t="s">
        <v>65</v>
      </c>
      <c r="B19" s="88">
        <f>7*PI()*(DTuyere/2)^2*LTuyere*N</f>
        <v>3.0748797417416123</v>
      </c>
      <c r="C19" s="89"/>
    </row>
    <row r="20" spans="1:3">
      <c r="A20" s="83" t="s">
        <v>66</v>
      </c>
      <c r="B20" s="88">
        <f>11*FDispo/1000</f>
        <v>25.344000000000001</v>
      </c>
      <c r="C20" s="89"/>
    </row>
    <row r="21" spans="1:3">
      <c r="A21" s="83" t="s">
        <v>39</v>
      </c>
      <c r="B21" s="88">
        <f>0.03*QI</f>
        <v>226.84506622893417</v>
      </c>
      <c r="C21" s="89"/>
    </row>
    <row r="22" spans="1:3">
      <c r="A22" s="83" t="s">
        <v>40</v>
      </c>
      <c r="B22" s="88">
        <f>0.013*QI</f>
        <v>98.299528699204814</v>
      </c>
      <c r="C22" s="89"/>
    </row>
    <row r="23" spans="1:3">
      <c r="A23" s="83" t="s">
        <v>281</v>
      </c>
      <c r="B23" s="88">
        <f>B18+B19+B20+B21+B22</f>
        <v>1351.5870928519278</v>
      </c>
      <c r="C23" s="89"/>
    </row>
    <row r="25" spans="1:3">
      <c r="A25" s="235" t="s">
        <v>41</v>
      </c>
      <c r="B25" s="235"/>
      <c r="C25" s="235"/>
    </row>
    <row r="26" spans="1:3">
      <c r="A26" s="83" t="s">
        <v>42</v>
      </c>
      <c r="B26" s="88">
        <f>0.0708*MTOW_cible</f>
        <v>1219.543726429888</v>
      </c>
      <c r="C26" s="89">
        <f>0.001*B26/0.485</f>
        <v>2.51452314727812</v>
      </c>
    </row>
    <row r="27" spans="1:3">
      <c r="A27" s="83" t="s">
        <v>43</v>
      </c>
      <c r="B27" s="88">
        <v>100</v>
      </c>
      <c r="C27" s="89">
        <v>0.1</v>
      </c>
    </row>
    <row r="28" spans="1:3">
      <c r="A28" s="83" t="s">
        <v>44</v>
      </c>
      <c r="B28" s="88">
        <f>1.1*(3*Sext_voil+15*Sext_emp)</f>
        <v>996.70317153206895</v>
      </c>
      <c r="C28" s="89">
        <f>0.001*B28/0.66</f>
        <v>1.5101563205031348</v>
      </c>
    </row>
    <row r="29" spans="1:3">
      <c r="A29" s="83" t="s">
        <v>45</v>
      </c>
      <c r="B29" s="88">
        <v>50</v>
      </c>
      <c r="C29" s="89">
        <v>0.04</v>
      </c>
    </row>
    <row r="30" spans="1:3">
      <c r="A30" s="83" t="s">
        <v>46</v>
      </c>
      <c r="B30" s="88">
        <v>90</v>
      </c>
      <c r="C30" s="89">
        <v>0.09</v>
      </c>
    </row>
    <row r="31" spans="1:3">
      <c r="A31" s="83" t="s">
        <v>282</v>
      </c>
      <c r="B31" s="88">
        <f>B26+B27+M_cdv+B29+B30</f>
        <v>2456.2468979619571</v>
      </c>
      <c r="C31" s="89"/>
    </row>
    <row r="33" spans="1:7">
      <c r="A33" s="235" t="s">
        <v>47</v>
      </c>
      <c r="B33" s="235"/>
      <c r="C33" s="235"/>
    </row>
    <row r="34" spans="1:7">
      <c r="A34" s="83" t="s">
        <v>48</v>
      </c>
      <c r="B34" s="88">
        <v>0</v>
      </c>
      <c r="C34" s="89"/>
    </row>
    <row r="35" spans="1:7">
      <c r="A35" s="83" t="s">
        <v>49</v>
      </c>
      <c r="B35" s="88">
        <v>20</v>
      </c>
      <c r="C35" s="89"/>
    </row>
    <row r="36" spans="1:7">
      <c r="A36" s="83" t="s">
        <v>50</v>
      </c>
      <c r="B36" s="88">
        <v>15</v>
      </c>
      <c r="C36" s="89"/>
    </row>
    <row r="37" spans="1:7">
      <c r="A37" s="83" t="s">
        <v>283</v>
      </c>
      <c r="B37" s="88">
        <f>B34+B35+B36</f>
        <v>35</v>
      </c>
      <c r="C37" s="89"/>
    </row>
    <row r="38" spans="1:7">
      <c r="B38" s="87"/>
      <c r="C38" s="86"/>
    </row>
    <row r="39" spans="1:7">
      <c r="A39" s="83" t="s">
        <v>51</v>
      </c>
      <c r="B39" s="88">
        <f>M_planeur+M_propu+M_systemes+M_amenagement</f>
        <v>8383.691669738615</v>
      </c>
      <c r="C39" s="89"/>
    </row>
    <row r="40" spans="1:7">
      <c r="B40" s="87"/>
      <c r="C40" s="86"/>
    </row>
    <row r="41" spans="1:7">
      <c r="A41" s="83" t="s">
        <v>52</v>
      </c>
      <c r="B41" s="88">
        <v>0</v>
      </c>
      <c r="C41" s="89"/>
    </row>
    <row r="42" spans="1:7">
      <c r="B42" s="87"/>
      <c r="C42" s="86"/>
    </row>
    <row r="43" spans="1:7">
      <c r="A43" s="83" t="s">
        <v>53</v>
      </c>
      <c r="B43" s="88">
        <f>MVIDE+B41</f>
        <v>8383.691669738615</v>
      </c>
      <c r="C43" s="89"/>
    </row>
    <row r="44" spans="1:7">
      <c r="B44" s="87"/>
      <c r="C44" s="86"/>
    </row>
    <row r="45" spans="1:7">
      <c r="A45" s="83" t="s">
        <v>54</v>
      </c>
      <c r="B45" s="88">
        <v>0</v>
      </c>
      <c r="C45" s="89"/>
    </row>
    <row r="46" spans="1:7">
      <c r="B46" s="87"/>
      <c r="C46" s="86"/>
      <c r="E46" s="83" t="s">
        <v>246</v>
      </c>
      <c r="F46" s="83" t="s">
        <v>31</v>
      </c>
      <c r="G46" s="83" t="s">
        <v>247</v>
      </c>
    </row>
    <row r="47" spans="1:7">
      <c r="A47" s="83" t="s">
        <v>55</v>
      </c>
      <c r="B47" s="88">
        <f>MVIDEEQUIPE+MEQUIPAGE</f>
        <v>8383.691669738615</v>
      </c>
      <c r="C47" s="89"/>
      <c r="E47" s="84">
        <v>8383.6916684972221</v>
      </c>
      <c r="F47" s="84">
        <f>MVOE-MVOE_cible</f>
        <v>1.2413929653121158E-6</v>
      </c>
      <c r="G47" s="88">
        <f>MVOE_cible+CU+QI</f>
        <v>17225.19387612836</v>
      </c>
    </row>
    <row r="49" spans="1:8">
      <c r="A49" s="235" t="s">
        <v>56</v>
      </c>
      <c r="B49" s="235"/>
      <c r="C49" s="235"/>
    </row>
    <row r="50" spans="1:8">
      <c r="A50" s="83" t="s">
        <v>16</v>
      </c>
      <c r="B50" s="88">
        <f>2*350</f>
        <v>700</v>
      </c>
      <c r="C50" s="89">
        <f>0.3+2*0.4*0.35</f>
        <v>0.57999999999999996</v>
      </c>
    </row>
    <row r="51" spans="1:8">
      <c r="A51" s="83" t="s">
        <v>17</v>
      </c>
      <c r="B51" s="88">
        <f>300</f>
        <v>300</v>
      </c>
      <c r="C51" s="89">
        <v>2</v>
      </c>
    </row>
    <row r="52" spans="1:8">
      <c r="A52" s="83" t="s">
        <v>67</v>
      </c>
      <c r="B52" s="88">
        <f>280</f>
        <v>280</v>
      </c>
      <c r="C52" s="89">
        <f>1*PI()*(1/2)^2</f>
        <v>0.78539816339744828</v>
      </c>
    </row>
    <row r="53" spans="1:8">
      <c r="A53" s="83" t="s">
        <v>242</v>
      </c>
      <c r="B53" s="88">
        <f>M_radar+M_ecoute+M_satcom</f>
        <v>1280</v>
      </c>
      <c r="C53" s="89">
        <f>SUM(C50:C52)</f>
        <v>3.3653981633974484</v>
      </c>
    </row>
    <row r="54" spans="1:8">
      <c r="B54" s="87"/>
      <c r="C54" s="86"/>
    </row>
    <row r="55" spans="1:8">
      <c r="A55" s="235" t="s">
        <v>57</v>
      </c>
      <c r="B55" s="235"/>
      <c r="C55" s="235"/>
      <c r="E55" s="83" t="s">
        <v>68</v>
      </c>
      <c r="F55" s="83" t="s">
        <v>70</v>
      </c>
      <c r="G55" s="83" t="s">
        <v>69</v>
      </c>
      <c r="H55" s="83" t="s">
        <v>262</v>
      </c>
    </row>
    <row r="56" spans="1:8">
      <c r="A56" s="83" t="s">
        <v>221</v>
      </c>
      <c r="B56" s="88">
        <f>C56*0.795*1000</f>
        <v>4796.3192099495427</v>
      </c>
      <c r="C56" s="89">
        <f>H_carburant*(S_1_reservoir+S_2_reservoir+SQRT(S_1_reservoir*S_2_reservoir))/3</f>
        <v>6.0331059244648335</v>
      </c>
      <c r="E56" s="84">
        <f>0.35*c_voil_emplanture*0.12*c_voil_emplanture</f>
        <v>0.4783448442200931</v>
      </c>
      <c r="F56" s="84">
        <f>(1/3)*c_voil_emplanture+(2/3)*c_voil_saumon</f>
        <v>1.9798729245845728</v>
      </c>
      <c r="G56" s="84">
        <f>0.35*c_voil_boutreservoir*0.12*c_voil_boutreservoir</f>
        <v>0.1646356654951289</v>
      </c>
      <c r="H56" s="84">
        <f>2/3*((b_voil-DFus)/2)</f>
        <v>19.596288331286107</v>
      </c>
    </row>
    <row r="57" spans="1:8">
      <c r="A57" s="83" t="s">
        <v>33</v>
      </c>
      <c r="B57" s="88">
        <f>C57*0.795*1000</f>
        <v>2765.182997681597</v>
      </c>
      <c r="C57" s="89">
        <f>L_reservoir*(PI()*((DFus-0.1)/2)^2)</f>
        <v>3.4782176071466631</v>
      </c>
    </row>
    <row r="58" spans="1:8">
      <c r="A58" s="83" t="s">
        <v>242</v>
      </c>
      <c r="B58" s="88">
        <f>SUM(B56:B57)</f>
        <v>7561.5022076311398</v>
      </c>
      <c r="C58" s="89">
        <f>SUM(C56:C57)</f>
        <v>9.511323531611497</v>
      </c>
      <c r="E58" s="120"/>
    </row>
    <row r="59" spans="1:8">
      <c r="B59" s="87"/>
      <c r="C59" s="86"/>
    </row>
    <row r="61" spans="1:8">
      <c r="A61" s="83" t="s">
        <v>71</v>
      </c>
      <c r="B61" s="90"/>
      <c r="C61" s="90">
        <f>SMaitreCouple_fus*LFus</f>
        <v>23.012720948178846</v>
      </c>
    </row>
    <row r="62" spans="1:8">
      <c r="A62" s="83" t="s">
        <v>72</v>
      </c>
      <c r="B62" s="90"/>
      <c r="C62" s="91">
        <f>C14+SUM(C26:C30)+SUM(C50:C53)+C57</f>
        <v>14.703693401722814</v>
      </c>
    </row>
    <row r="63" spans="1:8">
      <c r="A63" s="83" t="s">
        <v>73</v>
      </c>
      <c r="B63" s="90"/>
      <c r="C63" s="92" t="str">
        <f>IF(Volume&lt;Vol_dispo,"OK","PROBLEME")</f>
        <v>OK</v>
      </c>
    </row>
    <row r="65" spans="1:4">
      <c r="A65" s="83" t="s">
        <v>58</v>
      </c>
      <c r="B65" s="88">
        <f>MVOE+CU+QI</f>
        <v>17225.193877369755</v>
      </c>
      <c r="C65" s="89"/>
    </row>
    <row r="66" spans="1:4">
      <c r="A66" s="83" t="s">
        <v>74</v>
      </c>
      <c r="B66" s="88">
        <f ca="1">Montée!B38</f>
        <v>14693.187260897281</v>
      </c>
      <c r="C66" s="84"/>
      <c r="D66" s="88">
        <f>MVOE+CU+0.85*QI</f>
        <v>16090.968546225084</v>
      </c>
    </row>
    <row r="67" spans="1:4">
      <c r="A67" s="125" t="s">
        <v>316</v>
      </c>
      <c r="B67" s="87">
        <f>MVOE+CU</f>
        <v>9663.691669738615</v>
      </c>
      <c r="C67" s="106"/>
    </row>
    <row r="68" spans="1:4">
      <c r="A68" s="125" t="s">
        <v>313</v>
      </c>
      <c r="B68" s="88">
        <f>MVOE+CU+0.4*QI</f>
        <v>12688.29255279107</v>
      </c>
      <c r="C68" s="106"/>
    </row>
    <row r="69" spans="1:4">
      <c r="A69" s="85"/>
      <c r="B69" s="105"/>
      <c r="C69" s="106"/>
    </row>
    <row r="70" spans="1:4">
      <c r="A70" s="83" t="s">
        <v>291</v>
      </c>
      <c r="B70" s="107">
        <v>1</v>
      </c>
      <c r="C70" s="106"/>
    </row>
    <row r="71" spans="1:4">
      <c r="A71" s="83" t="s">
        <v>290</v>
      </c>
      <c r="B71" s="88">
        <f>MVOE+CU+Taux_remplissage*QI</f>
        <v>17225.193877369755</v>
      </c>
    </row>
    <row r="73" spans="1:4">
      <c r="A73" s="222" t="s">
        <v>408</v>
      </c>
      <c r="B73" s="84">
        <f ca="1">MVOE+CU+Taux_remplissage_microisiere*QI</f>
        <v>12131.959671612789</v>
      </c>
    </row>
  </sheetData>
  <mergeCells count="11">
    <mergeCell ref="A1:C1"/>
    <mergeCell ref="B2:C2"/>
    <mergeCell ref="B3:C3"/>
    <mergeCell ref="B4:C4"/>
    <mergeCell ref="B6:C6"/>
    <mergeCell ref="A55:C55"/>
    <mergeCell ref="A25:C25"/>
    <mergeCell ref="A17:C17"/>
    <mergeCell ref="A33:C33"/>
    <mergeCell ref="A9:C9"/>
    <mergeCell ref="A49:C49"/>
  </mergeCells>
  <phoneticPr fontId="2" type="noConversion"/>
  <conditionalFormatting sqref="C63">
    <cfRule type="expression" dxfId="10" priority="1" stopIfTrue="1">
      <formula>$C$62&lt;$C$61</formula>
    </cfRule>
    <cfRule type="expression" dxfId="9" priority="2" stopIfTrue="1">
      <formula>$C$62&gt;$C$61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A2:H61"/>
  <sheetViews>
    <sheetView topLeftCell="A25" workbookViewId="0">
      <selection activeCell="B58" sqref="B58"/>
    </sheetView>
  </sheetViews>
  <sheetFormatPr baseColWidth="10" defaultRowHeight="12.75"/>
  <cols>
    <col min="1" max="1" width="32.28515625" customWidth="1"/>
    <col min="2" max="2" width="28.28515625" style="86" customWidth="1"/>
    <col min="3" max="3" width="27" style="86" customWidth="1"/>
    <col min="5" max="5" width="19.5703125" customWidth="1"/>
    <col min="8" max="8" width="15" customWidth="1"/>
  </cols>
  <sheetData>
    <row r="2" spans="1:8">
      <c r="B2" s="89" t="s">
        <v>252</v>
      </c>
      <c r="C2" s="89" t="s">
        <v>261</v>
      </c>
    </row>
    <row r="3" spans="1:8">
      <c r="A3" s="235" t="s">
        <v>32</v>
      </c>
      <c r="B3" s="235"/>
      <c r="C3" s="235"/>
      <c r="H3" s="118" t="s">
        <v>306</v>
      </c>
    </row>
    <row r="4" spans="1:8">
      <c r="A4" s="83" t="s">
        <v>221</v>
      </c>
      <c r="B4" s="86">
        <f>x_debut_voilure+(1/3)*(b_voil/2)*TAN(RADIANS(Fleche0))+0.4*((2/3)*c_voil_emplanture+(1/3)*c_voil_saumon)</f>
        <v>7.8728431613623613</v>
      </c>
      <c r="C4" s="89">
        <f>x_debut_voilure</f>
        <v>5.9238199668681943</v>
      </c>
      <c r="G4">
        <f>x_debut_voilure+(1/3)*b_voil/2*TAN(RADIANS(Fleche0))+0.4*((2/3)*c_voil_emplanture+(1/3)*c_voil_saumon)</f>
        <v>7.8728431613623613</v>
      </c>
      <c r="H4" s="86">
        <f>x_debut_voilure+1/2*c_voil_emplanture+1/3*b_voil*TAN(RADIANS(Fleche50))+0.1*(1/3*c_voil_saumon+2/3*c_voil_emplanture)</f>
        <v>8.9038994966504372</v>
      </c>
    </row>
    <row r="5" spans="1:8">
      <c r="A5" s="83" t="s">
        <v>33</v>
      </c>
      <c r="B5" s="89">
        <f>(LFus^2+LFus*x_debut_tuyere+x_debut_tuyere^2)/(3*(LFus+x_debut_tuyere-x_debut_voilure))</f>
        <v>8.6834858089985403</v>
      </c>
      <c r="C5" s="89">
        <v>0</v>
      </c>
    </row>
    <row r="6" spans="1:8">
      <c r="A6" s="83" t="s">
        <v>34</v>
      </c>
      <c r="B6" s="86">
        <f>x_debut_empennage+(1/3)*(b_emp/2)*TAN(RADIANS(Fleche0_emp))+0.4*((2/3)*c_emp_emplanture+(1/3)*c_emp_saumon)</f>
        <v>13.465494185877436</v>
      </c>
      <c r="C6" s="89">
        <f>x_debut_empennage</f>
        <v>12.48407467088173</v>
      </c>
      <c r="G6">
        <f>x_debut_empennage+(1/3)*(b_emp/2)*TAN(RADIANS(Fleche0_emp))+0.4*((2/3)*c_emp_emplanture+(1/3)*c_emp_saumon)</f>
        <v>13.465494185877436</v>
      </c>
      <c r="H6" s="86">
        <f>x_debut_empennage+1/2*c_emp_emplanture+1/3*b_emp*TAN(RADIANS(Fleche50_emp))+0.1*(1/3*c_emp_saumon+2/3*c_emp_emplanture)</f>
        <v>14.022633610614472</v>
      </c>
    </row>
    <row r="7" spans="1:8">
      <c r="A7" s="83" t="s">
        <v>260</v>
      </c>
      <c r="B7" s="89">
        <f>x_debut_moteur-LMancheAir+1/3*LNac</f>
        <v>11.051430069102375</v>
      </c>
      <c r="C7" s="89">
        <f>x_debut_moteur-LMancheAir</f>
        <v>9.922369222669106</v>
      </c>
      <c r="E7">
        <f>x_debut_moteur-LMancheAir+LMoteur/2</f>
        <v>10.950960492319009</v>
      </c>
    </row>
    <row r="8" spans="1:8">
      <c r="A8" s="83" t="s">
        <v>36</v>
      </c>
      <c r="B8" s="89">
        <f>0.1*x_trainauxiliaire+0.9*x_trainprincipal</f>
        <v>7.36941915741399</v>
      </c>
      <c r="C8" s="89"/>
    </row>
    <row r="9" spans="1:8">
      <c r="A9" s="83" t="s">
        <v>242</v>
      </c>
      <c r="B9" s="89">
        <f>(x_cdg_voil*Mvoilure+x_cdg_fus*Mfuselage+x_cdg_emp*Masses!B12+x_cdg_nac*Masses!B13+x_cdg_att*Masses!B14)/M_planeur</f>
        <v>8.8130658933475132</v>
      </c>
      <c r="C9" s="89"/>
    </row>
    <row r="11" spans="1:8">
      <c r="A11" s="235" t="s">
        <v>37</v>
      </c>
      <c r="B11" s="235"/>
      <c r="C11" s="235"/>
    </row>
    <row r="12" spans="1:8">
      <c r="A12" s="83" t="s">
        <v>38</v>
      </c>
      <c r="B12" s="89">
        <f>x_debut_moteur+0.4*LMoteur</f>
        <v>11.575242238389029</v>
      </c>
      <c r="C12" s="89">
        <f>x_debut_moteur</f>
        <v>10.752369222669106</v>
      </c>
    </row>
    <row r="13" spans="1:8">
      <c r="A13" s="83" t="s">
        <v>65</v>
      </c>
      <c r="B13" s="89">
        <f>x_debut_tuyere+1/2*LTuyere</f>
        <v>13.059551761968912</v>
      </c>
      <c r="C13" s="89">
        <f>x_debut_tuyere</f>
        <v>12.809551761968912</v>
      </c>
    </row>
    <row r="14" spans="1:8">
      <c r="A14" s="83" t="s">
        <v>39</v>
      </c>
      <c r="B14" s="89">
        <f>x_carb_total</f>
        <v>8.404495923030364</v>
      </c>
      <c r="C14" s="89"/>
    </row>
    <row r="15" spans="1:8">
      <c r="A15" s="83" t="s">
        <v>40</v>
      </c>
      <c r="B15" s="89">
        <f>x_carb_total</f>
        <v>8.404495923030364</v>
      </c>
      <c r="C15" s="89"/>
    </row>
    <row r="16" spans="1:8">
      <c r="A16" s="83" t="s">
        <v>242</v>
      </c>
      <c r="B16" s="89">
        <f>(x_cdg_moteur*(Masses!B18+Masses!B20)+x_cdg_tuy*Masses!B19+x_cdg_circuitcomb*Masses!B21+x_cdg_inconsommables*Masses!B22)/M_propu</f>
        <v>10.81584836841879</v>
      </c>
      <c r="C16" s="89"/>
    </row>
    <row r="18" spans="1:3">
      <c r="A18" s="235" t="s">
        <v>41</v>
      </c>
      <c r="B18" s="235"/>
      <c r="C18" s="235"/>
    </row>
    <row r="19" spans="1:3">
      <c r="A19" s="83" t="s">
        <v>42</v>
      </c>
      <c r="B19" s="89">
        <f>x_cdg_avion_cile</f>
        <v>8.4032171320388223</v>
      </c>
      <c r="C19" s="89"/>
    </row>
    <row r="20" spans="1:3">
      <c r="A20" s="83" t="s">
        <v>43</v>
      </c>
      <c r="B20" s="89">
        <f>x_cdg_avion_cile</f>
        <v>8.4032171320388223</v>
      </c>
      <c r="C20" s="89"/>
    </row>
    <row r="21" spans="1:3">
      <c r="A21" s="83" t="s">
        <v>44</v>
      </c>
      <c r="B21" s="89">
        <f>(0.3*M_cdv*x_cdg_soute+2.31*Sext_voil*x_cdg_voil+11.55*Sext_emp*(x_debut_empennage+0.2*c_emp_emplanture))/(0.3*M_cdv+2.31*Sext_voil+11.55*Sext_emp)</f>
        <v>9.8980882763046836</v>
      </c>
      <c r="C21" s="89"/>
    </row>
    <row r="22" spans="1:3">
      <c r="A22" s="83" t="s">
        <v>45</v>
      </c>
      <c r="B22" s="89">
        <f>x_cdg_soute</f>
        <v>8.4032171320388223</v>
      </c>
      <c r="C22" s="89"/>
    </row>
    <row r="23" spans="1:3">
      <c r="A23" s="83" t="s">
        <v>46</v>
      </c>
      <c r="B23" s="89">
        <f>x_cdg_avion_cile</f>
        <v>8.4032171320388223</v>
      </c>
      <c r="C23" s="89"/>
    </row>
    <row r="24" spans="1:3">
      <c r="A24" s="83" t="s">
        <v>242</v>
      </c>
      <c r="B24" s="89">
        <f>(x_cdg_serv*Masses!B26+x_cdg_soute*Masses!B27+x_cdg_nav*M_cdv+Centrage!B22*Masses!B29+Centrage!B23*Masses!B30)/M_systemes</f>
        <v>9.0098103909485108</v>
      </c>
      <c r="C24" s="89"/>
    </row>
    <row r="26" spans="1:3">
      <c r="A26" s="235" t="s">
        <v>47</v>
      </c>
      <c r="B26" s="235"/>
      <c r="C26" s="235"/>
    </row>
    <row r="27" spans="1:3">
      <c r="A27" s="83" t="s">
        <v>48</v>
      </c>
      <c r="B27" s="89">
        <f>x_cdg_avion_cile</f>
        <v>8.4032171320388223</v>
      </c>
      <c r="C27" s="89"/>
    </row>
    <row r="28" spans="1:3">
      <c r="A28" s="83" t="s">
        <v>49</v>
      </c>
      <c r="B28" s="89">
        <f>x_cdg_fus</f>
        <v>8.6834858089985403</v>
      </c>
      <c r="C28" s="89"/>
    </row>
    <row r="29" spans="1:3">
      <c r="A29" s="83" t="s">
        <v>50</v>
      </c>
      <c r="B29" s="89">
        <f>x_cdg_fus</f>
        <v>8.6834858089985403</v>
      </c>
      <c r="C29" s="89"/>
    </row>
    <row r="30" spans="1:3">
      <c r="A30" s="83" t="s">
        <v>242</v>
      </c>
      <c r="B30" s="89">
        <f>(B27*Masses!B34+Centrage!B28*Masses!B35+Centrage!B29*Masses!B36)/M_amenagement</f>
        <v>8.6834858089985403</v>
      </c>
      <c r="C30" s="89"/>
    </row>
    <row r="32" spans="1:3">
      <c r="A32" s="83" t="s">
        <v>275</v>
      </c>
      <c r="B32" s="89">
        <f>(x_cdg_planeur*M_planeur+x_cdg_propu*M_propu+x_cdg_systemes*M_systemes+x_cdg_amenagement*M_amenagement)/MVIDE</f>
        <v>9.1930479856716474</v>
      </c>
      <c r="C32" s="89"/>
    </row>
    <row r="34" spans="1:5">
      <c r="A34" s="83" t="s">
        <v>276</v>
      </c>
      <c r="B34" s="89">
        <v>0</v>
      </c>
      <c r="C34" s="89"/>
    </row>
    <row r="36" spans="1:5">
      <c r="A36" s="83" t="s">
        <v>277</v>
      </c>
      <c r="B36" s="89">
        <f>B32</f>
        <v>9.1930479856716474</v>
      </c>
      <c r="C36" s="89"/>
    </row>
    <row r="38" spans="1:5">
      <c r="A38" s="83" t="s">
        <v>278</v>
      </c>
      <c r="B38" s="89">
        <v>0</v>
      </c>
      <c r="C38" s="89"/>
    </row>
    <row r="40" spans="1:5">
      <c r="A40" s="83" t="s">
        <v>279</v>
      </c>
      <c r="B40" s="89">
        <f>B32</f>
        <v>9.1930479856716474</v>
      </c>
      <c r="C40" s="89"/>
    </row>
    <row r="42" spans="1:5">
      <c r="A42" s="235" t="s">
        <v>56</v>
      </c>
      <c r="B42" s="235"/>
      <c r="C42" s="235"/>
    </row>
    <row r="43" spans="1:5">
      <c r="A43" s="83" t="s">
        <v>16</v>
      </c>
      <c r="B43" s="89">
        <f>1/2*L_radar+x_debut_radar</f>
        <v>2.5</v>
      </c>
      <c r="C43" s="89"/>
    </row>
    <row r="44" spans="1:5">
      <c r="A44" s="83" t="s">
        <v>17</v>
      </c>
      <c r="B44" s="89">
        <f>x_debut_ecoute+1/2*L_ecoute</f>
        <v>3.0625</v>
      </c>
      <c r="C44" s="89"/>
    </row>
    <row r="45" spans="1:5">
      <c r="A45" s="83" t="s">
        <v>67</v>
      </c>
      <c r="B45" s="89">
        <f>x_debut_satcom+1/2*L_satcom</f>
        <v>5.2</v>
      </c>
      <c r="C45" s="89"/>
    </row>
    <row r="46" spans="1:5">
      <c r="A46" s="83" t="s">
        <v>242</v>
      </c>
      <c r="B46" s="89">
        <f>(M_radar*x_cdg_radar+M_ecoute*x_cdg_ecoute+M_satcom*x_cdg_satcom)/(CU)</f>
        <v>3.2224609375000002</v>
      </c>
      <c r="C46" s="89"/>
    </row>
    <row r="48" spans="1:5">
      <c r="A48" s="235" t="s">
        <v>57</v>
      </c>
      <c r="B48" s="235"/>
      <c r="C48" s="235"/>
      <c r="E48" s="83" t="s">
        <v>263</v>
      </c>
    </row>
    <row r="49" spans="1:6">
      <c r="A49" s="83" t="s">
        <v>221</v>
      </c>
      <c r="B49" s="89">
        <f>x_debut_voilure+1/2*c_voil_emplanture+Ycg_carburant*TAN(RADIANS(Fleche50))</f>
        <v>8.0301464005295227</v>
      </c>
      <c r="C49" s="89"/>
      <c r="E49" s="84">
        <f>(H_carburant/3)*(S_1_reservoir+2*S_2_reservoir)/(S_1_reservoir+S_2_reservoir)</f>
        <v>8.2046444598256034</v>
      </c>
    </row>
    <row r="50" spans="1:6">
      <c r="A50" s="83" t="s">
        <v>33</v>
      </c>
      <c r="B50" s="89">
        <f>1/2*L_reservoir+x_debut_reservoir</f>
        <v>9.0538199668681933</v>
      </c>
      <c r="C50" s="89"/>
    </row>
    <row r="51" spans="1:6">
      <c r="A51" s="83" t="s">
        <v>242</v>
      </c>
      <c r="B51" s="89">
        <f>(M_carb_voil*x_carb_voil+M_carb_fus*x_carb_fus)/QI</f>
        <v>8.404495923030364</v>
      </c>
      <c r="C51" s="89"/>
    </row>
    <row r="52" spans="1:6">
      <c r="E52" s="83" t="s">
        <v>286</v>
      </c>
      <c r="F52" s="83" t="s">
        <v>287</v>
      </c>
    </row>
    <row r="53" spans="1:6">
      <c r="A53" s="83" t="s">
        <v>284</v>
      </c>
      <c r="B53" s="224">
        <f>(x_cdg_vide*MVOE+x_cdg_CU*CU+x_carb_total*QI)/MTOW</f>
        <v>8.4032171320388223</v>
      </c>
      <c r="C53" s="89"/>
      <c r="E53" s="84">
        <v>8.4032171320388223</v>
      </c>
      <c r="F53" s="84">
        <f>x_cdg_avion-x_cdg_avion_cile</f>
        <v>0</v>
      </c>
    </row>
    <row r="54" spans="1:6">
      <c r="A54" s="83" t="s">
        <v>285</v>
      </c>
      <c r="B54" s="224">
        <f ca="1">(x_cdg_vide*MVOE+x_cdg_CU*CU+x_carb_total*0.85*QI)/M_debut_croisiere</f>
        <v>9.2025269753040195</v>
      </c>
      <c r="C54" s="89"/>
    </row>
    <row r="55" spans="1:6">
      <c r="A55" s="125" t="s">
        <v>315</v>
      </c>
      <c r="B55" s="224">
        <f>(x_cdg_vide*MVOE+x_cdg_CU*CU)/Masse_avion_remplissage_0</f>
        <v>8.4022165226199679</v>
      </c>
      <c r="C55" s="126"/>
    </row>
    <row r="56" spans="1:6">
      <c r="A56" s="125" t="s">
        <v>314</v>
      </c>
      <c r="B56" s="224">
        <f>(x_cdg_vide*MVOE+x_cdg_CU*CU+x_carb_total*0.4*QI)/Masse_avion_remplissage_40</f>
        <v>8.402759879928718</v>
      </c>
      <c r="C56" s="126"/>
    </row>
    <row r="58" spans="1:6">
      <c r="A58" s="83" t="s">
        <v>292</v>
      </c>
      <c r="B58" s="89">
        <f>(x_cdg_vide*MVOE+x_cdg_CU*CU+x_carb_total*Taux_remplissage*QI)/Masse_avion_remplissage_quelconque</f>
        <v>8.4032171320388223</v>
      </c>
    </row>
    <row r="60" spans="1:6">
      <c r="A60" s="125" t="s">
        <v>409</v>
      </c>
      <c r="B60" s="89">
        <f ca="1">(x_cdg_vide*MVOE+x_cdg_CU*CU+x_carb_total*Taux_remplissage_microisiere*QI)/Masse_avion_remplissage_microisiere</f>
        <v>8.4026802705427048</v>
      </c>
    </row>
    <row r="61" spans="1:6">
      <c r="B61" s="126"/>
    </row>
  </sheetData>
  <mergeCells count="6">
    <mergeCell ref="A42:C42"/>
    <mergeCell ref="A48:C48"/>
    <mergeCell ref="A3:C3"/>
    <mergeCell ref="A11:C11"/>
    <mergeCell ref="A18:C18"/>
    <mergeCell ref="A26:C26"/>
  </mergeCells>
  <phoneticPr fontId="2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A1:L39"/>
  <sheetViews>
    <sheetView workbookViewId="0">
      <selection activeCell="A29" sqref="A29:B30"/>
    </sheetView>
  </sheetViews>
  <sheetFormatPr baseColWidth="10" defaultRowHeight="12.75"/>
  <cols>
    <col min="1" max="1" width="34.42578125" customWidth="1"/>
    <col min="2" max="2" width="29.5703125" style="99" customWidth="1"/>
    <col min="3" max="3" width="35.28515625" customWidth="1"/>
    <col min="4" max="4" width="27.28515625" customWidth="1"/>
  </cols>
  <sheetData>
    <row r="1" spans="1:12">
      <c r="A1" s="248" t="s">
        <v>87</v>
      </c>
      <c r="B1" s="248"/>
      <c r="E1" s="86"/>
    </row>
    <row r="2" spans="1:12">
      <c r="A2" s="112" t="s">
        <v>296</v>
      </c>
      <c r="B2" s="116">
        <f>Czalpha_emp</f>
        <v>1.0807626447462815</v>
      </c>
      <c r="E2" s="86"/>
    </row>
    <row r="3" spans="1:12">
      <c r="A3" s="115" t="s">
        <v>288</v>
      </c>
      <c r="B3" s="117">
        <f>x_debut_empennage+0.25*CMA_emp+TAN(RADIANS(Fleche0_emp))*(Y_cma_emp+DFus/2)</f>
        <v>13.370513738177994</v>
      </c>
      <c r="K3">
        <f>x_debut_empennage+0.25*CMA_emp+TAN(RADIANS(Fleche0_emp))*(Y_cma_emp+DFus/2)</f>
        <v>13.370513738177994</v>
      </c>
      <c r="L3" s="98">
        <f>x_debut_empennage+1/2*c_emp_emplanture+Y_cma_emp*TAN(RADIANS(Fleche50_emp))-0.25*CMA_emp</f>
        <v>13.330578754303305</v>
      </c>
    </row>
    <row r="4" spans="1:12">
      <c r="C4" s="97"/>
      <c r="D4" s="97"/>
      <c r="K4" s="86"/>
    </row>
    <row r="5" spans="1:12">
      <c r="A5" s="248" t="s">
        <v>95</v>
      </c>
      <c r="B5" s="248"/>
      <c r="K5" s="86"/>
    </row>
    <row r="6" spans="1:12">
      <c r="A6" s="246" t="s">
        <v>98</v>
      </c>
      <c r="B6" s="246"/>
      <c r="K6" s="86"/>
    </row>
    <row r="7" spans="1:12">
      <c r="A7" s="96" t="s">
        <v>166</v>
      </c>
      <c r="B7" s="98">
        <f>Czalpha_fus_avant</f>
        <v>2.5603680867663257E-2</v>
      </c>
      <c r="K7" s="86"/>
    </row>
    <row r="8" spans="1:12">
      <c r="A8" s="96" t="s">
        <v>288</v>
      </c>
      <c r="B8" s="98">
        <f>point_cassure_cockpit</f>
        <v>1.5</v>
      </c>
      <c r="K8" s="86"/>
    </row>
    <row r="9" spans="1:12">
      <c r="A9" s="246" t="s">
        <v>103</v>
      </c>
      <c r="B9" s="246"/>
      <c r="K9" s="86"/>
    </row>
    <row r="10" spans="1:12">
      <c r="A10" s="96" t="s">
        <v>166</v>
      </c>
      <c r="B10" s="98">
        <f>Czalpha_fus_central</f>
        <v>0.10995283020866947</v>
      </c>
      <c r="K10" s="86"/>
    </row>
    <row r="11" spans="1:12">
      <c r="A11" s="96" t="s">
        <v>288</v>
      </c>
      <c r="B11" s="98">
        <f>x_debut_voilure+c_voil_emplanture/2</f>
        <v>7.6112116639573193</v>
      </c>
      <c r="K11" s="86"/>
    </row>
    <row r="12" spans="1:12">
      <c r="A12" s="246" t="s">
        <v>104</v>
      </c>
      <c r="B12" s="246"/>
      <c r="K12" s="86"/>
    </row>
    <row r="13" spans="1:12">
      <c r="A13" s="96" t="s">
        <v>166</v>
      </c>
      <c r="B13" s="98">
        <f>Czalpha_fus_arriere</f>
        <v>3.9859265680087921E-2</v>
      </c>
      <c r="K13" s="86"/>
    </row>
    <row r="14" spans="1:12">
      <c r="A14" s="96" t="s">
        <v>288</v>
      </c>
      <c r="B14" s="98">
        <f>x_debut_empennage+c_emp_emplanture/2</f>
        <v>13.396813216425322</v>
      </c>
      <c r="K14" s="86"/>
    </row>
    <row r="15" spans="1:12">
      <c r="A15" s="249" t="s">
        <v>106</v>
      </c>
      <c r="B15" s="250"/>
      <c r="K15" s="86"/>
    </row>
    <row r="16" spans="1:12">
      <c r="A16" s="155" t="s">
        <v>166</v>
      </c>
      <c r="B16" s="117">
        <f>B7+B10+B13</f>
        <v>0.17541577675642067</v>
      </c>
      <c r="K16" s="86"/>
    </row>
    <row r="17" spans="1:12">
      <c r="A17" s="155" t="s">
        <v>288</v>
      </c>
      <c r="B17" s="117">
        <f>(B7*B8+B10*B11+B13*B14)/(B16)</f>
        <v>8.0338664422854773</v>
      </c>
      <c r="K17" s="86"/>
    </row>
    <row r="18" spans="1:12">
      <c r="A18" s="97"/>
      <c r="B18" s="100"/>
      <c r="K18" s="86"/>
    </row>
    <row r="19" spans="1:12">
      <c r="A19" s="247" t="s">
        <v>298</v>
      </c>
      <c r="B19" s="248"/>
      <c r="K19" s="86"/>
    </row>
    <row r="20" spans="1:12">
      <c r="A20" s="96" t="s">
        <v>166</v>
      </c>
      <c r="B20" s="98">
        <f>N*Czalpha_nac</f>
        <v>1.13199893175071E-2</v>
      </c>
      <c r="K20" s="86"/>
    </row>
    <row r="21" spans="1:12">
      <c r="A21" s="96" t="s">
        <v>288</v>
      </c>
      <c r="B21" s="98">
        <f>x_debut_moteur-LMancheAir</f>
        <v>9.922369222669106</v>
      </c>
      <c r="K21" s="86"/>
    </row>
    <row r="22" spans="1:12">
      <c r="A22" s="97"/>
      <c r="B22" s="100"/>
      <c r="K22" s="86"/>
    </row>
    <row r="23" spans="1:12">
      <c r="A23" s="248" t="s">
        <v>85</v>
      </c>
      <c r="B23" s="248"/>
      <c r="K23" s="86"/>
    </row>
    <row r="24" spans="1:12">
      <c r="A24" s="96" t="s">
        <v>166</v>
      </c>
      <c r="B24" s="116">
        <f>Czalpha_voil</f>
        <v>6.3855590210270785</v>
      </c>
      <c r="K24" s="86"/>
    </row>
    <row r="25" spans="1:12">
      <c r="A25" s="115" t="s">
        <v>288</v>
      </c>
      <c r="B25" s="117">
        <f>x_debut_voilure+0.25*CMA_voil+TAN(RADIANS(Fleche0))*(Y_cma_voil+DFus/2)</f>
        <v>7.7010093873793473</v>
      </c>
      <c r="K25">
        <f>x_debut_voilure+0.25*CMA_voil+TAN(RADIANS(Fleche0))*(Y_cma_voil+DFus/2)</f>
        <v>7.7010093873793473</v>
      </c>
      <c r="L25" s="98">
        <f>x_debut_voilure+1/2*c_voil_emplanture+Y_cma_voil*TAN(RADIANS(Fleche50))-0.25*CMA_voil</f>
        <v>7.6279565094723658</v>
      </c>
    </row>
    <row r="26" spans="1:12">
      <c r="A26" s="86"/>
      <c r="E26" s="86"/>
    </row>
    <row r="27" spans="1:12">
      <c r="A27" s="113" t="s">
        <v>297</v>
      </c>
      <c r="B27" s="102">
        <f>B2+B7+B10+B13+B20+B24</f>
        <v>7.6530574318472873</v>
      </c>
      <c r="E27" s="86"/>
    </row>
    <row r="28" spans="1:12">
      <c r="A28" s="101" t="s">
        <v>289</v>
      </c>
      <c r="B28" s="102">
        <f>(B2*B3+B7*B8+B10*B11+B13*B14+B20*B21+B24*B25)/B27</f>
        <v>8.5125703511276036</v>
      </c>
      <c r="E28" s="86"/>
    </row>
    <row r="29" spans="1:12">
      <c r="A29" s="103" t="s">
        <v>293</v>
      </c>
      <c r="B29" s="104">
        <f>(x_foyer-x_cdg_avion)/CMA_voil</f>
        <v>4.4000445531577212E-2</v>
      </c>
      <c r="E29" s="86"/>
    </row>
    <row r="30" spans="1:12">
      <c r="A30" s="127" t="s">
        <v>317</v>
      </c>
      <c r="B30" s="104">
        <f>(x_foyer-x_cdg_avion_remplissage_0)/CMA_voil</f>
        <v>4.4403060658955773E-2</v>
      </c>
      <c r="E30" s="86"/>
    </row>
    <row r="31" spans="1:12">
      <c r="C31" s="86"/>
      <c r="D31" s="86"/>
      <c r="E31" s="86"/>
    </row>
    <row r="32" spans="1:12">
      <c r="A32" s="103" t="s">
        <v>294</v>
      </c>
      <c r="B32" s="104">
        <f>(x_foyer-x_cdg_avion_remplissagequelconque)/CMA_voil</f>
        <v>4.4000445531577212E-2</v>
      </c>
      <c r="C32" s="86"/>
      <c r="D32" s="86"/>
      <c r="E32" s="86"/>
    </row>
    <row r="33" spans="3:5">
      <c r="C33" s="86"/>
      <c r="D33" s="86"/>
      <c r="E33" s="86"/>
    </row>
    <row r="34" spans="3:5">
      <c r="C34" s="86"/>
      <c r="D34" s="86"/>
      <c r="E34" s="86"/>
    </row>
    <row r="35" spans="3:5">
      <c r="C35" s="86"/>
      <c r="D35" s="86"/>
      <c r="E35" s="86"/>
    </row>
    <row r="36" spans="3:5">
      <c r="C36" s="86"/>
      <c r="D36" s="86"/>
      <c r="E36" s="86"/>
    </row>
    <row r="37" spans="3:5">
      <c r="C37" s="86"/>
      <c r="D37" s="86"/>
      <c r="E37" s="86"/>
    </row>
    <row r="38" spans="3:5">
      <c r="C38" s="86"/>
      <c r="D38" s="86"/>
      <c r="E38" s="86"/>
    </row>
    <row r="39" spans="3:5">
      <c r="C39" s="86"/>
      <c r="D39" s="86"/>
      <c r="E39" s="86"/>
    </row>
  </sheetData>
  <mergeCells count="8">
    <mergeCell ref="A12:B12"/>
    <mergeCell ref="A19:B19"/>
    <mergeCell ref="A23:B23"/>
    <mergeCell ref="A1:B1"/>
    <mergeCell ref="A5:B5"/>
    <mergeCell ref="A6:B6"/>
    <mergeCell ref="A9:B9"/>
    <mergeCell ref="A15:B15"/>
  </mergeCells>
  <phoneticPr fontId="2" type="noConversion"/>
  <conditionalFormatting sqref="B32 B29">
    <cfRule type="cellIs" dxfId="8" priority="3" stopIfTrue="1" operator="between">
      <formula>-0.05</formula>
      <formula>0.05</formula>
    </cfRule>
    <cfRule type="cellIs" dxfId="7" priority="4" stopIfTrue="1" operator="notBetween">
      <formula>-0.05</formula>
      <formula>0.05</formula>
    </cfRule>
  </conditionalFormatting>
  <conditionalFormatting sqref="B30">
    <cfRule type="cellIs" dxfId="6" priority="1" stopIfTrue="1" operator="between">
      <formula>-0.05</formula>
      <formula>0.05</formula>
    </cfRule>
    <cfRule type="cellIs" dxfId="5" priority="2" stopIfTrue="1" operator="notBetween">
      <formula>-0.05</formula>
      <formula>0.05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A2:D167"/>
  <sheetViews>
    <sheetView workbookViewId="0">
      <selection activeCell="B7" sqref="B7:B8"/>
    </sheetView>
  </sheetViews>
  <sheetFormatPr baseColWidth="10" defaultRowHeight="12.75"/>
  <cols>
    <col min="1" max="1" width="29.42578125" customWidth="1"/>
    <col min="2" max="2" width="17.7109375" style="108" customWidth="1"/>
    <col min="3" max="3" width="18.5703125" customWidth="1"/>
    <col min="290" max="861" width="4.7109375" customWidth="1"/>
  </cols>
  <sheetData>
    <row r="2" spans="1:3">
      <c r="C2" s="190" t="s">
        <v>364</v>
      </c>
    </row>
    <row r="3" spans="1:3">
      <c r="A3" s="124" t="s">
        <v>321</v>
      </c>
      <c r="B3" s="109">
        <f ca="1">-B4+Masse_avion_remplissage_microisiere*g</f>
        <v>104654.22790516858</v>
      </c>
      <c r="C3" s="84">
        <f ca="1">INDEX(Aerodynamique!AH6:AH506,MATCH(B3,Aerodynamique!AJ6:AJ506,1))</f>
        <v>2.1400000000000015</v>
      </c>
    </row>
    <row r="4" spans="1:3">
      <c r="A4" s="124" t="s">
        <v>322</v>
      </c>
      <c r="B4" s="109">
        <f ca="1">((x_cdg_avion_remplissage_microisiere-x_foyer_voil)*B3-(0.5*rho*V^2)*(-Cm_voil*CMA_voil)-Croisière!J6*(DFus+DMoteur)/2)/(x_foyer_emp-x_cdg_avion_remplissage_microisiere)</f>
        <v>13751.232568831227</v>
      </c>
      <c r="C4" s="84">
        <f ca="1">INDEX(Aerodynamique!AC6:AC256,MATCH(B4,Aerodynamique!AE6:AE256,-1))</f>
        <v>2.4799999999999986</v>
      </c>
    </row>
    <row r="6" spans="1:3">
      <c r="B6" s="133"/>
    </row>
    <row r="7" spans="1:3">
      <c r="A7" s="124" t="s">
        <v>312</v>
      </c>
      <c r="B7" s="132">
        <v>2.1400000000000015</v>
      </c>
    </row>
    <row r="8" spans="1:3">
      <c r="A8" s="124" t="s">
        <v>311</v>
      </c>
      <c r="B8" s="132">
        <v>2.4799999999999986</v>
      </c>
    </row>
    <row r="9" spans="1:3">
      <c r="A9" s="124" t="s">
        <v>319</v>
      </c>
      <c r="B9" s="109">
        <f>Cz_avion*0.5*rho*V^2*SRef</f>
        <v>117978.53681982572</v>
      </c>
    </row>
    <row r="10" spans="1:3">
      <c r="A10" s="124" t="s">
        <v>318</v>
      </c>
      <c r="B10" s="128">
        <f>Masse_avion_remplissage_40*g</f>
        <v>123835.15631504972</v>
      </c>
    </row>
    <row r="14" spans="1:3">
      <c r="B14" s="251" t="str">
        <f ca="1">IF(AND((C3-B7)=0,(C4-B8)=0),"Convergé!","Rebouclages ultérieures nécessaire!")</f>
        <v>Convergé!</v>
      </c>
      <c r="C14" s="251"/>
    </row>
    <row r="15" spans="1:3">
      <c r="B15" s="251"/>
      <c r="C15" s="251"/>
    </row>
    <row r="167" spans="3:4">
      <c r="C167" s="87"/>
      <c r="D167" s="87"/>
    </row>
  </sheetData>
  <mergeCells count="1">
    <mergeCell ref="B14:C15"/>
  </mergeCells>
  <phoneticPr fontId="2" type="noConversion"/>
  <conditionalFormatting sqref="B14:C15">
    <cfRule type="containsText" dxfId="4" priority="1" operator="containsText" text="Rebouclages ultérieures nécessaire!">
      <formula>NOT(ISERROR(SEARCH("Rebouclages ultérieures nécessaire!",B14)))</formula>
    </cfRule>
    <cfRule type="containsText" dxfId="3" priority="2" operator="containsText" text="Convergé!">
      <formula>NOT(ISERROR(SEARCH("Convergé!",B14)))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2"/>
  <dimension ref="A2:BQ89"/>
  <sheetViews>
    <sheetView topLeftCell="A7" workbookViewId="0">
      <selection activeCell="B12" sqref="B12"/>
    </sheetView>
  </sheetViews>
  <sheetFormatPr baseColWidth="10" defaultRowHeight="12.75"/>
  <cols>
    <col min="1" max="1" width="39.85546875" style="157" customWidth="1"/>
    <col min="2" max="2" width="17.28515625" style="158" bestFit="1" customWidth="1"/>
    <col min="3" max="4" width="17.28515625" style="158" customWidth="1"/>
    <col min="5" max="22" width="11.42578125" style="157"/>
    <col min="23" max="23" width="3.5703125" style="157" customWidth="1"/>
    <col min="24" max="24" width="7.42578125" style="157" customWidth="1"/>
    <col min="25" max="25" width="13.5703125" style="157" customWidth="1"/>
    <col min="26" max="27" width="13.7109375" style="157" customWidth="1"/>
    <col min="28" max="28" width="10.5703125" style="157" customWidth="1"/>
    <col min="29" max="29" width="10.140625" style="157" customWidth="1"/>
    <col min="30" max="30" width="13.28515625" style="157" customWidth="1"/>
    <col min="31" max="31" width="16" style="157" customWidth="1"/>
    <col min="32" max="32" width="27.7109375" style="157" customWidth="1"/>
    <col min="33" max="33" width="20.42578125" style="157" customWidth="1"/>
    <col min="34" max="34" width="15.5703125" style="157" customWidth="1"/>
    <col min="35" max="35" width="9.140625" style="157" customWidth="1"/>
    <col min="36" max="36" width="7.140625" style="157" customWidth="1"/>
    <col min="37" max="67" width="5.7109375" style="157" customWidth="1"/>
    <col min="68" max="16384" width="11.42578125" style="157"/>
  </cols>
  <sheetData>
    <row r="2" spans="1:69">
      <c r="A2" s="157" t="s">
        <v>334</v>
      </c>
      <c r="B2" s="158">
        <v>320</v>
      </c>
    </row>
    <row r="3" spans="1:69">
      <c r="A3" s="157" t="s">
        <v>335</v>
      </c>
      <c r="B3" s="158">
        <f>B2/1.9438</f>
        <v>164.62599032822308</v>
      </c>
    </row>
    <row r="4" spans="1:69">
      <c r="A4" s="157" t="s">
        <v>336</v>
      </c>
      <c r="B4" s="158">
        <v>0.8</v>
      </c>
    </row>
    <row r="5" spans="1:69">
      <c r="A5" s="157" t="s">
        <v>337</v>
      </c>
      <c r="B5" s="158">
        <v>20</v>
      </c>
      <c r="AH5" s="157" t="s">
        <v>338</v>
      </c>
      <c r="AI5" s="157">
        <v>250</v>
      </c>
    </row>
    <row r="6" spans="1:69">
      <c r="A6" s="159" t="s">
        <v>339</v>
      </c>
      <c r="B6" s="160">
        <f>SQRT(rho/1.225)*V</f>
        <v>57.561815552970181</v>
      </c>
      <c r="D6" s="158" t="s">
        <v>361</v>
      </c>
      <c r="E6" s="157">
        <v>250</v>
      </c>
    </row>
    <row r="7" spans="1:69" ht="63.75">
      <c r="E7" s="188" t="s">
        <v>340</v>
      </c>
      <c r="F7" s="188" t="s">
        <v>359</v>
      </c>
      <c r="G7" s="188" t="s">
        <v>362</v>
      </c>
      <c r="H7" s="188" t="s">
        <v>363</v>
      </c>
      <c r="I7" s="187" t="s">
        <v>349</v>
      </c>
      <c r="J7" s="187" t="s">
        <v>404</v>
      </c>
      <c r="K7" s="187" t="s">
        <v>411</v>
      </c>
      <c r="L7" s="187" t="s">
        <v>410</v>
      </c>
      <c r="M7" s="188" t="s">
        <v>360</v>
      </c>
      <c r="N7" s="187" t="s">
        <v>358</v>
      </c>
      <c r="O7" s="187" t="s">
        <v>357</v>
      </c>
      <c r="P7" s="187" t="s">
        <v>391</v>
      </c>
      <c r="Q7" s="187" t="s">
        <v>392</v>
      </c>
      <c r="R7" s="187" t="s">
        <v>341</v>
      </c>
      <c r="S7" s="187" t="s">
        <v>342</v>
      </c>
      <c r="T7" s="187" t="s">
        <v>343</v>
      </c>
      <c r="U7" s="187" t="s">
        <v>344</v>
      </c>
      <c r="V7" s="183"/>
      <c r="W7"/>
      <c r="X7"/>
      <c r="Y7"/>
      <c r="Z7"/>
      <c r="AA7"/>
      <c r="AB7"/>
      <c r="AC7"/>
      <c r="AD7"/>
      <c r="AG7" s="183" t="s">
        <v>396</v>
      </c>
      <c r="AJ7" s="217" t="s">
        <v>345</v>
      </c>
      <c r="AK7" s="217"/>
      <c r="AL7" s="217"/>
      <c r="AM7" s="217"/>
      <c r="AN7" s="218"/>
    </row>
    <row r="8" spans="1:69">
      <c r="A8" s="161" t="s">
        <v>346</v>
      </c>
      <c r="E8" s="184">
        <f>B13</f>
        <v>15240</v>
      </c>
      <c r="F8" s="185">
        <f>B16</f>
        <v>0.18650755178658177</v>
      </c>
      <c r="G8" s="186">
        <f>B17</f>
        <v>9.7597967417459532</v>
      </c>
      <c r="H8" s="186">
        <f>B11</f>
        <v>295.04231899847855</v>
      </c>
      <c r="I8" s="134"/>
      <c r="J8" s="134"/>
      <c r="K8" s="134"/>
      <c r="W8"/>
      <c r="X8"/>
      <c r="Y8"/>
      <c r="Z8"/>
      <c r="AA8"/>
      <c r="AB8"/>
      <c r="AC8"/>
      <c r="AD8"/>
      <c r="AE8" s="134"/>
      <c r="AI8" s="162">
        <f ca="1">B25</f>
        <v>-0.41608282497914972</v>
      </c>
      <c r="AJ8" s="215">
        <v>0.01</v>
      </c>
      <c r="AK8" s="215">
        <v>0.05</v>
      </c>
      <c r="AL8" s="215">
        <f>AK8+0.025</f>
        <v>7.5000000000000011E-2</v>
      </c>
      <c r="AM8" s="215">
        <f t="shared" ref="AM8:BM8" si="0">AL8+0.025</f>
        <v>0.1</v>
      </c>
      <c r="AN8" s="215">
        <f t="shared" si="0"/>
        <v>0.125</v>
      </c>
      <c r="AO8" s="215">
        <f t="shared" si="0"/>
        <v>0.15</v>
      </c>
      <c r="AP8" s="215">
        <f t="shared" si="0"/>
        <v>0.17499999999999999</v>
      </c>
      <c r="AQ8" s="215">
        <f t="shared" si="0"/>
        <v>0.19999999999999998</v>
      </c>
      <c r="AR8" s="215">
        <f t="shared" si="0"/>
        <v>0.22499999999999998</v>
      </c>
      <c r="AS8" s="215">
        <f t="shared" si="0"/>
        <v>0.24999999999999997</v>
      </c>
      <c r="AT8" s="215">
        <f t="shared" si="0"/>
        <v>0.27499999999999997</v>
      </c>
      <c r="AU8" s="215">
        <f t="shared" si="0"/>
        <v>0.3</v>
      </c>
      <c r="AV8" s="215">
        <f t="shared" si="0"/>
        <v>0.32500000000000001</v>
      </c>
      <c r="AW8" s="215">
        <f t="shared" si="0"/>
        <v>0.35000000000000003</v>
      </c>
      <c r="AX8" s="215">
        <f t="shared" si="0"/>
        <v>0.37500000000000006</v>
      </c>
      <c r="AY8" s="215">
        <f t="shared" si="0"/>
        <v>0.40000000000000008</v>
      </c>
      <c r="AZ8" s="215">
        <f t="shared" si="0"/>
        <v>0.4250000000000001</v>
      </c>
      <c r="BA8" s="215">
        <f t="shared" si="0"/>
        <v>0.45000000000000012</v>
      </c>
      <c r="BB8" s="215">
        <f>BA8+0.025</f>
        <v>0.47500000000000014</v>
      </c>
      <c r="BC8" s="215">
        <f t="shared" si="0"/>
        <v>0.50000000000000011</v>
      </c>
      <c r="BD8" s="215">
        <f t="shared" si="0"/>
        <v>0.52500000000000013</v>
      </c>
      <c r="BE8" s="215">
        <f t="shared" si="0"/>
        <v>0.55000000000000016</v>
      </c>
      <c r="BF8" s="215">
        <f t="shared" si="0"/>
        <v>0.57500000000000018</v>
      </c>
      <c r="BG8" s="215">
        <f t="shared" si="0"/>
        <v>0.6000000000000002</v>
      </c>
      <c r="BH8" s="215">
        <f t="shared" si="0"/>
        <v>0.62500000000000022</v>
      </c>
      <c r="BI8" s="215">
        <f>BH8+0.025</f>
        <v>0.65000000000000024</v>
      </c>
      <c r="BJ8" s="215">
        <f t="shared" si="0"/>
        <v>0.67500000000000027</v>
      </c>
      <c r="BK8" s="215">
        <f t="shared" si="0"/>
        <v>0.70000000000000029</v>
      </c>
      <c r="BL8" s="215">
        <f t="shared" si="0"/>
        <v>0.72500000000000031</v>
      </c>
      <c r="BM8" s="215">
        <f t="shared" si="0"/>
        <v>0.75000000000000033</v>
      </c>
      <c r="BN8" s="215">
        <f>BM8+0.025</f>
        <v>0.77500000000000036</v>
      </c>
      <c r="BO8" s="215">
        <f>BN8+0.025</f>
        <v>0.80000000000000038</v>
      </c>
      <c r="BQ8" s="157" t="s">
        <v>393</v>
      </c>
    </row>
    <row r="9" spans="1:69">
      <c r="A9" s="163" t="s">
        <v>122</v>
      </c>
      <c r="B9" s="164">
        <v>287</v>
      </c>
      <c r="C9" s="177"/>
      <c r="D9" s="177"/>
      <c r="E9" s="165">
        <v>0</v>
      </c>
      <c r="F9" s="157">
        <f t="dataTable" ref="F9:H84" dt2D="0" dtr="0" r1="B13" ca="1"/>
        <v>1.2252256827617731</v>
      </c>
      <c r="G9" s="157">
        <v>9.8066499999999994</v>
      </c>
      <c r="H9" s="157">
        <v>340.26264855255562</v>
      </c>
      <c r="I9" s="157">
        <f t="shared" ref="I9:I40" ca="1" si="1">N*(Cs+4*10^-6*E9+0.4*J9*e^(-0.1*J9))</f>
        <v>1.6133541691300675</v>
      </c>
      <c r="J9" s="157">
        <f ca="1">INDIRECT(ADDRESS(ROW($AJ$8),COLUMN($AJ$8)-1+MATCH(MAX(AJ9:BO9),AJ9:BO9,0)))</f>
        <v>0.27499999999999997</v>
      </c>
      <c r="K9" s="157">
        <f ca="1">J9*H9</f>
        <v>93.572228351952788</v>
      </c>
      <c r="L9" s="157">
        <f>1.2*SQRT(N9*G9/(0.5*F9*SRef*RADIANS(alpha_max_voil)*Czalpha_voil))</f>
        <v>58.291083371723801</v>
      </c>
      <c r="M9" s="134">
        <f ca="1">IF((J9*H9)&lt;L9,L9,(J9*H9))</f>
        <v>93.572228351952788</v>
      </c>
      <c r="N9" s="157">
        <f>MTOW-m_roulage_forfaitaire</f>
        <v>17205.193877369755</v>
      </c>
      <c r="O9" s="157">
        <f ca="1">N9*G9/((0.5*F9*SRef*M9^2))</f>
        <v>0.21685093869985142</v>
      </c>
      <c r="P9" s="157">
        <f ca="1">INDEX(Aerodynamique!$T$6:$T$546,MATCH(O9,Aerodynamique!$Y$6:$Y$546,1))</f>
        <v>-0.79999999999999249</v>
      </c>
      <c r="Q9" s="157">
        <f ca="1">(0.5*SRef*F9*M9^2)*INDEX(Aerodynamique!$Z$6:$Z$546,MATCH(O9,Aerodynamique!$Y$6:$Y$546,1))</f>
        <v>9109.9712376707412</v>
      </c>
      <c r="R9" s="219">
        <f t="shared" ref="R9:R40" ca="1" si="2">N*F0*(F9/1.225)^1.08*(1-M_montee_maximale+0.5*M_montee_maximale^2)^0.45</f>
        <v>30278.228340615609</v>
      </c>
      <c r="S9" s="157">
        <f ca="1">R9*M9/(N9*G9)-F9*SRef*Cx0_avion*(M9^3)/(2*N9*G9)-2*(N9*G9)/(F9*SRef*PI()*all_voil*M9)</f>
        <v>11.874734790843046</v>
      </c>
      <c r="T9" s="157">
        <v>0</v>
      </c>
      <c r="U9" s="157">
        <v>0</v>
      </c>
      <c r="W9"/>
      <c r="X9"/>
      <c r="Y9"/>
      <c r="Z9"/>
      <c r="AA9"/>
      <c r="AB9"/>
      <c r="AC9"/>
      <c r="AD9"/>
      <c r="AE9" s="134"/>
      <c r="AG9" s="157">
        <f ca="1">$N$9+(($N$70-$N$9)/($E$70-$E$9))*(AI9-$E$9)</f>
        <v>17205.193877369755</v>
      </c>
      <c r="AI9" s="167">
        <v>0</v>
      </c>
      <c r="AJ9" s="157">
        <f t="dataTable" ref="AJ9:BO83" dt2D="1" dtr="1" r1="B10" r2="B13" ca="1"/>
        <v>-6.411042786663721</v>
      </c>
      <c r="AK9" s="157">
        <v>1.9590192019918586</v>
      </c>
      <c r="AL9" s="157">
        <v>4.0130903747053601</v>
      </c>
      <c r="AM9" s="157">
        <v>5.7302945571647905</v>
      </c>
      <c r="AN9" s="157">
        <v>7.2325378184946185</v>
      </c>
      <c r="AO9" s="157">
        <v>8.5470431041292159</v>
      </c>
      <c r="AP9" s="157">
        <v>9.6740170219843442</v>
      </c>
      <c r="AQ9" s="157">
        <v>10.603568150134894</v>
      </c>
      <c r="AR9" s="157">
        <v>11.321347890048992</v>
      </c>
      <c r="AS9" s="157">
        <v>11.81080805348436</v>
      </c>
      <c r="AT9" s="157">
        <v>12.054228125822057</v>
      </c>
      <c r="AU9" s="157">
        <v>12.033229834941658</v>
      </c>
      <c r="AV9" s="157">
        <v>11.729055017548681</v>
      </c>
      <c r="AW9" s="157">
        <v>11.122725045235567</v>
      </c>
      <c r="AX9" s="157">
        <v>10.195136978844369</v>
      </c>
      <c r="AY9" s="157">
        <v>8.9271240145859458</v>
      </c>
      <c r="AZ9" s="157">
        <v>7.2994947934158834</v>
      </c>
      <c r="BA9" s="157">
        <v>5.29305964823455</v>
      </c>
      <c r="BB9" s="157">
        <v>2.8886484435001862</v>
      </c>
      <c r="BC9" s="157">
        <v>6.7122780788637287E-2</v>
      </c>
      <c r="BD9" s="157">
        <v>-3.190615730598144</v>
      </c>
      <c r="BE9" s="157">
        <v>-6.9036200727361159</v>
      </c>
      <c r="BF9" s="157">
        <v>-11.090894606857498</v>
      </c>
      <c r="BG9" s="157">
        <v>-15.771393606642599</v>
      </c>
      <c r="BH9" s="157">
        <v>-20.964021243244627</v>
      </c>
      <c r="BI9" s="157">
        <v>-26.687632822496173</v>
      </c>
      <c r="BJ9" s="157">
        <v>-32.961037133597152</v>
      </c>
      <c r="BK9" s="157">
        <v>-39.802999804117931</v>
      </c>
      <c r="BL9" s="157">
        <v>-47.232247575940633</v>
      </c>
      <c r="BM9" s="157">
        <v>-55.267473425734451</v>
      </c>
      <c r="BN9" s="157">
        <v>-63.927342455057563</v>
      </c>
      <c r="BO9" s="157">
        <v>-73.23049847158633</v>
      </c>
      <c r="BQ9" s="157">
        <f>MAX(AJ9:BO9)</f>
        <v>12.054228125822057</v>
      </c>
    </row>
    <row r="10" spans="1:69">
      <c r="A10" s="163" t="s">
        <v>347</v>
      </c>
      <c r="B10" s="160">
        <v>0.5</v>
      </c>
      <c r="E10" s="165">
        <f>E9+$E$6</f>
        <v>250</v>
      </c>
      <c r="F10" s="157">
        <v>1.1960874088331737</v>
      </c>
      <c r="G10" s="157">
        <v>9.8058786902244108</v>
      </c>
      <c r="H10" s="157">
        <v>339.30184939077475</v>
      </c>
      <c r="I10" s="157">
        <f t="shared" ca="1" si="1"/>
        <v>1.6153541691300675</v>
      </c>
      <c r="J10" s="157">
        <f t="shared" ref="J10:J73" ca="1" si="3">INDIRECT(ADDRESS(ROW($AJ$8),COLUMN($AJ$8)-1+MATCH(MAX(AJ10:BO10),AJ10:BO10,0)))</f>
        <v>0.27499999999999997</v>
      </c>
      <c r="K10" s="157">
        <f t="shared" ref="K10:K73" ca="1" si="4">J10*H10</f>
        <v>93.308008582463046</v>
      </c>
      <c r="L10" s="157">
        <f ca="1">1.2*SQRT(N10*G10/(0.5*F10*SRef*RADIANS(alpha_max_voil)*Czalpha_voil))</f>
        <v>58.945517077730756</v>
      </c>
      <c r="M10" s="134">
        <f t="shared" ref="M10:M73" ca="1" si="5">IF((J10*H10)&lt;L10,L10,(J10*H10))</f>
        <v>93.308008582463046</v>
      </c>
      <c r="N10" s="157">
        <f ca="1">N9-U10</f>
        <v>17176.626276827497</v>
      </c>
      <c r="O10" s="157">
        <f ca="1">N10*G10/((0.5*F10*SRef*M10^2))</f>
        <v>0.22300506068082396</v>
      </c>
      <c r="P10" s="157">
        <f ca="1">INDEX(Aerodynamique!$T$6:$T$546,MATCH(O10,Aerodynamique!$Y$6:$Y$546,1))</f>
        <v>-0.69999999999999241</v>
      </c>
      <c r="Q10" s="157">
        <f ca="1">(0.5*SRef*F10*M10^2)*INDEX(Aerodynamique!$Z$6:$Z$546,MATCH(O10,Aerodynamique!$Y$6:$Y$546,1))</f>
        <v>8892.9358135495295</v>
      </c>
      <c r="R10" s="219">
        <f t="shared" ca="1" si="2"/>
        <v>29501.291772582848</v>
      </c>
      <c r="S10" s="157">
        <f ca="1">R10*M10/(N10*G10)-F10*SRef*Cx0_avion*(M10^3)/(2*N10*G10)-2*(N10*G10)/(F10*SRef*PI()*all_voil*M10)</f>
        <v>11.560853216017334</v>
      </c>
      <c r="T10" s="157">
        <f ca="1">(E10-E9)/S9</f>
        <v>21.053101766347009</v>
      </c>
      <c r="U10" s="157">
        <f ca="1">I9*R9*T10/(3600*10)</f>
        <v>28.567600542255686</v>
      </c>
      <c r="W10"/>
      <c r="X10"/>
      <c r="Y10"/>
      <c r="Z10"/>
      <c r="AA10"/>
      <c r="AB10"/>
      <c r="AC10"/>
      <c r="AD10"/>
      <c r="AE10" s="134"/>
      <c r="AG10" s="157">
        <f ca="1">$N$9+(($N$70-$N$9)/($E$70-$E$9))*(AI10-$E$9)</f>
        <v>17164.013441034142</v>
      </c>
      <c r="AI10" s="165">
        <f t="shared" ref="AI10:AI73" si="6">AI9+$AI$5</f>
        <v>250</v>
      </c>
      <c r="AJ10" s="157">
        <v>-6.6047309987937588</v>
      </c>
      <c r="AK10" s="157">
        <v>1.8360997357436151</v>
      </c>
      <c r="AL10" s="157">
        <v>3.8610256207665627</v>
      </c>
      <c r="AM10" s="157">
        <v>5.5460594012712203</v>
      </c>
      <c r="AN10" s="157">
        <v>7.0172212844403568</v>
      </c>
      <c r="AO10" s="157">
        <v>8.3035051318351734</v>
      </c>
      <c r="AP10" s="157">
        <v>9.4062180398207502</v>
      </c>
      <c r="AQ10" s="157">
        <v>10.316316803912152</v>
      </c>
      <c r="AR10" s="157">
        <v>11.020188120708859</v>
      </c>
      <c r="AS10" s="157">
        <v>11.501961881881245</v>
      </c>
      <c r="AT10" s="157">
        <v>11.744563730630887</v>
      </c>
      <c r="AU10" s="157">
        <v>11.730242252758314</v>
      </c>
      <c r="AV10" s="157">
        <v>11.440853618992705</v>
      </c>
      <c r="AW10" s="157">
        <v>10.858024866274002</v>
      </c>
      <c r="AX10" s="157">
        <v>9.9632523522797243</v>
      </c>
      <c r="AY10" s="157">
        <v>8.7379636300547681</v>
      </c>
      <c r="AZ10" s="157">
        <v>7.1635576765903446</v>
      </c>
      <c r="BA10" s="157">
        <v>5.2214317517612239</v>
      </c>
      <c r="BB10" s="157">
        <v>2.8929996595901999</v>
      </c>
      <c r="BC10" s="157">
        <v>0.15970425630115681</v>
      </c>
      <c r="BD10" s="157">
        <v>-2.9969740513653593</v>
      </c>
      <c r="BE10" s="157">
        <v>-6.5955117236824421</v>
      </c>
      <c r="BF10" s="157">
        <v>-10.654338721232431</v>
      </c>
      <c r="BG10" s="157">
        <v>-15.191836897829592</v>
      </c>
      <c r="BH10" s="157">
        <v>-20.226339850267603</v>
      </c>
      <c r="BI10" s="157">
        <v>-25.776134018995545</v>
      </c>
      <c r="BJ10" s="157">
        <v>-31.859460894563519</v>
      </c>
      <c r="BK10" s="157">
        <v>-38.494520221609214</v>
      </c>
      <c r="BL10" s="157">
        <v>-45.699474113029801</v>
      </c>
      <c r="BM10" s="157">
        <v>-53.492451996842867</v>
      </c>
      <c r="BN10" s="157">
        <v>-61.891556320493059</v>
      </c>
      <c r="BO10" s="157">
        <v>-70.914868934432377</v>
      </c>
      <c r="BQ10" s="157">
        <f t="shared" ref="BQ10:BQ73" si="7">MAX(AJ10:BO10)</f>
        <v>11.744563730630887</v>
      </c>
    </row>
    <row r="11" spans="1:69">
      <c r="A11" s="163" t="s">
        <v>114</v>
      </c>
      <c r="B11" s="160">
        <f>SQRT(gamma*_r*B14)</f>
        <v>295.04231899847855</v>
      </c>
      <c r="E11" s="165">
        <f t="shared" ref="E11:E74" si="8">E10+$E$6</f>
        <v>500</v>
      </c>
      <c r="F11" s="157">
        <v>1.1674822658856603</v>
      </c>
      <c r="G11" s="157">
        <v>9.8051074714424864</v>
      </c>
      <c r="H11" s="157">
        <v>338.33832180230485</v>
      </c>
      <c r="I11" s="157">
        <f t="shared" ca="1" si="1"/>
        <v>1.6173541691300675</v>
      </c>
      <c r="J11" s="157">
        <f t="shared" ca="1" si="3"/>
        <v>0.27499999999999997</v>
      </c>
      <c r="K11" s="157">
        <f t="shared" ca="1" si="4"/>
        <v>93.043038495633823</v>
      </c>
      <c r="L11" s="157">
        <f ca="1">1.2*SQRT(N11*G11/(0.5*F11*SRef*RADIANS(alpha_max_voil)*Czalpha_voil))</f>
        <v>59.611194870598688</v>
      </c>
      <c r="M11" s="134">
        <f t="shared" ca="1" si="5"/>
        <v>93.043038495633823</v>
      </c>
      <c r="N11" s="157">
        <f ca="1">N10-U11</f>
        <v>17148.000557383806</v>
      </c>
      <c r="O11" s="157">
        <f ca="1">N11*G11/((0.5*F11*SRef*M11^2))</f>
        <v>0.22937119716561052</v>
      </c>
      <c r="P11" s="157">
        <f ca="1">INDEX(Aerodynamique!$T$6:$T$546,MATCH(O11,Aerodynamique!$Y$6:$Y$546,1))</f>
        <v>-0.64999999999999236</v>
      </c>
      <c r="Q11" s="157">
        <f ca="1">(0.5*SRef*F11*M11^2)*INDEX(Aerodynamique!$Z$6:$Z$546,MATCH(O11,Aerodynamique!$Y$6:$Y$546,1))</f>
        <v>8656.3532892129624</v>
      </c>
      <c r="R11" s="219">
        <f t="shared" ca="1" si="2"/>
        <v>28740.041867699601</v>
      </c>
      <c r="S11" s="157">
        <f ca="1">R11*M11/(N11*G11)-F11*SRef*Cx0_avion*(M11^3)/(2*N11*G11)-2*(N11*G11)/(F11*SRef*PI()*all_voil*M11)</f>
        <v>11.252737001396925</v>
      </c>
      <c r="T11" s="157">
        <f ca="1">(E11-E10)/S10</f>
        <v>21.624701510233685</v>
      </c>
      <c r="U11" s="157">
        <f ca="1">I10*R10*T11/(3600*10)</f>
        <v>28.625719443692162</v>
      </c>
      <c r="W11"/>
      <c r="X11"/>
      <c r="Y11"/>
      <c r="Z11"/>
      <c r="AA11"/>
      <c r="AB11"/>
      <c r="AC11"/>
      <c r="AD11"/>
      <c r="AE11" s="135"/>
      <c r="AF11" s="134"/>
      <c r="AG11" s="157">
        <f ca="1">$N$9+(($N$70-$N$9)/($E$70-$E$9))*(AI11-$E$9)</f>
        <v>17122.833004698525</v>
      </c>
      <c r="AI11" s="165">
        <f t="shared" si="6"/>
        <v>500</v>
      </c>
      <c r="AJ11" s="157">
        <v>-6.8034952099784904</v>
      </c>
      <c r="AK11" s="157">
        <v>1.7138652809822765</v>
      </c>
      <c r="AL11" s="157">
        <v>3.7108279612485013</v>
      </c>
      <c r="AM11" s="157">
        <v>5.3646279008652078</v>
      </c>
      <c r="AN11" s="157">
        <v>6.8054938012928252</v>
      </c>
      <c r="AO11" s="157">
        <v>8.0642122752110339</v>
      </c>
      <c r="AP11" s="157">
        <v>9.143192041007314</v>
      </c>
      <c r="AQ11" s="157">
        <v>10.034231499591369</v>
      </c>
      <c r="AR11" s="157">
        <v>10.724442604375584</v>
      </c>
      <c r="AS11" s="157">
        <v>11.198621590745269</v>
      </c>
      <c r="AT11" s="157">
        <v>11.440327611851124</v>
      </c>
      <c r="AU11" s="157">
        <v>11.432422945465541</v>
      </c>
      <c r="AV11" s="157">
        <v>11.157364624666805</v>
      </c>
      <c r="AW11" s="157">
        <v>10.59737169602611</v>
      </c>
      <c r="AX11" s="157">
        <v>9.7345260475710749</v>
      </c>
      <c r="AY11" s="157">
        <v>8.5508357579054834</v>
      </c>
      <c r="AZ11" s="157">
        <v>7.0282762738463758</v>
      </c>
      <c r="BA11" s="157">
        <v>5.1488179010233646</v>
      </c>
      <c r="BB11" s="157">
        <v>2.8944445003647394</v>
      </c>
      <c r="BC11" s="157">
        <v>0.24716630799452682</v>
      </c>
      <c r="BD11" s="157">
        <v>-2.8109713323011669</v>
      </c>
      <c r="BE11" s="157">
        <v>-6.2978822006677992</v>
      </c>
      <c r="BF11" s="157">
        <v>-10.231435677180533</v>
      </c>
      <c r="BG11" s="157">
        <v>-14.629454992782502</v>
      </c>
      <c r="BH11" s="157">
        <v>-19.509716943106294</v>
      </c>
      <c r="BI11" s="157">
        <v>-24.88995285277695</v>
      </c>
      <c r="BJ11" s="157">
        <v>-30.787850640467894</v>
      </c>
      <c r="BK11" s="157">
        <v>-37.221057873334544</v>
      </c>
      <c r="BL11" s="157">
        <v>-44.207185721427408</v>
      </c>
      <c r="BM11" s="157">
        <v>-51.763813733441857</v>
      </c>
      <c r="BN11" s="157">
        <v>-59.908495358173894</v>
      </c>
      <c r="BO11" s="157">
        <v>-68.658764133789234</v>
      </c>
      <c r="BQ11" s="157">
        <f t="shared" si="7"/>
        <v>11.440327611851124</v>
      </c>
    </row>
    <row r="12" spans="1:69">
      <c r="A12" s="163" t="s">
        <v>117</v>
      </c>
      <c r="B12" s="160">
        <f>B10*B11</f>
        <v>147.52115949923927</v>
      </c>
      <c r="E12" s="165">
        <f t="shared" si="8"/>
        <v>750</v>
      </c>
      <c r="F12" s="157">
        <v>1.1394034569997256</v>
      </c>
      <c r="G12" s="157">
        <v>9.8043363436399229</v>
      </c>
      <c r="H12" s="157">
        <v>337.37204241015581</v>
      </c>
      <c r="I12" s="157">
        <f t="shared" ca="1" si="1"/>
        <v>1.6193541691300675</v>
      </c>
      <c r="J12" s="157">
        <f t="shared" ca="1" si="3"/>
        <v>0.27499999999999997</v>
      </c>
      <c r="K12" s="157">
        <f t="shared" ca="1" si="4"/>
        <v>92.77731166279284</v>
      </c>
      <c r="L12" s="157">
        <f ca="1">1.2*SQRT(N12*G12/(0.5*F12*SRef*RADIANS(alpha_max_voil)*Czalpha_voil))</f>
        <v>60.28837365292506</v>
      </c>
      <c r="M12" s="134">
        <f t="shared" ca="1" si="5"/>
        <v>92.77731166279284</v>
      </c>
      <c r="N12" s="157">
        <f ca="1">N11-U12</f>
        <v>17119.314433602736</v>
      </c>
      <c r="O12" s="157">
        <f ca="1">N12*G12/((0.5*F12*SRef*M12^2))</f>
        <v>0.23595792319847175</v>
      </c>
      <c r="P12" s="157">
        <f ca="1">INDEX(Aerodynamique!$T$6:$T$546,MATCH(O12,Aerodynamique!$Y$6:$Y$546,1))</f>
        <v>-0.59999999999999232</v>
      </c>
      <c r="Q12" s="157">
        <f ca="1">(0.5*SRef*F12*M12^2)*INDEX(Aerodynamique!$Z$6:$Z$546,MATCH(O12,Aerodynamique!$Y$6:$Y$546,1))</f>
        <v>8425.311421946164</v>
      </c>
      <c r="R12" s="219">
        <f t="shared" ca="1" si="2"/>
        <v>27994.248675477251</v>
      </c>
      <c r="S12" s="157">
        <f ca="1">R12*M12/(N12*G12)-F12*SRef*Cx0_avion*(M12^3)/(2*N12*G12)-2*(N12*G12)/(F12*SRef*PI()*all_voil*M12)</f>
        <v>10.950300515606846</v>
      </c>
      <c r="T12" s="157">
        <f ca="1">(E12-E11)/S11</f>
        <v>22.216817114713049</v>
      </c>
      <c r="U12" s="157">
        <f ca="1">I11*R11*T12/(3600*10)</f>
        <v>28.686123781069529</v>
      </c>
      <c r="W12"/>
      <c r="X12"/>
      <c r="Y12"/>
      <c r="Z12"/>
      <c r="AA12"/>
      <c r="AB12"/>
      <c r="AC12"/>
      <c r="AD12"/>
      <c r="AE12" s="168"/>
      <c r="AG12" s="157">
        <f ca="1">$N$9+(($N$70-$N$9)/($E$70-$E$9))*(AI12-$E$9)</f>
        <v>17081.652568362912</v>
      </c>
      <c r="AI12" s="165">
        <f t="shared" si="6"/>
        <v>750</v>
      </c>
      <c r="AJ12" s="157">
        <v>-7.0075431310103244</v>
      </c>
      <c r="AK12" s="157">
        <v>1.5922500859393527</v>
      </c>
      <c r="AL12" s="157">
        <v>3.5624336201539819</v>
      </c>
      <c r="AM12" s="157">
        <v>5.1859325917698538</v>
      </c>
      <c r="AN12" s="157">
        <v>6.5972828658363403</v>
      </c>
      <c r="AO12" s="157">
        <v>7.8290872538995053</v>
      </c>
      <c r="AP12" s="157">
        <v>8.884858070903654</v>
      </c>
      <c r="AQ12" s="157">
        <v>9.7572292623971357</v>
      </c>
      <c r="AR12" s="157">
        <v>10.434028422601589</v>
      </c>
      <c r="AS12" s="157">
        <v>10.900706752028995</v>
      </c>
      <c r="AT12" s="157">
        <v>11.141444588017199</v>
      </c>
      <c r="AU12" s="157">
        <v>11.139705035566173</v>
      </c>
      <c r="AV12" s="157">
        <v>10.878532806582337</v>
      </c>
      <c r="AW12" s="157">
        <v>10.340725581136804</v>
      </c>
      <c r="AX12" s="157">
        <v>9.5089372848240679</v>
      </c>
      <c r="AY12" s="157">
        <v>8.3657429600271644</v>
      </c>
      <c r="AZ12" s="157">
        <v>6.8936809235509262</v>
      </c>
      <c r="BA12" s="157">
        <v>5.0752809095300346</v>
      </c>
      <c r="BB12" s="157">
        <v>2.893083215201695</v>
      </c>
      <c r="BC12" s="157">
        <v>0.32965184234585315</v>
      </c>
      <c r="BD12" s="157">
        <v>-2.6324165294020343</v>
      </c>
      <c r="BE12" s="157">
        <v>-6.0104865836566459</v>
      </c>
      <c r="BF12" s="157">
        <v>-9.8218806830240979</v>
      </c>
      <c r="BG12" s="157">
        <v>-14.083876976324854</v>
      </c>
      <c r="BH12" s="157">
        <v>-18.813708975744035</v>
      </c>
      <c r="BI12" s="157">
        <v>-24.028566384836083</v>
      </c>
      <c r="BJ12" s="157">
        <v>-29.745597022967651</v>
      </c>
      <c r="BK12" s="157">
        <v>-35.981909731591777</v>
      </c>
      <c r="BL12" s="157">
        <v>-42.754578170844937</v>
      </c>
      <c r="BM12" s="157">
        <v>-50.080645426621082</v>
      </c>
      <c r="BN12" s="157">
        <v>-57.977129352053993</v>
      </c>
      <c r="BO12" s="157">
        <v>-66.46102856574457</v>
      </c>
      <c r="BQ12" s="157">
        <f t="shared" si="7"/>
        <v>11.141444588017199</v>
      </c>
    </row>
    <row r="13" spans="1:69">
      <c r="A13" s="163" t="s">
        <v>110</v>
      </c>
      <c r="B13" s="169">
        <v>15240</v>
      </c>
      <c r="C13" s="178"/>
      <c r="D13" s="178"/>
      <c r="E13" s="165">
        <f t="shared" si="8"/>
        <v>1000</v>
      </c>
      <c r="F13" s="157">
        <v>1.1118442337744616</v>
      </c>
      <c r="G13" s="157">
        <v>9.8035653068024047</v>
      </c>
      <c r="H13" s="157">
        <v>336.40298750159752</v>
      </c>
      <c r="I13" s="157">
        <f t="shared" ca="1" si="1"/>
        <v>1.6416120232382536</v>
      </c>
      <c r="J13" s="157">
        <f t="shared" ca="1" si="3"/>
        <v>0.3</v>
      </c>
      <c r="K13" s="157">
        <f t="shared" ca="1" si="4"/>
        <v>100.92089625047926</v>
      </c>
      <c r="L13" s="157">
        <f ca="1">1.2*SQRT(N13*G13/(0.5*F13*SRef*RADIANS(alpha_max_voil)*Czalpha_voil))</f>
        <v>60.977317485126051</v>
      </c>
      <c r="M13" s="134">
        <f t="shared" ca="1" si="5"/>
        <v>100.92089625047926</v>
      </c>
      <c r="N13" s="157">
        <f ca="1">N12-U13</f>
        <v>17090.565474181938</v>
      </c>
      <c r="O13" s="157">
        <f ca="1">N13*G13/((0.5*F13*SRef*M13^2))</f>
        <v>0.20399777422200768</v>
      </c>
      <c r="P13" s="157">
        <f ca="1">INDEX(Aerodynamique!$T$6:$T$546,MATCH(O13,Aerodynamique!$Y$6:$Y$546,1))</f>
        <v>-0.89999999999999258</v>
      </c>
      <c r="Q13" s="157">
        <f ca="1">(0.5*SRef*F13*M13^2)*INDEX(Aerodynamique!$Z$6:$Z$546,MATCH(O13,Aerodynamique!$Y$6:$Y$546,1))</f>
        <v>9565.7985194269022</v>
      </c>
      <c r="R13" s="219">
        <f t="shared" ca="1" si="2"/>
        <v>27263.684329831602</v>
      </c>
      <c r="S13" s="157">
        <f ca="1">R13*M13/(N13*G13)-F13*SRef*Cx0_avion*(M13^3)/(2*N13*G13)-2*(N13*G13)/(F13*SRef*PI()*all_voil*M13)</f>
        <v>10.818679303348759</v>
      </c>
      <c r="T13" s="157">
        <f ca="1">(E13-E12)/S12</f>
        <v>22.830423662226355</v>
      </c>
      <c r="U13" s="157">
        <f ca="1">I12*R12*T13/(3600*10)</f>
        <v>28.748959420799018</v>
      </c>
      <c r="W13"/>
      <c r="X13"/>
      <c r="Y13"/>
      <c r="Z13"/>
      <c r="AA13"/>
      <c r="AB13"/>
      <c r="AC13"/>
      <c r="AD13"/>
      <c r="AE13" s="168"/>
      <c r="AG13" s="157">
        <f ca="1">$N$9+(($N$70-$N$9)/($E$70-$E$9))*(AI13-$E$9)</f>
        <v>17040.472132027298</v>
      </c>
      <c r="AI13" s="165">
        <f t="shared" si="6"/>
        <v>1000</v>
      </c>
      <c r="AJ13" s="157">
        <v>-7.2170912342272278</v>
      </c>
      <c r="AK13" s="157">
        <v>1.4711868399760648</v>
      </c>
      <c r="AL13" s="157">
        <v>3.4157779388833429</v>
      </c>
      <c r="AM13" s="157">
        <v>5.0099054980718272</v>
      </c>
      <c r="AN13" s="157">
        <v>6.3925157014646281</v>
      </c>
      <c r="AO13" s="157">
        <v>7.5980526754829327</v>
      </c>
      <c r="AP13" s="157">
        <v>8.6311351690941471</v>
      </c>
      <c r="AQ13" s="157">
        <v>9.4852271724160424</v>
      </c>
      <c r="AR13" s="157">
        <v>10.148862730601543</v>
      </c>
      <c r="AS13" s="157">
        <v>10.608136989330106</v>
      </c>
      <c r="AT13" s="157">
        <v>10.847839465972758</v>
      </c>
      <c r="AU13" s="157">
        <v>10.852021527830715</v>
      </c>
      <c r="AV13" s="157">
        <v>10.604302668340607</v>
      </c>
      <c r="AW13" s="157">
        <v>10.088046102248649</v>
      </c>
      <c r="AX13" s="157">
        <v>9.2864645711262188</v>
      </c>
      <c r="AY13" s="157">
        <v>8.1826867861851706</v>
      </c>
      <c r="AZ13" s="157">
        <v>6.7598005979758895</v>
      </c>
      <c r="BA13" s="157">
        <v>5.0008818130041144</v>
      </c>
      <c r="BB13" s="157">
        <v>2.889013803371407</v>
      </c>
      <c r="BC13" s="157">
        <v>0.40730097982122615</v>
      </c>
      <c r="BD13" s="157">
        <v>-2.461121987143156</v>
      </c>
      <c r="BE13" s="157">
        <v>-5.7330840131291865</v>
      </c>
      <c r="BF13" s="157">
        <v>-9.4253737522293743</v>
      </c>
      <c r="BG13" s="157">
        <v>-13.554737558678148</v>
      </c>
      <c r="BH13" s="157">
        <v>-18.137878926486412</v>
      </c>
      <c r="BI13" s="157">
        <v>-23.191459181136555</v>
      </c>
      <c r="BJ13" s="157">
        <v>-28.732099264112314</v>
      </c>
      <c r="BK13" s="157">
        <v>-34.776382492334939</v>
      </c>
      <c r="BL13" s="157">
        <v>-41.34085819881804</v>
      </c>
      <c r="BM13" s="157">
        <v>-48.442046173433603</v>
      </c>
      <c r="BN13" s="157">
        <v>-56.096441827230812</v>
      </c>
      <c r="BO13" s="157">
        <v>-64.320522002821235</v>
      </c>
      <c r="BQ13" s="157">
        <f t="shared" si="7"/>
        <v>10.852021527830715</v>
      </c>
    </row>
    <row r="14" spans="1:69">
      <c r="A14" s="163" t="s">
        <v>118</v>
      </c>
      <c r="B14" s="170">
        <f>IF(B13&lt;11000,288.15-(6.5*B13/1000),216.65)</f>
        <v>216.65</v>
      </c>
      <c r="C14" s="179"/>
      <c r="D14" s="179"/>
      <c r="E14" s="165">
        <f t="shared" si="8"/>
        <v>1250</v>
      </c>
      <c r="F14" s="157">
        <v>1.0847978962565625</v>
      </c>
      <c r="G14" s="157">
        <v>9.8027943609156267</v>
      </c>
      <c r="H14" s="157">
        <v>335.43113302136993</v>
      </c>
      <c r="I14" s="157">
        <f t="shared" ca="1" si="1"/>
        <v>1.6436120232382536</v>
      </c>
      <c r="J14" s="157">
        <f t="shared" ca="1" si="3"/>
        <v>0.3</v>
      </c>
      <c r="K14" s="157">
        <f t="shared" ca="1" si="4"/>
        <v>100.62933990641098</v>
      </c>
      <c r="L14" s="157">
        <f ca="1">1.2*SQRT(N14*G14/(0.5*F14*SRef*RADIANS(alpha_max_voil)*Czalpha_voil))</f>
        <v>61.678452398549609</v>
      </c>
      <c r="M14" s="134">
        <f t="shared" ca="1" si="5"/>
        <v>100.62933990641098</v>
      </c>
      <c r="N14" s="157">
        <f ca="1">N13-U14</f>
        <v>17061.836618374437</v>
      </c>
      <c r="O14" s="157">
        <f ca="1">N14*G14/((0.5*F14*SRef*M14^2))</f>
        <v>0.20992718631749521</v>
      </c>
      <c r="P14" s="157">
        <f ca="1">INDEX(Aerodynamique!$T$6:$T$546,MATCH(O14,Aerodynamique!$Y$6:$Y$546,1))</f>
        <v>-0.84999999999999254</v>
      </c>
      <c r="Q14" s="157">
        <f ca="1">(0.5*SRef*F14*M14^2)*INDEX(Aerodynamique!$Z$6:$Z$546,MATCH(O14,Aerodynamique!$Y$6:$Y$546,1))</f>
        <v>9303.3800855482477</v>
      </c>
      <c r="R14" s="219">
        <f t="shared" ca="1" si="2"/>
        <v>26548.123041983094</v>
      </c>
      <c r="S14" s="157">
        <f ca="1">R14*M14/(N14*G14)-F14*SRef*Cx0_avion*(M14^3)/(2*N14*G14)-2*(N14*G14)/(F14*SRef*PI()*all_voil*M14)</f>
        <v>10.528592208148535</v>
      </c>
      <c r="T14" s="157">
        <f ca="1">(E14-E13)/S13</f>
        <v>23.108181044114716</v>
      </c>
      <c r="U14" s="157">
        <f ca="1">I13*R13*T14/(3600*10)</f>
        <v>28.728855807500778</v>
      </c>
      <c r="W14"/>
      <c r="X14"/>
      <c r="Y14"/>
      <c r="Z14"/>
      <c r="AA14"/>
      <c r="AB14"/>
      <c r="AC14"/>
      <c r="AD14"/>
      <c r="AE14" s="168"/>
      <c r="AG14" s="157">
        <f ca="1">$N$9+(($N$70-$N$9)/($E$70-$E$9))*(AI14-$E$9)</f>
        <v>16999.291695691682</v>
      </c>
      <c r="AI14" s="165">
        <f t="shared" si="6"/>
        <v>1250</v>
      </c>
      <c r="AJ14" s="157">
        <v>-7.432365191660594</v>
      </c>
      <c r="AK14" s="157">
        <v>1.3506065857462473</v>
      </c>
      <c r="AL14" s="157">
        <v>3.2707953175447022</v>
      </c>
      <c r="AM14" s="157">
        <v>4.8364780880328144</v>
      </c>
      <c r="AN14" s="157">
        <v>6.1911192229273517</v>
      </c>
      <c r="AO14" s="157">
        <v>7.3710310062375726</v>
      </c>
      <c r="AP14" s="157">
        <v>8.3819423445924119</v>
      </c>
      <c r="AQ14" s="157">
        <v>9.2181423433377141</v>
      </c>
      <c r="AR14" s="157">
        <v>9.8688627389822212</v>
      </c>
      <c r="AS14" s="157">
        <v>10.320831962288946</v>
      </c>
      <c r="AT14" s="157">
        <v>10.559437027765693</v>
      </c>
      <c r="AU14" s="157">
        <v>10.569305298626071</v>
      </c>
      <c r="AV14" s="157">
        <v>10.334618436911018</v>
      </c>
      <c r="AW14" s="157">
        <v>9.8392923683069746</v>
      </c>
      <c r="AX14" s="157">
        <v>9.0670856975065366</v>
      </c>
      <c r="AY14" s="157">
        <v>8.0016677738051065</v>
      </c>
      <c r="AZ14" s="157">
        <v>6.6266629061127045</v>
      </c>
      <c r="BA14" s="157">
        <v>4.9256798754661544</v>
      </c>
      <c r="BB14" s="157">
        <v>2.882332023657685</v>
      </c>
      <c r="BC14" s="157">
        <v>0.48025106832897502</v>
      </c>
      <c r="BD14" s="157">
        <v>-2.296903420872618</v>
      </c>
      <c r="BE14" s="157">
        <v>-5.4654376679784438</v>
      </c>
      <c r="BF14" s="157">
        <v>-9.0416196764392431</v>
      </c>
      <c r="BG14" s="157">
        <v>-13.041677043240668</v>
      </c>
      <c r="BH14" s="157">
        <v>-17.481796260074965</v>
      </c>
      <c r="BI14" s="157">
        <v>-22.378123268626808</v>
      </c>
      <c r="BJ14" s="157">
        <v>-27.746765105811068</v>
      </c>
      <c r="BK14" s="157">
        <v>-33.603792517619581</v>
      </c>
      <c r="BL14" s="157">
        <v>-39.965243445637455</v>
      </c>
      <c r="BM14" s="157">
        <v>-46.847127303800484</v>
      </c>
      <c r="BN14" s="157">
        <v>-54.265429968291393</v>
      </c>
      <c r="BO14" s="157">
        <v>-62.236119403215262</v>
      </c>
      <c r="BQ14" s="157">
        <f t="shared" si="7"/>
        <v>10.569305298626071</v>
      </c>
    </row>
    <row r="15" spans="1:69">
      <c r="A15" s="163" t="s">
        <v>111</v>
      </c>
      <c r="B15" s="169">
        <f>IF(B13&lt;11000,101325*(1-(0.0065*B13/288.15))^5.256,22631.26*EXP(-1.5769*0.0001*(B13-11000)))</f>
        <v>11596.769134139564</v>
      </c>
      <c r="C15" s="178"/>
      <c r="D15" s="178"/>
      <c r="E15" s="165">
        <f t="shared" si="8"/>
        <v>1500</v>
      </c>
      <c r="F15" s="157">
        <v>1.0582577928690282</v>
      </c>
      <c r="G15" s="157">
        <v>9.802023505965284</v>
      </c>
      <c r="H15" s="157">
        <v>334.45645456471607</v>
      </c>
      <c r="I15" s="157">
        <f t="shared" ca="1" si="1"/>
        <v>1.6456120232382536</v>
      </c>
      <c r="J15" s="157">
        <f t="shared" ca="1" si="3"/>
        <v>0.3</v>
      </c>
      <c r="K15" s="157">
        <f t="shared" ca="1" si="4"/>
        <v>100.33693636941481</v>
      </c>
      <c r="L15" s="157">
        <f ca="1">1.2*SQRT(N15*G15/(0.5*F15*SRef*RADIANS(alpha_max_voil)*Czalpha_voil))</f>
        <v>62.391937001366912</v>
      </c>
      <c r="M15" s="134">
        <f t="shared" ca="1" si="5"/>
        <v>100.33693636941481</v>
      </c>
      <c r="N15" s="157">
        <f ca="1">N14-U15</f>
        <v>17033.055985859952</v>
      </c>
      <c r="O15" s="157">
        <f ca="1">N15*G15/((0.5*F15*SRef*M15^2))</f>
        <v>0.21606591508594142</v>
      </c>
      <c r="P15" s="157">
        <f ca="1">INDEX(Aerodynamique!$T$6:$T$546,MATCH(O15,Aerodynamique!$Y$6:$Y$546,1))</f>
        <v>-0.79999999999999249</v>
      </c>
      <c r="Q15" s="157">
        <f ca="1">(0.5*SRef*F15*M15^2)*INDEX(Aerodynamique!$Z$6:$Z$546,MATCH(O15,Aerodynamique!$Y$6:$Y$546,1))</f>
        <v>9047.3234723319893</v>
      </c>
      <c r="R15" s="219">
        <f t="shared" ca="1" si="2"/>
        <v>25847.341093340729</v>
      </c>
      <c r="S15" s="157">
        <f ca="1">R15*M15/(N15*G15)-F15*SRef*Cx0_avion*(M15^3)/(2*N15*G15)-2*(N15*G15)/(F15*SRef*PI()*all_voil*M15)</f>
        <v>10.243783265348075</v>
      </c>
      <c r="T15" s="157">
        <f ca="1">(E15-E14)/S14</f>
        <v>23.744864940871597</v>
      </c>
      <c r="U15" s="157">
        <f ca="1">I14*R14*T15/(3600*10)</f>
        <v>28.780632514484022</v>
      </c>
      <c r="W15"/>
      <c r="X15"/>
      <c r="Y15"/>
      <c r="Z15"/>
      <c r="AA15"/>
      <c r="AB15"/>
      <c r="AC15"/>
      <c r="AD15"/>
      <c r="AE15" s="168"/>
      <c r="AG15" s="157">
        <f ca="1">$N$9+(($N$70-$N$9)/($E$70-$E$9))*(AI15-$E$9)</f>
        <v>16958.111259356068</v>
      </c>
      <c r="AI15" s="165">
        <f t="shared" si="6"/>
        <v>1500</v>
      </c>
      <c r="AJ15" s="157">
        <v>-7.6536003377603938</v>
      </c>
      <c r="AK15" s="157">
        <v>1.2304386264407337</v>
      </c>
      <c r="AL15" s="157">
        <v>3.1274191529827409</v>
      </c>
      <c r="AM15" s="157">
        <v>4.6655812275373671</v>
      </c>
      <c r="AN15" s="157">
        <v>5.9930199991034243</v>
      </c>
      <c r="AO15" s="157">
        <v>7.1479445402413759</v>
      </c>
      <c r="AP15" s="157">
        <v>8.1371985496326023</v>
      </c>
      <c r="AQ15" s="157">
        <v>8.9558918999578534</v>
      </c>
      <c r="AR15" s="157">
        <v>9.593945694370694</v>
      </c>
      <c r="AS15" s="157">
        <v>10.038711349993816</v>
      </c>
      <c r="AT15" s="157">
        <v>10.276162016640736</v>
      </c>
      <c r="AU15" s="157">
        <v>10.291489084417343</v>
      </c>
      <c r="AV15" s="157">
        <v>10.069424053646653</v>
      </c>
      <c r="AW15" s="157">
        <v>9.594423010158188</v>
      </c>
      <c r="AX15" s="157">
        <v>8.8507777352375747</v>
      </c>
      <c r="AY15" s="157">
        <v>7.8226854471430496</v>
      </c>
      <c r="AZ15" s="157">
        <v>6.4942940959126902</v>
      </c>
      <c r="BA15" s="157">
        <v>4.8497325947799768</v>
      </c>
      <c r="BB15" s="157">
        <v>2.8731314034739039</v>
      </c>
      <c r="BC15" s="157">
        <v>0.54863669619916167</v>
      </c>
      <c r="BD15" s="157">
        <v>-2.1395798996499211</v>
      </c>
      <c r="BE15" s="157">
        <v>-5.2073147438239165</v>
      </c>
      <c r="BF15" s="157">
        <v>-8.6703279988955853</v>
      </c>
      <c r="BG15" s="157">
        <v>-12.544341294729884</v>
      </c>
      <c r="BH15" s="157">
        <v>-16.845036890139323</v>
      </c>
      <c r="BI15" s="157">
        <v>-21.58805809157024</v>
      </c>
      <c r="BJ15" s="157">
        <v>-26.789010759588869</v>
      </c>
      <c r="BK15" s="157">
        <v>-32.463465778312468</v>
      </c>
      <c r="BL15" s="157">
        <v>-38.62696238951979</v>
      </c>
      <c r="BM15" s="157">
        <v>-45.295012307630088</v>
      </c>
      <c r="BN15" s="157">
        <v>-52.483104537849201</v>
      </c>
      <c r="BO15" s="157">
        <v>-60.206710820198097</v>
      </c>
      <c r="BQ15" s="157">
        <f t="shared" si="7"/>
        <v>10.291489084417343</v>
      </c>
    </row>
    <row r="16" spans="1:69">
      <c r="A16" s="163" t="s">
        <v>112</v>
      </c>
      <c r="B16" s="171">
        <f>B15/(B14*B9)</f>
        <v>0.18650755178658177</v>
      </c>
      <c r="C16" s="180"/>
      <c r="D16" s="180"/>
      <c r="E16" s="165">
        <f t="shared" si="8"/>
        <v>1750</v>
      </c>
      <c r="F16" s="157">
        <v>1.0322173203395526</v>
      </c>
      <c r="G16" s="157">
        <v>9.801252741937077</v>
      </c>
      <c r="H16" s="157">
        <v>333.47892737023125</v>
      </c>
      <c r="I16" s="157">
        <f t="shared" ca="1" si="1"/>
        <v>1.6476120232382536</v>
      </c>
      <c r="J16" s="157">
        <f t="shared" ca="1" si="3"/>
        <v>0.3</v>
      </c>
      <c r="K16" s="157">
        <f t="shared" ca="1" si="4"/>
        <v>100.04367821106938</v>
      </c>
      <c r="L16" s="157">
        <f ca="1">1.2*SQRT(N16*G16/(0.5*F16*SRef*RADIANS(alpha_max_voil)*Czalpha_voil))</f>
        <v>63.118060093120434</v>
      </c>
      <c r="M16" s="134">
        <f t="shared" ca="1" si="5"/>
        <v>100.04367821106938</v>
      </c>
      <c r="N16" s="157">
        <f ca="1">N15-U16</f>
        <v>17004.220952881798</v>
      </c>
      <c r="O16" s="157">
        <f ca="1">N16*G16/((0.5*F16*SRef*M16^2))</f>
        <v>0.22242263439073279</v>
      </c>
      <c r="P16" s="157">
        <f ca="1">INDEX(Aerodynamique!$T$6:$T$546,MATCH(O16,Aerodynamique!$Y$6:$Y$546,1))</f>
        <v>-0.69999999999999241</v>
      </c>
      <c r="Q16" s="157">
        <f ca="1">(0.5*SRef*F16*M16^2)*INDEX(Aerodynamique!$Z$6:$Z$546,MATCH(O16,Aerodynamique!$Y$6:$Y$546,1))</f>
        <v>8822.5644836818246</v>
      </c>
      <c r="R16" s="219">
        <f t="shared" ca="1" si="2"/>
        <v>25161.116828369195</v>
      </c>
      <c r="S16" s="157">
        <f ca="1">R16*M16/(N16*G16)-F16*SRef*Cx0_avion*(M16^3)/(2*N16*G16)-2*(N16*G16)/(F16*SRef*PI()*all_voil*M16)</f>
        <v>9.9641747275025896</v>
      </c>
      <c r="T16" s="157">
        <f ca="1">(E16-E15)/S15</f>
        <v>24.405045823810216</v>
      </c>
      <c r="U16" s="157">
        <f ca="1">I15*R15*T16/(3600*10)</f>
        <v>28.835032978153908</v>
      </c>
      <c r="W16"/>
      <c r="X16"/>
      <c r="Y16"/>
      <c r="Z16"/>
      <c r="AA16"/>
      <c r="AB16"/>
      <c r="AC16"/>
      <c r="AD16"/>
      <c r="AE16" s="168"/>
      <c r="AG16" s="157">
        <f ca="1">$N$9+(($N$70-$N$9)/($E$70-$E$9))*(AI16-$E$9)</f>
        <v>16916.930823020455</v>
      </c>
      <c r="AI16" s="165">
        <f t="shared" si="6"/>
        <v>1750</v>
      </c>
      <c r="AJ16" s="157">
        <v>-7.8810421582333685</v>
      </c>
      <c r="AK16" s="157">
        <v>1.1106104278059907</v>
      </c>
      <c r="AL16" s="157">
        <v>2.9855817733209973</v>
      </c>
      <c r="AM16" s="157">
        <v>4.497145130923351</v>
      </c>
      <c r="AN16" s="157">
        <v>5.7981442136779773</v>
      </c>
      <c r="AO16" s="157">
        <v>6.9287153667325896</v>
      </c>
      <c r="AP16" s="157">
        <v>7.8968226519595186</v>
      </c>
      <c r="AQ16" s="157">
        <v>8.6983929543660388</v>
      </c>
      <c r="AR16" s="157">
        <v>9.3240288588722127</v>
      </c>
      <c r="AS16" s="157">
        <v>9.7616948333321645</v>
      </c>
      <c r="AT16" s="157">
        <v>9.9979391220734897</v>
      </c>
      <c r="AU16" s="157">
        <v>10.018505469391043</v>
      </c>
      <c r="AV16" s="157">
        <v>9.8086631644895839</v>
      </c>
      <c r="AW16" s="157">
        <v>9.3533961733970248</v>
      </c>
      <c r="AX16" s="157">
        <v>8.6375170314383869</v>
      </c>
      <c r="AY16" s="157">
        <v>7.6457383158030296</v>
      </c>
      <c r="AZ16" s="157">
        <v>6.3627190559164601</v>
      </c>
      <c r="BA16" s="157">
        <v>4.7730957076255907</v>
      </c>
      <c r="BB16" s="157">
        <v>2.8615032474416391</v>
      </c>
      <c r="BC16" s="157">
        <v>0.61258970465828699</v>
      </c>
      <c r="BD16" s="157">
        <v>-1.9889738295585473</v>
      </c>
      <c r="BE16" s="157">
        <v>-4.9584864317698152</v>
      </c>
      <c r="BF16" s="157">
        <v>-8.3112129882782337</v>
      </c>
      <c r="BG16" s="157">
        <v>-12.062381707714314</v>
      </c>
      <c r="BH16" s="157">
        <v>-16.227183142012191</v>
      </c>
      <c r="BI16" s="157">
        <v>-20.820770468212583</v>
      </c>
      <c r="BJ16" s="157">
        <v>-25.858260856654152</v>
      </c>
      <c r="BK16" s="157">
        <v>-31.354737797086994</v>
      </c>
      <c r="BL16" s="157">
        <v>-37.325254282038195</v>
      </c>
      <c r="BM16" s="157">
        <v>-43.784836762171921</v>
      </c>
      <c r="BN16" s="157">
        <v>-50.748489795289025</v>
      </c>
      <c r="BO16" s="157">
        <v>-58.231201311701582</v>
      </c>
      <c r="BQ16" s="157">
        <f t="shared" si="7"/>
        <v>10.018505469391043</v>
      </c>
    </row>
    <row r="17" spans="1:69">
      <c r="A17" s="163" t="s">
        <v>113</v>
      </c>
      <c r="B17" s="170">
        <f>9.80665*(6356766/(6356766+B13))^2</f>
        <v>9.7597967417459532</v>
      </c>
      <c r="C17" s="179"/>
      <c r="D17" s="179"/>
      <c r="E17" s="165">
        <f t="shared" si="8"/>
        <v>2000</v>
      </c>
      <c r="F17" s="157">
        <v>1.0066699236286105</v>
      </c>
      <c r="G17" s="157">
        <v>9.8004820688167058</v>
      </c>
      <c r="H17" s="157">
        <v>332.49852631252367</v>
      </c>
      <c r="I17" s="157">
        <f t="shared" ca="1" si="1"/>
        <v>1.6496120232382536</v>
      </c>
      <c r="J17" s="157">
        <f t="shared" ca="1" si="3"/>
        <v>0.3</v>
      </c>
      <c r="K17" s="157">
        <f t="shared" ca="1" si="4"/>
        <v>99.7495578937571</v>
      </c>
      <c r="L17" s="157">
        <f ca="1">1.2*SQRT(N17*G17/(0.5*F17*SRef*RADIANS(alpha_max_voil)*Czalpha_voil))</f>
        <v>63.857118686805848</v>
      </c>
      <c r="M17" s="134">
        <f t="shared" ca="1" si="5"/>
        <v>99.7495578937571</v>
      </c>
      <c r="N17" s="157">
        <f ca="1">N16-U17</f>
        <v>16975.328724432933</v>
      </c>
      <c r="O17" s="157">
        <f ca="1">N17*G17/((0.5*F17*SRef*M17^2))</f>
        <v>0.22900642914177308</v>
      </c>
      <c r="P17" s="157">
        <f ca="1">INDEX(Aerodynamique!$T$6:$T$546,MATCH(O17,Aerodynamique!$Y$6:$Y$546,1))</f>
        <v>-0.64999999999999236</v>
      </c>
      <c r="Q17" s="157">
        <f ca="1">(0.5*SRef*F17*M17^2)*INDEX(Aerodynamique!$Z$6:$Z$546,MATCH(O17,Aerodynamique!$Y$6:$Y$546,1))</f>
        <v>8578.7885518296116</v>
      </c>
      <c r="R17" s="219">
        <f t="shared" ca="1" si="2"/>
        <v>24489.230647439432</v>
      </c>
      <c r="S17" s="157">
        <f ca="1">R17*M17/(N17*G17)-F17*SRef*Cx0_avion*(M17^3)/(2*N17*G17)-2*(N17*G17)/(F17*SRef*PI()*all_voil*M17)</f>
        <v>9.6896888029815305</v>
      </c>
      <c r="T17" s="157">
        <f ca="1">(E17-E16)/S16</f>
        <v>25.089885197412606</v>
      </c>
      <c r="U17" s="157">
        <f ca="1">I16*R16*T17/(3600*10)</f>
        <v>28.892228448865083</v>
      </c>
      <c r="W17"/>
      <c r="X17"/>
      <c r="Y17"/>
      <c r="Z17"/>
      <c r="AA17"/>
      <c r="AB17"/>
      <c r="AC17"/>
      <c r="AD17"/>
      <c r="AE17" s="168"/>
      <c r="AG17" s="157">
        <f ca="1">$N$9+(($N$70-$N$9)/($E$70-$E$9))*(AI17-$E$9)</f>
        <v>16875.750386684842</v>
      </c>
      <c r="AI17" s="165">
        <f t="shared" si="6"/>
        <v>2000</v>
      </c>
      <c r="AJ17" s="157">
        <v>-8.1149468066357517</v>
      </c>
      <c r="AK17" s="157">
        <v>0.99104751460869056</v>
      </c>
      <c r="AL17" s="157">
        <v>2.845214368798882</v>
      </c>
      <c r="AM17" s="157">
        <v>4.331099309030864</v>
      </c>
      <c r="AN17" s="157">
        <v>5.6064176235916499</v>
      </c>
      <c r="AO17" s="157">
        <v>6.7132653356097611</v>
      </c>
      <c r="AP17" s="157">
        <v>7.6607334055236063</v>
      </c>
      <c r="AQ17" s="157">
        <v>8.4455625807362278</v>
      </c>
      <c r="AR17" s="157">
        <v>9.0590294882847608</v>
      </c>
      <c r="AS17" s="157">
        <v>9.4897020762219384</v>
      </c>
      <c r="AT17" s="157">
        <v>9.724692963785996</v>
      </c>
      <c r="AU17" s="157">
        <v>9.7502868721448746</v>
      </c>
      <c r="AV17" s="157">
        <v>9.5522791093152879</v>
      </c>
      <c r="AW17" s="157">
        <v>9.1161695104156859</v>
      </c>
      <c r="AX17" s="157">
        <v>8.4272792039345923</v>
      </c>
      <c r="AY17" s="157">
        <v>7.4708238725606302</v>
      </c>
      <c r="AZ17" s="157">
        <v>6.2319613162336793</v>
      </c>
      <c r="BA17" s="157">
        <v>4.6958231938626476</v>
      </c>
      <c r="BB17" s="157">
        <v>2.8475366453968078</v>
      </c>
      <c r="BC17" s="157">
        <v>0.67223919976595004</v>
      </c>
      <c r="BD17" s="157">
        <v>-1.8449109375240464</v>
      </c>
      <c r="BE17" s="157">
        <v>-4.7187278976382627</v>
      </c>
      <c r="BF17" s="157">
        <v>-7.9639936129895066</v>
      </c>
      <c r="BG17" s="157">
        <v>-11.59545517556268</v>
      </c>
      <c r="BH17" s="157">
        <v>-15.627823715934422</v>
      </c>
      <c r="BI17" s="157">
        <v>-20.075774547811946</v>
      </c>
      <c r="BJ17" s="157">
        <v>-24.953948398302483</v>
      </c>
      <c r="BK17" s="157">
        <v>-30.276953591728788</v>
      </c>
      <c r="BL17" s="157">
        <v>-36.059369083837247</v>
      </c>
      <c r="BM17" s="157">
        <v>-42.315748259628457</v>
      </c>
      <c r="BN17" s="157">
        <v>-49.060623415743294</v>
      </c>
      <c r="BO17" s="157">
        <v>-56.308510850107581</v>
      </c>
      <c r="BQ17" s="157">
        <f t="shared" si="7"/>
        <v>9.7502868721448746</v>
      </c>
    </row>
    <row r="18" spans="1:69">
      <c r="A18" s="163" t="s">
        <v>348</v>
      </c>
      <c r="B18" s="172">
        <f>N*F0*(B16/1.225)^1.08*(1-Mach_montee+0.5*Mach_montee^2)^0.45</f>
        <v>3663.4047216306653</v>
      </c>
      <c r="C18" s="181"/>
      <c r="D18" s="181"/>
      <c r="E18" s="165">
        <f t="shared" si="8"/>
        <v>2250</v>
      </c>
      <c r="F18" s="157">
        <v>0.98160909585722811</v>
      </c>
      <c r="G18" s="157">
        <v>9.7997114865898727</v>
      </c>
      <c r="H18" s="157">
        <v>331.51522589467891</v>
      </c>
      <c r="I18" s="157">
        <f t="shared" ca="1" si="1"/>
        <v>1.6516120232382536</v>
      </c>
      <c r="J18" s="157">
        <f t="shared" ca="1" si="3"/>
        <v>0.3</v>
      </c>
      <c r="K18" s="157">
        <f t="shared" ca="1" si="4"/>
        <v>99.454567768403663</v>
      </c>
      <c r="L18" s="157">
        <f ca="1">1.2*SQRT(N18*G18/(0.5*F18*SRef*RADIANS(alpha_max_voil)*Czalpha_voil))</f>
        <v>64.609418265906157</v>
      </c>
      <c r="M18" s="134">
        <f t="shared" ca="1" si="5"/>
        <v>99.454567768403663</v>
      </c>
      <c r="N18" s="157">
        <f ca="1">N17-U18</f>
        <v>16946.376320220588</v>
      </c>
      <c r="O18" s="157">
        <f ca="1">N18*G18/((0.5*F18*SRef*M18^2))</f>
        <v>0.23582681704372824</v>
      </c>
      <c r="P18" s="157">
        <f ca="1">INDEX(Aerodynamique!$T$6:$T$546,MATCH(O18,Aerodynamique!$Y$6:$Y$546,1))</f>
        <v>-0.59999999999999232</v>
      </c>
      <c r="Q18" s="157">
        <f ca="1">(0.5*SRef*F18*M18^2)*INDEX(Aerodynamique!$Z$6:$Z$546,MATCH(O18,Aerodynamique!$Y$6:$Y$546,1))</f>
        <v>8340.8998003192009</v>
      </c>
      <c r="R18" s="219">
        <f t="shared" ca="1" si="2"/>
        <v>23831.464999662327</v>
      </c>
      <c r="S18" s="157">
        <f ca="1">R18*M18/(N18*G18)-F18*SRef*Cx0_avion*(M18^3)/(2*N18*G18)-2*(N18*G18)/(F18*SRef*PI()*all_voil*M18)</f>
        <v>9.420247642645986</v>
      </c>
      <c r="T18" s="157">
        <f ca="1">(E18-E17)/S17</f>
        <v>25.800622195738079</v>
      </c>
      <c r="U18" s="157">
        <f ca="1">I17*R17*T18/(3600*10)</f>
        <v>28.952404212346533</v>
      </c>
      <c r="W18"/>
      <c r="X18"/>
      <c r="Y18"/>
      <c r="Z18"/>
      <c r="AA18"/>
      <c r="AB18"/>
      <c r="AC18"/>
      <c r="AD18"/>
      <c r="AE18" s="168"/>
      <c r="AG18" s="157">
        <f ca="1">$N$9+(($N$70-$N$9)/($E$70-$E$9))*(AI18-$E$9)</f>
        <v>16834.569950349225</v>
      </c>
      <c r="AI18" s="165">
        <f t="shared" si="6"/>
        <v>2250</v>
      </c>
      <c r="AJ18" s="157">
        <v>-8.3555816504759068</v>
      </c>
      <c r="AK18" s="157">
        <v>0.8716733611950731</v>
      </c>
      <c r="AL18" s="157">
        <v>2.7062469186692293</v>
      </c>
      <c r="AM18" s="157">
        <v>4.1673725142938993</v>
      </c>
      <c r="AN18" s="157">
        <v>5.4177655151216335</v>
      </c>
      <c r="AO18" s="157">
        <v>6.5015160209558989</v>
      </c>
      <c r="AP18" s="157">
        <v>7.4288494194804358</v>
      </c>
      <c r="AQ18" s="157">
        <v>8.1973177886319561</v>
      </c>
      <c r="AR18" s="157">
        <v>8.7988648089920556</v>
      </c>
      <c r="AS18" s="157">
        <v>9.2226527056526386</v>
      </c>
      <c r="AT18" s="157">
        <v>9.4563480746798554</v>
      </c>
      <c r="AU18" s="157">
        <v>9.4867655313853785</v>
      </c>
      <c r="AV18" s="157">
        <v>9.3002149103617917</v>
      </c>
      <c r="AW18" s="157">
        <v>8.8827001716044336</v>
      </c>
      <c r="AX18" s="157">
        <v>8.2200391353283528</v>
      </c>
      <c r="AY18" s="157">
        <v>7.297938590448604</v>
      </c>
      <c r="AZ18" s="157">
        <v>6.1020430488315496</v>
      </c>
      <c r="BA18" s="157">
        <v>4.6179672802451144</v>
      </c>
      <c r="BB18" s="157">
        <v>2.831318479786209</v>
      </c>
      <c r="BC18" s="157">
        <v>0.72771156377836355</v>
      </c>
      <c r="BD18" s="157">
        <v>-1.7072202556713909</v>
      </c>
      <c r="BE18" s="157">
        <v>-4.4878182617095206</v>
      </c>
      <c r="BF18" s="157">
        <v>-7.6283935159149143</v>
      </c>
      <c r="BG18" s="157">
        <v>-11.143224059839712</v>
      </c>
      <c r="BH18" s="157">
        <v>-15.046553650677575</v>
      </c>
      <c r="BI18" s="157">
        <v>-19.352591768058915</v>
      </c>
      <c r="BJ18" s="157">
        <v>-24.075514706682885</v>
      </c>
      <c r="BK18" s="157">
        <v>-29.229467618776006</v>
      </c>
      <c r="BL18" s="157">
        <v>-34.828567400655295</v>
      </c>
      <c r="BM18" s="157">
        <v>-40.88690633504698</v>
      </c>
      <c r="BN18" s="157">
        <v>-47.418556409321653</v>
      </c>
      <c r="BO18" s="157">
        <v>-54.437574232262641</v>
      </c>
      <c r="BQ18" s="157">
        <f t="shared" si="7"/>
        <v>9.4867655313853785</v>
      </c>
    </row>
    <row r="19" spans="1:69">
      <c r="A19" s="163" t="s">
        <v>349</v>
      </c>
      <c r="B19" s="164">
        <f>N*(Cs+4*10^-6*B13+0.4*Mach_montee*e^(-0.1*Mach_montee))</f>
        <v>1.9184078603990133</v>
      </c>
      <c r="C19" s="177"/>
      <c r="D19" s="177"/>
      <c r="E19" s="165">
        <f t="shared" si="8"/>
        <v>2500</v>
      </c>
      <c r="F19" s="157">
        <v>0.95702837823443432</v>
      </c>
      <c r="G19" s="157">
        <v>9.7989409952422886</v>
      </c>
      <c r="H19" s="157">
        <v>330.52900024052349</v>
      </c>
      <c r="I19" s="157">
        <f t="shared" ca="1" si="1"/>
        <v>1.6536120232382536</v>
      </c>
      <c r="J19" s="157">
        <f t="shared" ca="1" si="3"/>
        <v>0.3</v>
      </c>
      <c r="K19" s="157">
        <f t="shared" ca="1" si="4"/>
        <v>99.158700072157046</v>
      </c>
      <c r="L19" s="157">
        <f ca="1">1.2*SQRT(N19*G19/(0.5*F19*SRef*RADIANS(alpha_max_voil)*Czalpha_voil))</f>
        <v>65.375273048213515</v>
      </c>
      <c r="M19" s="134">
        <f t="shared" ca="1" si="5"/>
        <v>99.158700072157046</v>
      </c>
      <c r="N19" s="157">
        <f ca="1">N18-U19</f>
        <v>16917.360559275279</v>
      </c>
      <c r="O19" s="157">
        <f ca="1">N19*G19/((0.5*F19*SRef*M19^2))</f>
        <v>0.24289377159308231</v>
      </c>
      <c r="P19" s="157">
        <f ca="1">INDEX(Aerodynamique!$T$6:$T$546,MATCH(O19,Aerodynamique!$Y$6:$Y$546,1))</f>
        <v>-0.49999999999999228</v>
      </c>
      <c r="Q19" s="157">
        <f ca="1">(0.5*SRef*F19*M19^2)*INDEX(Aerodynamique!$Z$6:$Z$546,MATCH(O19,Aerodynamique!$Y$6:$Y$546,1))</f>
        <v>8134.5252060889688</v>
      </c>
      <c r="R19" s="219">
        <f t="shared" ca="1" si="2"/>
        <v>23187.604375705268</v>
      </c>
      <c r="S19" s="157">
        <f ca="1">R19*M19/(N19*G19)-F19*SRef*Cx0_avion*(M19^3)/(2*N19*G19)-2*(N19*G19)/(F19*SRef*PI()*all_voil*M19)</f>
        <v>9.1557733255997871</v>
      </c>
      <c r="T19" s="157">
        <f ca="1">(E19-E18)/S18</f>
        <v>26.538580458143805</v>
      </c>
      <c r="U19" s="157">
        <f ca="1">I18*R18*T19/(3600*10)</f>
        <v>29.015760945307303</v>
      </c>
      <c r="W19"/>
      <c r="X19"/>
      <c r="Y19"/>
      <c r="Z19"/>
      <c r="AA19"/>
      <c r="AB19"/>
      <c r="AC19"/>
      <c r="AD19"/>
      <c r="AE19" s="168"/>
      <c r="AG19" s="157">
        <f ca="1">$N$9+(($N$70-$N$9)/($E$70-$E$9))*(AI19-$E$9)</f>
        <v>16793.389514013612</v>
      </c>
      <c r="AI19" s="165">
        <f t="shared" si="6"/>
        <v>2500</v>
      </c>
      <c r="AJ19" s="157">
        <v>-8.6032258487048203</v>
      </c>
      <c r="AK19" s="157">
        <v>0.75240927576946959</v>
      </c>
      <c r="AL19" s="157">
        <v>2.5686081139058992</v>
      </c>
      <c r="AM19" s="157">
        <v>4.0058926826869179</v>
      </c>
      <c r="AN19" s="157">
        <v>5.2321126574440591</v>
      </c>
      <c r="AO19" s="157">
        <v>6.2933886824614529</v>
      </c>
      <c r="AP19" s="157">
        <v>7.2010891253870621</v>
      </c>
      <c r="AQ19" s="157">
        <v>7.9535754947321005</v>
      </c>
      <c r="AR19" s="157">
        <v>8.5434519934511997</v>
      </c>
      <c r="AS19" s="157">
        <v>8.9604662904606585</v>
      </c>
      <c r="AT19" s="157">
        <v>9.192828882618171</v>
      </c>
      <c r="AU19" s="157">
        <v>9.2278734905703832</v>
      </c>
      <c r="AV19" s="157">
        <v>9.0524132596855775</v>
      </c>
      <c r="AW19" s="157">
        <v>8.6529447956495815</v>
      </c>
      <c r="AX19" s="157">
        <v>8.0157709662277838</v>
      </c>
      <c r="AY19" s="157">
        <v>7.1270779190569469</v>
      </c>
      <c r="AZ19" s="157">
        <v>5.9729850670873423</v>
      </c>
      <c r="BA19" s="157">
        <v>4.539578443445091</v>
      </c>
      <c r="BB19" s="157">
        <v>2.8129334324145159</v>
      </c>
      <c r="BC19" s="157">
        <v>0.77913046590045631</v>
      </c>
      <c r="BD19" s="157">
        <v>-1.5757341062578136</v>
      </c>
      <c r="BE19" s="157">
        <v>-4.2655405790037184</v>
      </c>
      <c r="BF19" s="157">
        <v>-7.3041409896934324</v>
      </c>
      <c r="BG19" s="157">
        <v>-10.70535616018033</v>
      </c>
      <c r="BH19" s="157">
        <v>-14.482974287615402</v>
      </c>
      <c r="BI19" s="157">
        <v>-18.650750812915778</v>
      </c>
      <c r="BJ19" s="157">
        <v>-23.222409375954644</v>
      </c>
      <c r="BK19" s="157">
        <v>-28.211643717522289</v>
      </c>
      <c r="BL19" s="157">
        <v>-33.632120419681449</v>
      </c>
      <c r="BM19" s="157">
        <v>-39.497482394518272</v>
      </c>
      <c r="BN19" s="157">
        <v>-45.821353040618668</v>
      </c>
      <c r="BO19" s="157">
        <v>-52.617340989743184</v>
      </c>
      <c r="BQ19" s="157">
        <f t="shared" si="7"/>
        <v>9.2278734905703832</v>
      </c>
    </row>
    <row r="20" spans="1:69">
      <c r="A20" s="221" t="s">
        <v>397</v>
      </c>
      <c r="B20" s="158">
        <f ca="1">$N$9+(($N$70-$N$9)/($E$70-$E$9))*(B13-$E$9)</f>
        <v>14694.834478350707</v>
      </c>
      <c r="E20" s="165">
        <f t="shared" si="8"/>
        <v>2750</v>
      </c>
      <c r="F20" s="157">
        <v>0.9329213599843984</v>
      </c>
      <c r="G20" s="157">
        <v>9.7981705947596627</v>
      </c>
      <c r="H20" s="157">
        <v>329.53982308667946</v>
      </c>
      <c r="I20" s="157">
        <f t="shared" ca="1" si="1"/>
        <v>1.6556120232382536</v>
      </c>
      <c r="J20" s="157">
        <f t="shared" ca="1" si="3"/>
        <v>0.3</v>
      </c>
      <c r="K20" s="157">
        <f t="shared" ca="1" si="4"/>
        <v>98.861946926003839</v>
      </c>
      <c r="L20" s="157">
        <f ca="1">1.2*SQRT(N20*G20/(0.5*F20*SRef*RADIANS(alpha_max_voil)*Czalpha_voil))</f>
        <v>66.1550062562835</v>
      </c>
      <c r="M20" s="134">
        <f t="shared" ca="1" si="5"/>
        <v>98.861946926003839</v>
      </c>
      <c r="N20" s="157">
        <f ca="1">N19-U20</f>
        <v>16888.278043050737</v>
      </c>
      <c r="O20" s="157">
        <f ca="1">N20*G20/((0.5*F20*SRef*M20^2))</f>
        <v>0.25021774639822653</v>
      </c>
      <c r="P20" s="157">
        <f ca="1">INDEX(Aerodynamique!$T$6:$T$546,MATCH(O20,Aerodynamique!$Y$6:$Y$546,1))</f>
        <v>-0.4499999999999923</v>
      </c>
      <c r="Q20" s="157">
        <f ca="1">(0.5*SRef*F20*M20^2)*INDEX(Aerodynamique!$Z$6:$Z$546,MATCH(O20,Aerodynamique!$Y$6:$Y$546,1))</f>
        <v>7907.9033118717407</v>
      </c>
      <c r="R20" s="219">
        <f t="shared" ca="1" si="2"/>
        <v>22557.435300591733</v>
      </c>
      <c r="S20" s="157">
        <f ca="1">R20*M20/(N20*G20)-F20*SRef*Cx0_avion*(M20^3)/(2*N20*G20)-2*(N20*G20)/(F20*SRef*PI()*all_voil*M20)</f>
        <v>8.8961878439727933</v>
      </c>
      <c r="T20" s="157">
        <f ca="1">(E20-E19)/S19</f>
        <v>27.305175773737574</v>
      </c>
      <c r="U20" s="157">
        <f ca="1">I19*R19*T20/(3600*10)</f>
        <v>29.082516224542289</v>
      </c>
      <c r="W20"/>
      <c r="X20"/>
      <c r="Y20"/>
      <c r="Z20"/>
      <c r="AA20"/>
      <c r="AB20"/>
      <c r="AC20"/>
      <c r="AD20"/>
      <c r="AE20" s="168"/>
      <c r="AG20" s="157">
        <f ca="1">$N$9+(($N$70-$N$9)/($E$70-$E$9))*(AI20-$E$9)</f>
        <v>16752.209077677999</v>
      </c>
      <c r="AI20" s="165">
        <f t="shared" si="6"/>
        <v>2750</v>
      </c>
      <c r="AJ20" s="157">
        <v>-8.8581709626039711</v>
      </c>
      <c r="AK20" s="157">
        <v>0.6331742779900591</v>
      </c>
      <c r="AL20" s="157">
        <v>2.4322252754534981</v>
      </c>
      <c r="AM20" s="157">
        <v>3.8465868723253034</v>
      </c>
      <c r="AN20" s="157">
        <v>5.0493832535169645</v>
      </c>
      <c r="AO20" s="157">
        <v>6.0888042246120753</v>
      </c>
      <c r="AP20" s="157">
        <v>6.9773707424804439</v>
      </c>
      <c r="AQ20" s="157">
        <v>7.7142524928766871</v>
      </c>
      <c r="AR20" s="157">
        <v>8.2927081341857267</v>
      </c>
      <c r="AS20" s="157">
        <v>8.7030623187585086</v>
      </c>
      <c r="AT20" s="157">
        <v>8.9340596909833376</v>
      </c>
      <c r="AU20" s="157">
        <v>8.9735425814293563</v>
      </c>
      <c r="AV20" s="157">
        <v>8.8088165055821488</v>
      </c>
      <c r="AW20" s="157">
        <v>8.4268594988713872</v>
      </c>
      <c r="AX20" s="157">
        <v>7.8144480875822024</v>
      </c>
      <c r="AY20" s="157">
        <v>6.9582362799973128</v>
      </c>
      <c r="AZ20" s="157">
        <v>5.8448068245576801</v>
      </c>
      <c r="BA20" s="157">
        <v>4.4607054123409</v>
      </c>
      <c r="BB20" s="157">
        <v>2.7924639904991153</v>
      </c>
      <c r="BC20" s="157">
        <v>0.82661687238626635</v>
      </c>
      <c r="BD20" s="157">
        <v>-1.4502880872196098</v>
      </c>
      <c r="BE20" s="157">
        <v>-4.0516818201412024</v>
      </c>
      <c r="BF20" s="157">
        <v>-6.9909689525321577</v>
      </c>
      <c r="BG20" s="157">
        <v>-10.281524684676191</v>
      </c>
      <c r="BH20" s="157">
        <v>-13.936693235276033</v>
      </c>
      <c r="BI20" s="157">
        <v>-17.969787570906433</v>
      </c>
      <c r="BJ20" s="157">
        <v>-22.394090223864875</v>
      </c>
      <c r="BK20" s="157">
        <v>-27.222855054411191</v>
      </c>
      <c r="BL20" s="157">
        <v>-32.469309846274712</v>
      </c>
      <c r="BM20" s="157">
        <v>-38.146659643708475</v>
      </c>
      <c r="BN20" s="157">
        <v>-44.268090748526269</v>
      </c>
      <c r="BO20" s="157">
        <v>-50.846775299395979</v>
      </c>
      <c r="BQ20" s="157">
        <f t="shared" si="7"/>
        <v>8.9735425814293563</v>
      </c>
    </row>
    <row r="21" spans="1:69">
      <c r="A21" s="163" t="s">
        <v>357</v>
      </c>
      <c r="B21" s="160">
        <f>MTOW*B17/((0.5*B16*SRef*B12^2))</f>
        <v>0.5710720854043797</v>
      </c>
      <c r="E21" s="165">
        <f t="shared" si="8"/>
        <v>3000</v>
      </c>
      <c r="F21" s="157">
        <v>0.90928167827323914</v>
      </c>
      <c r="G21" s="157">
        <v>9.7974002851277078</v>
      </c>
      <c r="H21" s="157">
        <v>328.54766777440375</v>
      </c>
      <c r="I21" s="157">
        <f t="shared" ca="1" si="1"/>
        <v>1.6576120232382536</v>
      </c>
      <c r="J21" s="157">
        <f t="shared" ca="1" si="3"/>
        <v>0.3</v>
      </c>
      <c r="K21" s="157">
        <f t="shared" ca="1" si="4"/>
        <v>98.564300332321125</v>
      </c>
      <c r="L21" s="157">
        <f ca="1">1.2*SQRT(N21*G21/(0.5*F21*SRef*RADIANS(alpha_max_voil)*Czalpha_voil))</f>
        <v>66.948950394293533</v>
      </c>
      <c r="M21" s="134">
        <f t="shared" ca="1" si="5"/>
        <v>98.564300332321125</v>
      </c>
      <c r="N21" s="157">
        <f ca="1">N20-U21</f>
        <v>16859.125136840856</v>
      </c>
      <c r="O21" s="157">
        <f ca="1">N21*G21/((0.5*F21*SRef*M21^2))</f>
        <v>0.25780970090084265</v>
      </c>
      <c r="P21" s="157">
        <f ca="1">INDEX(Aerodynamique!$T$6:$T$546,MATCH(O21,Aerodynamique!$Y$6:$Y$546,1))</f>
        <v>-0.34999999999999232</v>
      </c>
      <c r="Q21" s="157">
        <f ca="1">(0.5*SRef*F21*M21^2)*INDEX(Aerodynamique!$Z$6:$Z$546,MATCH(O21,Aerodynamique!$Y$6:$Y$546,1))</f>
        <v>7712.9782059194295</v>
      </c>
      <c r="R21" s="219">
        <f t="shared" ca="1" si="2"/>
        <v>21940.746326483455</v>
      </c>
      <c r="S21" s="157">
        <f ca="1">R21*M21/(N21*G21)-F21*SRef*Cx0_avion*(M21^3)/(2*N21*G21)-2*(N21*G21)/(F21*SRef*PI()*all_voil*M21)</f>
        <v>8.6414130866936958</v>
      </c>
      <c r="T21" s="157">
        <f ca="1">(E21-E20)/S20</f>
        <v>28.10192459789123</v>
      </c>
      <c r="U21" s="157">
        <f ca="1">I20*R20*T21/(3600*10)</f>
        <v>29.152906209881209</v>
      </c>
      <c r="W21"/>
      <c r="X21"/>
      <c r="Y21"/>
      <c r="Z21"/>
      <c r="AA21"/>
      <c r="AB21"/>
      <c r="AC21"/>
      <c r="AD21"/>
      <c r="AE21" s="168"/>
      <c r="AG21" s="157">
        <f ca="1">$N$9+(($N$70-$N$9)/($E$70-$E$9))*(AI21-$E$9)</f>
        <v>16711.028641342382</v>
      </c>
      <c r="AI21" s="165">
        <f t="shared" si="6"/>
        <v>3000</v>
      </c>
      <c r="AJ21" s="157">
        <v>-9.1207216022224014</v>
      </c>
      <c r="AK21" s="157">
        <v>0.51388496945140116</v>
      </c>
      <c r="AL21" s="157">
        <v>2.2970242677321568</v>
      </c>
      <c r="AM21" s="157">
        <v>3.6893811985043459</v>
      </c>
      <c r="AN21" s="157">
        <v>4.8695008881114559</v>
      </c>
      <c r="AO21" s="157">
        <v>5.8876831534974867</v>
      </c>
      <c r="AP21" s="157">
        <v>6.7576122409146517</v>
      </c>
      <c r="AQ21" s="157">
        <v>7.4792654223248221</v>
      </c>
      <c r="AR21" s="157">
        <v>8.0465502161879439</v>
      </c>
      <c r="AS21" s="157">
        <v>8.4503601739314114</v>
      </c>
      <c r="AT21" s="157">
        <v>8.6799646579318726</v>
      </c>
      <c r="AU21" s="157">
        <v>8.7237044062893609</v>
      </c>
      <c r="AV21" s="157">
        <v>8.5693666379047588</v>
      </c>
      <c r="AW21" s="157">
        <v>8.2043998635399529</v>
      </c>
      <c r="AX21" s="157">
        <v>7.6160431320652879</v>
      </c>
      <c r="AY21" s="157">
        <v>6.7914070614773534</v>
      </c>
      <c r="AZ21" s="157">
        <v>5.7175264129133891</v>
      </c>
      <c r="BA21" s="157">
        <v>4.3813951695212632</v>
      </c>
      <c r="BB21" s="157">
        <v>2.7699904519872196</v>
      </c>
      <c r="BC21" s="157">
        <v>0.87028905594434813</v>
      </c>
      <c r="BD21" s="157">
        <v>-1.3307210583741462</v>
      </c>
      <c r="BE21" s="157">
        <v>-3.8460328528204926</v>
      </c>
      <c r="BF21" s="157">
        <v>-6.6886149246034767</v>
      </c>
      <c r="BG21" s="157">
        <v>-9.871408220810368</v>
      </c>
      <c r="BH21" s="157">
        <v>-13.407324334409703</v>
      </c>
      <c r="BI21" s="157">
        <v>-17.309245093889956</v>
      </c>
      <c r="BJ21" s="157">
        <v>-21.59002324377883</v>
      </c>
      <c r="BK21" s="157">
        <v>-26.262484067852412</v>
      </c>
      <c r="BL21" s="157">
        <v>-31.339427841075121</v>
      </c>
      <c r="BM21" s="157">
        <v>-36.833633016752835</v>
      </c>
      <c r="BN21" s="157">
        <v>-42.757860066377667</v>
      </c>
      <c r="BO21" s="157">
        <v>-49.124855894180193</v>
      </c>
      <c r="BQ21" s="157">
        <f t="shared" si="7"/>
        <v>8.7237044062893609</v>
      </c>
    </row>
    <row r="22" spans="1:69">
      <c r="A22" s="163" t="s">
        <v>350</v>
      </c>
      <c r="B22" s="160">
        <f>(0.5*SRef*B16*B12^2)*INDEX(Aerodynamique!Z6:Z306,MATCH(B21,Aerodynamique!Y6:Y306,1))</f>
        <v>4937.2827866536836</v>
      </c>
      <c r="E22" s="165">
        <f t="shared" si="8"/>
        <v>3250</v>
      </c>
      <c r="F22" s="157">
        <v>0.88610301813551495</v>
      </c>
      <c r="G22" s="157">
        <v>9.7966300663321384</v>
      </c>
      <c r="H22" s="157">
        <v>327.55250724120549</v>
      </c>
      <c r="I22" s="157">
        <f t="shared" ca="1" si="1"/>
        <v>1.6596120232382536</v>
      </c>
      <c r="J22" s="157">
        <f t="shared" ca="1" si="3"/>
        <v>0.3</v>
      </c>
      <c r="K22" s="157">
        <f t="shared" ca="1" si="4"/>
        <v>98.265752172361644</v>
      </c>
      <c r="L22" s="157">
        <f ca="1">1.2*SQRT(N22*G22/(0.5*F22*SRef*RADIANS(alpha_max_voil)*Czalpha_voil))</f>
        <v>67.75744753098661</v>
      </c>
      <c r="M22" s="134">
        <f t="shared" ca="1" si="5"/>
        <v>98.265752172361644</v>
      </c>
      <c r="N22" s="157">
        <f ca="1">N21-U22</f>
        <v>16829.897949316397</v>
      </c>
      <c r="O22" s="157">
        <f ca="1">N22*G22/((0.5*F22*SRef*M22^2))</f>
        <v>0.26568112758096196</v>
      </c>
      <c r="P22" s="157">
        <f ca="1">INDEX(Aerodynamique!$T$6:$T$546,MATCH(O22,Aerodynamique!$Y$6:$Y$546,1))</f>
        <v>-0.29999999999999233</v>
      </c>
      <c r="Q22" s="157">
        <f ca="1">(0.5*SRef*F22*M22^2)*INDEX(Aerodynamique!$Z$6:$Z$546,MATCH(O22,Aerodynamique!$Y$6:$Y$546,1))</f>
        <v>7496.9803524369099</v>
      </c>
      <c r="R22" s="219">
        <f t="shared" ca="1" si="2"/>
        <v>21337.328025445364</v>
      </c>
      <c r="S22" s="157">
        <f ca="1">R22*M22/(N22*G22)-F22*SRef*Cx0_avion*(M22^3)/(2*N22*G22)-2*(N22*G22)/(F22*SRef*PI()*all_voil*M22)</f>
        <v>8.3913708222099324</v>
      </c>
      <c r="T22" s="157">
        <f ca="1">(E22-E21)/S21</f>
        <v>28.930453560304553</v>
      </c>
      <c r="U22" s="157">
        <f ca="1">I21*R21*T22/(3600*10)</f>
        <v>29.22718752445866</v>
      </c>
      <c r="W22"/>
      <c r="X22"/>
      <c r="Y22"/>
      <c r="Z22"/>
      <c r="AA22"/>
      <c r="AB22"/>
      <c r="AC22"/>
      <c r="AD22"/>
      <c r="AE22" s="168"/>
      <c r="AG22" s="157">
        <f ca="1">$N$9+(($N$70-$N$9)/($E$70-$E$9))*(AI22-$E$9)</f>
        <v>16669.848205006769</v>
      </c>
      <c r="AI22" s="165">
        <f t="shared" si="6"/>
        <v>3250</v>
      </c>
      <c r="AJ22" s="157">
        <v>-9.3911961106674458</v>
      </c>
      <c r="AK22" s="157">
        <v>0.39445539659284856</v>
      </c>
      <c r="AL22" s="157">
        <v>2.162929407090096</v>
      </c>
      <c r="AM22" s="157">
        <v>3.5342007649462959</v>
      </c>
      <c r="AN22" s="157">
        <v>4.6923884728066945</v>
      </c>
      <c r="AO22" s="157">
        <v>5.6899455310877523</v>
      </c>
      <c r="AP22" s="157">
        <v>6.5417313028251298</v>
      </c>
      <c r="AQ22" s="157">
        <v>7.2485307341094725</v>
      </c>
      <c r="AR22" s="157">
        <v>7.8048950876281689</v>
      </c>
      <c r="AS22" s="157">
        <v>8.202279109109039</v>
      </c>
      <c r="AT22" s="157">
        <v>8.430467774262473</v>
      </c>
      <c r="AU22" s="157">
        <v>8.4782903191297834</v>
      </c>
      <c r="AV22" s="157">
        <v>8.3340052722101525</v>
      </c>
      <c r="AW22" s="157">
        <v>7.9855209251030654</v>
      </c>
      <c r="AX22" s="157">
        <v>7.4205279644445312</v>
      </c>
      <c r="AY22" s="157">
        <v>6.6265826119271649</v>
      </c>
      <c r="AZ22" s="157">
        <v>5.5911605589855213</v>
      </c>
      <c r="BA22" s="157">
        <v>4.3016929519538829</v>
      </c>
      <c r="BB22" s="157">
        <v>2.7455909300862515</v>
      </c>
      <c r="BC22" s="157">
        <v>0.91026260440139473</v>
      </c>
      <c r="BD22" s="157">
        <v>-1.216875128321778</v>
      </c>
      <c r="BE22" s="157">
        <v>-3.6483884239567432</v>
      </c>
      <c r="BF22" s="157">
        <v>-6.3968210050650303</v>
      </c>
      <c r="BG22" s="157">
        <v>-9.4746907069795263</v>
      </c>
      <c r="BH22" s="157">
        <v>-12.894487623609786</v>
      </c>
      <c r="BI22" s="157">
        <v>-16.668673556354282</v>
      </c>
      <c r="BJ22" s="157">
        <v>-20.809682557197874</v>
      </c>
      <c r="BK22" s="157">
        <v>-25.329922413494497</v>
      </c>
      <c r="BL22" s="157">
        <v>-30.241776957539912</v>
      </c>
      <c r="BM22" s="157">
        <v>-35.557609105543619</v>
      </c>
      <c r="BN22" s="157">
        <v>-41.289764542454911</v>
      </c>
      <c r="BO22" s="157">
        <v>-47.450575974342222</v>
      </c>
      <c r="BQ22" s="157">
        <f t="shared" si="7"/>
        <v>8.4782903191297834</v>
      </c>
    </row>
    <row r="23" spans="1:69">
      <c r="E23" s="165">
        <f t="shared" si="8"/>
        <v>3500</v>
      </c>
      <c r="F23" s="157">
        <v>0.86337911240037468</v>
      </c>
      <c r="G23" s="157">
        <v>9.7958599383586726</v>
      </c>
      <c r="H23" s="157">
        <v>326.55431401223285</v>
      </c>
      <c r="I23" s="157">
        <f t="shared" ca="1" si="1"/>
        <v>1.6616120232382536</v>
      </c>
      <c r="J23" s="157">
        <f t="shared" ca="1" si="3"/>
        <v>0.3</v>
      </c>
      <c r="K23" s="157">
        <f t="shared" ca="1" si="4"/>
        <v>97.966294203669847</v>
      </c>
      <c r="L23" s="157">
        <f ca="1">1.2*SQRT(N23*G23/(0.5*F23*SRef*RADIANS(alpha_max_voil)*Czalpha_voil))</f>
        <v>68.58084958827547</v>
      </c>
      <c r="M23" s="134">
        <f t="shared" ca="1" si="5"/>
        <v>97.966294203669847</v>
      </c>
      <c r="N23" s="157">
        <f ca="1">N22-U23</f>
        <v>16800.592309956926</v>
      </c>
      <c r="O23" s="157">
        <f ca="1">N23*G23/((0.5*F23*SRef*M23^2))</f>
        <v>0.27384408073226651</v>
      </c>
      <c r="P23" s="157">
        <f ca="1">INDEX(Aerodynamique!$T$6:$T$546,MATCH(O23,Aerodynamique!$Y$6:$Y$546,1))</f>
        <v>-0.19999999999999235</v>
      </c>
      <c r="Q23" s="157">
        <f ca="1">(0.5*SRef*F23*M23^2)*INDEX(Aerodynamique!$Z$6:$Z$546,MATCH(O23,Aerodynamique!$Y$6:$Y$546,1))</f>
        <v>7312.7064278172093</v>
      </c>
      <c r="R23" s="219">
        <f t="shared" ca="1" si="2"/>
        <v>20746.972982192627</v>
      </c>
      <c r="S23" s="157">
        <f ca="1">R23*M23/(N23*G23)-F23*SRef*Cx0_avion*(M23^3)/(2*N23*G23)-2*(N23*G23)/(F23*SRef*PI()*all_voil*M23)</f>
        <v>8.1459826801120272</v>
      </c>
      <c r="T23" s="157">
        <f ca="1">(E23-E22)/S22</f>
        <v>29.792510103153869</v>
      </c>
      <c r="U23" s="157">
        <f ca="1">I22*R22*T23/(3600*10)</f>
        <v>29.305639359471428</v>
      </c>
      <c r="W23"/>
      <c r="X23"/>
      <c r="Y23"/>
      <c r="Z23"/>
      <c r="AA23"/>
      <c r="AB23"/>
      <c r="AC23"/>
      <c r="AD23"/>
      <c r="AE23" s="168"/>
      <c r="AG23" s="157">
        <f ca="1">$N$9+(($N$70-$N$9)/($E$70-$E$9))*(AI23-$E$9)</f>
        <v>16628.667768671155</v>
      </c>
      <c r="AI23" s="165">
        <f t="shared" si="6"/>
        <v>3500</v>
      </c>
      <c r="AJ23" s="157">
        <v>-9.669927288718732</v>
      </c>
      <c r="AK23" s="157">
        <v>0.27479690553883263</v>
      </c>
      <c r="AL23" s="157">
        <v>2.0298633648745481</v>
      </c>
      <c r="AM23" s="157">
        <v>3.3809695910083462</v>
      </c>
      <c r="AN23" s="157">
        <v>4.5179681877508928</v>
      </c>
      <c r="AO23" s="157">
        <v>5.4955109268120701</v>
      </c>
      <c r="AP23" s="157">
        <v>6.3296452810785988</v>
      </c>
      <c r="AQ23" s="157">
        <v>7.0219646553652737</v>
      </c>
      <c r="AR23" s="157">
        <v>7.5676594287606465</v>
      </c>
      <c r="AS23" s="157">
        <v>7.9587382200132417</v>
      </c>
      <c r="AT23" s="157">
        <v>8.1854928398070683</v>
      </c>
      <c r="AU23" s="157">
        <v>8.2372314052830369</v>
      </c>
      <c r="AV23" s="157">
        <v>8.1026736326549571</v>
      </c>
      <c r="AW23" s="157">
        <v>7.7701771582550307</v>
      </c>
      <c r="AX23" s="157">
        <v>7.2278736708707054</v>
      </c>
      <c r="AY23" s="157">
        <v>6.4637542326158384</v>
      </c>
      <c r="AZ23" s="157">
        <v>5.4657246208639725</v>
      </c>
      <c r="BA23" s="157">
        <v>4.2216422507634697</v>
      </c>
      <c r="BB23" s="157">
        <v>2.719341356955336</v>
      </c>
      <c r="BC23" s="157">
        <v>0.9466504285747297</v>
      </c>
      <c r="BD23" s="157">
        <v>-1.1085956420943446</v>
      </c>
      <c r="BE23" s="157">
        <v>-3.4585471425253225</v>
      </c>
      <c r="BF23" s="157">
        <v>-6.1153338497457677</v>
      </c>
      <c r="BG23" s="157">
        <v>-9.0910614046444778</v>
      </c>
      <c r="BH23" s="157">
        <v>-12.397809305526215</v>
      </c>
      <c r="BI23" s="157">
        <v>-16.047630215267489</v>
      </c>
      <c r="BJ23" s="157">
        <v>-20.052550366801533</v>
      </c>
      <c r="BK23" s="157">
        <v>-24.424570909988137</v>
      </c>
      <c r="BL23" s="157">
        <v>-29.175670079937671</v>
      </c>
      <c r="BM23" s="157">
        <v>-34.317806089443813</v>
      </c>
      <c r="BN23" s="157">
        <v>-39.862920660890175</v>
      </c>
      <c r="BO23" s="157">
        <v>-45.822943118951706</v>
      </c>
      <c r="BQ23" s="157">
        <f t="shared" si="7"/>
        <v>8.2372314052830369</v>
      </c>
    </row>
    <row r="24" spans="1:69">
      <c r="E24" s="165">
        <f t="shared" si="8"/>
        <v>3750</v>
      </c>
      <c r="F24" s="157">
        <v>0.84110374161738399</v>
      </c>
      <c r="G24" s="157">
        <v>9.7950899011930339</v>
      </c>
      <c r="H24" s="157">
        <v>325.55306019142256</v>
      </c>
      <c r="I24" s="157">
        <f t="shared" ca="1" si="1"/>
        <v>1.6636120232382536</v>
      </c>
      <c r="J24" s="157">
        <f t="shared" ca="1" si="3"/>
        <v>0.3</v>
      </c>
      <c r="K24" s="157">
        <f t="shared" ca="1" si="4"/>
        <v>97.665918057426765</v>
      </c>
      <c r="L24" s="157">
        <f ca="1">1.2*SQRT(N24*G24/(0.5*F24*SRef*RADIANS(alpha_max_voil)*Czalpha_voil))</f>
        <v>69.419518634953391</v>
      </c>
      <c r="M24" s="134">
        <f t="shared" ca="1" si="5"/>
        <v>97.665918057426765</v>
      </c>
      <c r="N24" s="157">
        <f ca="1">N23-U24</f>
        <v>16771.20374412198</v>
      </c>
      <c r="O24" s="157">
        <f ca="1">N24*G24/((0.5*F24*SRef*M24^2))</f>
        <v>0.28231120689836803</v>
      </c>
      <c r="P24" s="157">
        <f ca="1">INDEX(Aerodynamique!$T$6:$T$546,MATCH(O24,Aerodynamique!$Y$6:$Y$546,1))</f>
        <v>-9.9999999999992359E-2</v>
      </c>
      <c r="Q24" s="157">
        <f ca="1">(0.5*SRef*F24*M24^2)*INDEX(Aerodynamique!$Z$6:$Z$546,MATCH(O24,Aerodynamique!$Y$6:$Y$546,1))</f>
        <v>7133.6752326241776</v>
      </c>
      <c r="R24" s="219">
        <f t="shared" ca="1" si="2"/>
        <v>20169.475786820276</v>
      </c>
      <c r="S24" s="157">
        <f ca="1">R24*M24/(N24*G24)-F24*SRef*Cx0_avion*(M24^3)/(2*N24*G24)-2*(N24*G24)/(F24*SRef*PI()*all_voil*M24)</f>
        <v>7.9051701316210847</v>
      </c>
      <c r="T24" s="157">
        <f ca="1">(E24-E23)/S23</f>
        <v>30.689974410375481</v>
      </c>
      <c r="U24" s="157">
        <f ca="1">I23*R23*T24/(3600*10)</f>
        <v>29.388565834945112</v>
      </c>
      <c r="W24"/>
      <c r="X24"/>
      <c r="Y24"/>
      <c r="Z24"/>
      <c r="AA24"/>
      <c r="AB24"/>
      <c r="AC24"/>
      <c r="AD24"/>
      <c r="AE24" s="168"/>
      <c r="AG24" s="157">
        <f ca="1">$N$9+(($N$70-$N$9)/($E$70-$E$9))*(AI24-$E$9)</f>
        <v>16587.487332335539</v>
      </c>
      <c r="AI24" s="165">
        <f t="shared" si="6"/>
        <v>3750</v>
      </c>
      <c r="AJ24" s="157">
        <v>-9.9572631624123815</v>
      </c>
      <c r="AK24" s="157">
        <v>0.15481798834159965</v>
      </c>
      <c r="AL24" s="157">
        <v>1.8977470647681074</v>
      </c>
      <c r="AM24" s="157">
        <v>3.2296105345868056</v>
      </c>
      <c r="AN24" s="157">
        <v>4.3461614199765499</v>
      </c>
      <c r="AO24" s="157">
        <v>5.3042983662635725</v>
      </c>
      <c r="AP24" s="157">
        <v>6.1212711555572925</v>
      </c>
      <c r="AQ24" s="157">
        <v>6.7994831514969647</v>
      </c>
      <c r="AR24" s="157">
        <v>7.3347597189085292</v>
      </c>
      <c r="AS24" s="157">
        <v>7.7196564160757619</v>
      </c>
      <c r="AT24" s="157">
        <v>7.9449634382485224</v>
      </c>
      <c r="AU24" s="157">
        <v>8.0004584596929273</v>
      </c>
      <c r="AV24" s="157">
        <v>7.8753125335611243</v>
      </c>
      <c r="AW24" s="157">
        <v>7.5583224617706746</v>
      </c>
      <c r="AX24" s="157">
        <v>7.038050547016578</v>
      </c>
      <c r="AY24" s="157">
        <v>6.3029121691914254</v>
      </c>
      <c r="AZ24" s="157">
        <v>5.3412325829861489</v>
      </c>
      <c r="BA24" s="157">
        <v>4.1412848100597515</v>
      </c>
      <c r="BB24" s="157">
        <v>2.6913154865016597</v>
      </c>
      <c r="BC24" s="157">
        <v>0.97956276930006636</v>
      </c>
      <c r="BD24" s="157">
        <v>-1.0057311696018474</v>
      </c>
      <c r="BE24" s="157">
        <v>-3.2763114631595101</v>
      </c>
      <c r="BF24" s="157">
        <v>-5.8439046495447124</v>
      </c>
      <c r="BG24" s="157">
        <v>-8.7202148711543934</v>
      </c>
      <c r="BH24" s="157">
        <v>-11.916921713714737</v>
      </c>
      <c r="BI24" s="157">
        <v>-15.445679370528815</v>
      </c>
      <c r="BJ24" s="157">
        <v>-19.318116910053725</v>
      </c>
      <c r="BK24" s="157">
        <v>-23.545839485279576</v>
      </c>
      <c r="BL24" s="157">
        <v>-28.14043036183887</v>
      </c>
      <c r="BM24" s="157">
        <v>-33.11345366546378</v>
      </c>
      <c r="BN24" s="157">
        <v>-38.476457762996489</v>
      </c>
      <c r="BO24" s="157">
        <v>-44.240979197835031</v>
      </c>
      <c r="BQ24" s="157">
        <f t="shared" si="7"/>
        <v>8.0004584596929273</v>
      </c>
    </row>
    <row r="25" spans="1:69">
      <c r="A25" s="163" t="s">
        <v>399</v>
      </c>
      <c r="B25" s="170">
        <f ca="1">B18*B12/(B20*B17)-B16*SRef*Cx0_avion*(B12^3)/(2*B20*B17)-2*(B20*B17)/(B16*SRef*PI()*all_voil*B12)</f>
        <v>-0.41608282497914972</v>
      </c>
      <c r="E25" s="165">
        <f t="shared" si="8"/>
        <v>4000</v>
      </c>
      <c r="F25" s="157">
        <v>0.81927073398201211</v>
      </c>
      <c r="G25" s="157">
        <v>9.7943199548209456</v>
      </c>
      <c r="H25" s="157">
        <v>324.54871745240342</v>
      </c>
      <c r="I25" s="157">
        <f t="shared" ca="1" si="1"/>
        <v>1.6656120232382536</v>
      </c>
      <c r="J25" s="157">
        <f t="shared" ca="1" si="3"/>
        <v>0.3</v>
      </c>
      <c r="K25" s="157">
        <f t="shared" ca="1" si="4"/>
        <v>97.364615235721018</v>
      </c>
      <c r="L25" s="157">
        <f ca="1">1.2*SQRT(N25*G25/(0.5*F25*SRef*RADIANS(alpha_max_voil)*Czalpha_voil))</f>
        <v>70.273827184804716</v>
      </c>
      <c r="M25" s="134">
        <f t="shared" ca="1" si="5"/>
        <v>97.364615235721018</v>
      </c>
      <c r="N25" s="157">
        <f ca="1">N24-U25</f>
        <v>16741.72744546879</v>
      </c>
      <c r="O25" s="157">
        <f ca="1">N25*G25/((0.5*F25*SRef*M25^2))</f>
        <v>0.29109577706493583</v>
      </c>
      <c r="P25" s="157">
        <f ca="1">INDEX(Aerodynamique!$T$6:$T$546,MATCH(O25,Aerodynamique!$Y$6:$Y$546,1))</f>
        <v>-4.9999999999992356E-2</v>
      </c>
      <c r="Q25" s="157">
        <f ca="1">(0.5*SRef*F25*M25^2)*INDEX(Aerodynamique!$Z$6:$Z$546,MATCH(O25,Aerodynamique!$Y$6:$Y$546,1))</f>
        <v>6932.3757523119684</v>
      </c>
      <c r="R25" s="219">
        <f t="shared" ca="1" si="2"/>
        <v>19604.633027514832</v>
      </c>
      <c r="S25" s="157">
        <f ca="1">R25*M25/(N25*G25)-F25*SRef*Cx0_avion*(M25^3)/(2*N25*G25)-2*(N25*G25)/(F25*SRef*PI()*all_voil*M25)</f>
        <v>7.6688544688990188</v>
      </c>
      <c r="T25" s="157">
        <f ca="1">(E25-E24)/S24</f>
        <v>31.624872815828116</v>
      </c>
      <c r="U25" s="157">
        <f ca="1">I24*R24*T25/(3600*10)</f>
        <v>29.476298653189676</v>
      </c>
      <c r="W25"/>
      <c r="X25"/>
      <c r="Y25"/>
      <c r="Z25"/>
      <c r="AA25"/>
      <c r="AB25"/>
      <c r="AC25"/>
      <c r="AD25"/>
      <c r="AE25" s="168"/>
      <c r="AG25" s="157">
        <f ca="1">$N$9+(($N$70-$N$9)/($E$70-$E$9))*(AI25-$E$9)</f>
        <v>16546.306895999925</v>
      </c>
      <c r="AI25" s="165">
        <f t="shared" si="6"/>
        <v>4000</v>
      </c>
      <c r="AJ25" s="157">
        <v>-10.253567796434549</v>
      </c>
      <c r="AK25" s="157">
        <v>3.4424120058535568E-2</v>
      </c>
      <c r="AL25" s="157">
        <v>1.7664995740118463</v>
      </c>
      <c r="AM25" s="157">
        <v>3.0800452104334357</v>
      </c>
      <c r="AN25" s="157">
        <v>4.1768886980426263</v>
      </c>
      <c r="AO25" s="157">
        <v>5.1162262768406706</v>
      </c>
      <c r="AP25" s="157">
        <v>5.9165254868150763</v>
      </c>
      <c r="AQ25" s="157">
        <v>6.5810018860462529</v>
      </c>
      <c r="AR25" s="157">
        <v>7.1061122014014018</v>
      </c>
      <c r="AS25" s="157">
        <v>7.4849523897120811</v>
      </c>
      <c r="AT25" s="157">
        <v>7.7088029102614088</v>
      </c>
      <c r="AU25" s="157">
        <v>7.7679019636356657</v>
      </c>
      <c r="AV25" s="157">
        <v>7.6518623595627071</v>
      </c>
      <c r="AW25" s="157">
        <v>7.3499101420231092</v>
      </c>
      <c r="AX25" s="157">
        <v>6.8510280849887737</v>
      </c>
      <c r="AY25" s="157">
        <v>6.1440456020733123</v>
      </c>
      <c r="AZ25" s="157">
        <v>5.2176970501486286</v>
      </c>
      <c r="BA25" s="157">
        <v>4.060660624752316</v>
      </c>
      <c r="BB25" s="157">
        <v>2.6615848962216577</v>
      </c>
      <c r="BC25" s="157">
        <v>1.0091072035575712</v>
      </c>
      <c r="BD25" s="157">
        <v>-0.90813349493103457</v>
      </c>
      <c r="BE25" s="157">
        <v>-3.1014876705540995</v>
      </c>
      <c r="BF25" s="157">
        <v>-5.582289109591799</v>
      </c>
      <c r="BG25" s="157">
        <v>-8.3618509332914783</v>
      </c>
      <c r="BH25" s="157">
        <v>-11.451463280167417</v>
      </c>
      <c r="BI25" s="157">
        <v>-14.862392326062636</v>
      </c>
      <c r="BJ25" s="157">
        <v>-18.605880413415274</v>
      </c>
      <c r="BK25" s="157">
        <v>-22.693147123474098</v>
      </c>
      <c r="BL25" s="157">
        <v>-27.135391165141399</v>
      </c>
      <c r="BM25" s="157">
        <v>-31.943792978938063</v>
      </c>
      <c r="BN25" s="157">
        <v>-37.129517969064935</v>
      </c>
      <c r="BO25" s="157">
        <v>-42.703720283940307</v>
      </c>
      <c r="BQ25" s="157">
        <f t="shared" si="7"/>
        <v>7.7679019636356657</v>
      </c>
    </row>
    <row r="26" spans="1:69">
      <c r="A26" s="173"/>
      <c r="E26" s="165">
        <f t="shared" si="8"/>
        <v>4250</v>
      </c>
      <c r="F26" s="157">
        <v>0.79787396526077581</v>
      </c>
      <c r="G26" s="157">
        <v>9.793550099228133</v>
      </c>
      <c r="H26" s="157">
        <v>323.5412570291461</v>
      </c>
      <c r="I26" s="157">
        <f t="shared" ca="1" si="1"/>
        <v>1.6676120232382536</v>
      </c>
      <c r="J26" s="157">
        <f t="shared" ca="1" si="3"/>
        <v>0.3</v>
      </c>
      <c r="K26" s="157">
        <f t="shared" ca="1" si="4"/>
        <v>97.062377108743831</v>
      </c>
      <c r="L26" s="157">
        <f ca="1">1.2*SQRT(N26*G26/(0.5*F26*SRef*RADIANS(alpha_max_voil)*Czalpha_voil))</f>
        <v>71.144158498224414</v>
      </c>
      <c r="M26" s="134">
        <f t="shared" ca="1" si="5"/>
        <v>97.062377108743831</v>
      </c>
      <c r="N26" s="157">
        <f ca="1">N25-U26</f>
        <v>16712.158245381037</v>
      </c>
      <c r="O26" s="157">
        <f ca="1">N26*G26/((0.5*F26*SRef*M26^2))</f>
        <v>0.30021172070651791</v>
      </c>
      <c r="P26" s="157">
        <f ca="1">INDEX(Aerodynamique!$T$6:$T$546,MATCH(O26,Aerodynamique!$Y$6:$Y$546,1))</f>
        <v>5.0000000000007649E-2</v>
      </c>
      <c r="Q26" s="157">
        <f ca="1">(0.5*SRef*F26*M26^2)*INDEX(Aerodynamique!$Z$6:$Z$546,MATCH(O26,Aerodynamique!$Y$6:$Y$546,1))</f>
        <v>6762.8649899545917</v>
      </c>
      <c r="R26" s="219">
        <f t="shared" ca="1" si="2"/>
        <v>19052.243283247833</v>
      </c>
      <c r="S26" s="157">
        <f ca="1">R26*M26/(N26*G26)-F26*SRef*Cx0_avion*(M26^3)/(2*N26*G26)-2*(N26*G26)/(F26*SRef*PI()*all_voil*M26)</f>
        <v>7.4369567831439891</v>
      </c>
      <c r="T26" s="157">
        <f ca="1">(E26-E25)/S25</f>
        <v>32.599392909837199</v>
      </c>
      <c r="U26" s="157">
        <f ca="1">I25*R25*T26/(3600*10)</f>
        <v>29.569200087753721</v>
      </c>
      <c r="W26"/>
      <c r="X26"/>
      <c r="Y26"/>
      <c r="Z26"/>
      <c r="AA26"/>
      <c r="AB26"/>
      <c r="AC26"/>
      <c r="AD26"/>
      <c r="AE26" s="168"/>
      <c r="AG26" s="157">
        <f ca="1">$N$9+(($N$70-$N$9)/($E$70-$E$9))*(AI26-$E$9)</f>
        <v>16505.126459664312</v>
      </c>
      <c r="AI26" s="165">
        <f t="shared" si="6"/>
        <v>4250</v>
      </c>
      <c r="AJ26" s="157">
        <v>-10.559222156370073</v>
      </c>
      <c r="AK26" s="157">
        <v>-8.6482413945180081E-2</v>
      </c>
      <c r="AL26" s="157">
        <v>1.6360379881089877</v>
      </c>
      <c r="AM26" s="157">
        <v>2.9321939035792228</v>
      </c>
      <c r="AN26" s="157">
        <v>4.0100696227598203</v>
      </c>
      <c r="AO26" s="157">
        <v>4.9312124301216738</v>
      </c>
      <c r="AP26" s="157">
        <v>5.7153243669311484</v>
      </c>
      <c r="AQ26" s="157">
        <v>6.3664361781045233</v>
      </c>
      <c r="AR26" s="157">
        <v>6.8816328463296923</v>
      </c>
      <c r="AS26" s="157">
        <v>7.254544583629305</v>
      </c>
      <c r="AT26" s="157">
        <v>7.4769343248647875</v>
      </c>
      <c r="AU26" s="157">
        <v>7.5394920598016935</v>
      </c>
      <c r="AV26" s="157">
        <v>7.4322630442398854</v>
      </c>
      <c r="AW26" s="157">
        <v>7.1448928950976924</v>
      </c>
      <c r="AX26" s="157">
        <v>6.6667749589311311</v>
      </c>
      <c r="AY26" s="157">
        <v>5.9871426356201125</v>
      </c>
      <c r="AZ26" s="157">
        <v>5.0951292403694914</v>
      </c>
      <c r="BA26" s="157">
        <v>3.9798079372838537</v>
      </c>
      <c r="BB26" s="157">
        <v>2.6302189880224365</v>
      </c>
      <c r="BC26" s="157">
        <v>1.035388649634692</v>
      </c>
      <c r="BD26" s="157">
        <v>-0.81565760655495745</v>
      </c>
      <c r="BE26" s="157">
        <v>-2.9338858647307742</v>
      </c>
      <c r="BF26" s="157">
        <v>-5.3302474292248077</v>
      </c>
      <c r="BG26" s="157">
        <v>-8.0156746615881982</v>
      </c>
      <c r="BH26" s="157">
        <v>-11.001078503573844</v>
      </c>
      <c r="BI26" s="157">
        <v>-14.297347351603261</v>
      </c>
      <c r="BJ26" s="157">
        <v>-17.915347047208606</v>
      </c>
      <c r="BK26" s="157">
        <v>-21.865921812314308</v>
      </c>
      <c r="BL26" s="157">
        <v>-26.159895999673861</v>
      </c>
      <c r="BM26" s="157">
        <v>-30.808076554744289</v>
      </c>
      <c r="BN26" s="157">
        <v>-35.821256100667583</v>
      </c>
      <c r="BO26" s="157">
        <v>-41.210216566172555</v>
      </c>
      <c r="BQ26" s="157">
        <f t="shared" si="7"/>
        <v>7.5394920598016935</v>
      </c>
    </row>
    <row r="27" spans="1:69">
      <c r="A27" s="163" t="s">
        <v>398</v>
      </c>
      <c r="B27" s="170">
        <f>B18*B12/(MTOW*B17)-B16*SRef*Cx0_avion*(B12^3)/(2*MTOW*B17)-2*(MTOW*B17)/(B16*SRef*PI()*all_voil*B12)</f>
        <v>-0.64695389292904215</v>
      </c>
      <c r="C27" s="179"/>
      <c r="D27" s="179"/>
      <c r="E27" s="165">
        <f t="shared" si="8"/>
        <v>4500</v>
      </c>
      <c r="F27" s="157">
        <v>0.776907358716043</v>
      </c>
      <c r="G27" s="157">
        <v>9.7927803344003266</v>
      </c>
      <c r="H27" s="157">
        <v>322.53064970634955</v>
      </c>
      <c r="I27" s="157">
        <f t="shared" ca="1" si="1"/>
        <v>1.6696120232382536</v>
      </c>
      <c r="J27" s="157">
        <f t="shared" ca="1" si="3"/>
        <v>0.3</v>
      </c>
      <c r="K27" s="157">
        <f t="shared" ca="1" si="4"/>
        <v>96.759194911904856</v>
      </c>
      <c r="L27" s="157">
        <f ca="1">1.2*SQRT(N27*G27/(0.5*F27*SRef*RADIANS(alpha_max_voil)*Czalpha_voil))</f>
        <v>72.030906886235371</v>
      </c>
      <c r="M27" s="134">
        <f t="shared" ca="1" si="5"/>
        <v>96.759194911904856</v>
      </c>
      <c r="N27" s="157">
        <f ca="1">N26-U27</f>
        <v>16682.49057902304</v>
      </c>
      <c r="O27" s="157">
        <f ca="1">N27*G27/((0.5*F27*SRef*M27^2))</f>
        <v>0.30967366179063721</v>
      </c>
      <c r="P27" s="157">
        <f ca="1">INDEX(Aerodynamique!$T$6:$T$546,MATCH(O27,Aerodynamique!$Y$6:$Y$546,1))</f>
        <v>0.15000000000000765</v>
      </c>
      <c r="Q27" s="157">
        <f ca="1">(0.5*SRef*F27*M27^2)*INDEX(Aerodynamique!$Z$6:$Z$546,MATCH(O27,Aerodynamique!$Y$6:$Y$546,1))</f>
        <v>6597.9923034050607</v>
      </c>
      <c r="R27" s="219">
        <f t="shared" ca="1" si="2"/>
        <v>18512.107116451287</v>
      </c>
      <c r="S27" s="157">
        <f ca="1">R27*M27/(N27*G27)-F27*SRef*Cx0_avion*(M27^3)/(2*N27*G27)-2*(N27*G27)/(F27*SRef*PI()*all_voil*M27)</f>
        <v>7.2093979414369009</v>
      </c>
      <c r="T27" s="157">
        <f ca="1">(E27-E26)/S26</f>
        <v>33.615900601524267</v>
      </c>
      <c r="U27" s="157">
        <f ca="1">I26*R26*T27/(3600*10)</f>
        <v>29.66766635799468</v>
      </c>
      <c r="W27"/>
      <c r="X27"/>
      <c r="Y27"/>
      <c r="Z27"/>
      <c r="AA27"/>
      <c r="AB27"/>
      <c r="AC27"/>
      <c r="AD27"/>
      <c r="AE27" s="168"/>
      <c r="AG27" s="157">
        <f ca="1">$N$9+(($N$70-$N$9)/($E$70-$E$9))*(AI27-$E$9)</f>
        <v>16463.946023328699</v>
      </c>
      <c r="AI27" s="165">
        <f t="shared" si="6"/>
        <v>4500</v>
      </c>
      <c r="AJ27" s="157">
        <v>-10.874625023075644</v>
      </c>
      <c r="AK27" s="157">
        <v>-0.20800270112245567</v>
      </c>
      <c r="AL27" s="157">
        <v>1.5062773085731829</v>
      </c>
      <c r="AM27" s="157">
        <v>2.7859754775385994</v>
      </c>
      <c r="AN27" s="157">
        <v>3.8456227937373391</v>
      </c>
      <c r="AO27" s="157">
        <v>4.749173880754654</v>
      </c>
      <c r="AP27" s="157">
        <v>5.5175833673744457</v>
      </c>
      <c r="AQ27" s="157">
        <v>6.1557009571078636</v>
      </c>
      <c r="AR27" s="157">
        <v>6.6612373109705816</v>
      </c>
      <c r="AS27" s="157">
        <v>7.0283511560370968</v>
      </c>
      <c r="AT27" s="157">
        <v>7.2492804488679452</v>
      </c>
      <c r="AU27" s="157">
        <v>7.3151585256291467</v>
      </c>
      <c r="AV27" s="157">
        <v>7.2164540471394911</v>
      </c>
      <c r="AW27" s="157">
        <v>6.9432227874087697</v>
      </c>
      <c r="AX27" s="157">
        <v>6.4852590092322639</v>
      </c>
      <c r="AY27" s="157">
        <v>5.8321902859913637</v>
      </c>
      <c r="AZ27" s="157">
        <v>4.9735389765244067</v>
      </c>
      <c r="BA27" s="157">
        <v>3.8987632332092148</v>
      </c>
      <c r="BB27" s="157">
        <v>2.5972849879543132</v>
      </c>
      <c r="BC27" s="157">
        <v>1.0585093712602669</v>
      </c>
      <c r="BD27" s="157">
        <v>-0.72816168851568619</v>
      </c>
      <c r="BE27" s="157">
        <v>-2.7733199472250267</v>
      </c>
      <c r="BF27" s="157">
        <v>-5.0875442828389286</v>
      </c>
      <c r="BG27" s="157">
        <v>-7.681396345471299</v>
      </c>
      <c r="BH27" s="157">
        <v>-10.565417918365334</v>
      </c>
      <c r="BI27" s="157">
        <v>-13.750129645220849</v>
      </c>
      <c r="BJ27" s="157">
        <v>-17.246030881182957</v>
      </c>
      <c r="BK27" s="157">
        <v>-21.063600491319562</v>
      </c>
      <c r="BL27" s="157">
        <v>-25.213298463422017</v>
      </c>
      <c r="BM27" s="157">
        <v>-29.705568229107044</v>
      </c>
      <c r="BN27" s="157">
        <v>-34.550839603508805</v>
      </c>
      <c r="BO27" s="157">
        <v>-39.759532262741573</v>
      </c>
      <c r="BQ27" s="157">
        <f t="shared" si="7"/>
        <v>7.3151585256291467</v>
      </c>
    </row>
    <row r="28" spans="1:69">
      <c r="A28" s="173"/>
      <c r="E28" s="165">
        <f t="shared" si="8"/>
        <v>4750</v>
      </c>
      <c r="F28" s="157">
        <v>0.75636488503048882</v>
      </c>
      <c r="G28" s="157">
        <v>9.7920106603232604</v>
      </c>
      <c r="H28" s="157">
        <v>321.5168658095559</v>
      </c>
      <c r="I28" s="157">
        <f t="shared" ca="1" si="1"/>
        <v>1.6716120232382536</v>
      </c>
      <c r="J28" s="157">
        <f t="shared" ca="1" si="3"/>
        <v>0.3</v>
      </c>
      <c r="K28" s="157">
        <f t="shared" ca="1" si="4"/>
        <v>96.455059742866766</v>
      </c>
      <c r="L28" s="157">
        <f ca="1">1.2*SQRT(N28*G28/(0.5*F28*SRef*RADIANS(alpha_max_voil)*Czalpha_voil))</f>
        <v>72.93447801552793</v>
      </c>
      <c r="M28" s="134">
        <f t="shared" ca="1" si="5"/>
        <v>96.455059742866766</v>
      </c>
      <c r="N28" s="157">
        <f ca="1">N27-U28</f>
        <v>16652.718447574913</v>
      </c>
      <c r="O28" s="157">
        <f ca="1">N28*G28/((0.5*F28*SRef*M28^2))</f>
        <v>0.31949695684508661</v>
      </c>
      <c r="P28" s="157">
        <f ca="1">INDEX(Aerodynamique!$T$6:$T$546,MATCH(O28,Aerodynamique!$Y$6:$Y$546,1))</f>
        <v>0.25000000000000766</v>
      </c>
      <c r="Q28" s="157">
        <f ca="1">(0.5*SRef*F28*M28^2)*INDEX(Aerodynamique!$Z$6:$Z$546,MATCH(O28,Aerodynamique!$Y$6:$Y$546,1))</f>
        <v>6437.5564776132505</v>
      </c>
      <c r="R28" s="219">
        <f t="shared" ca="1" si="2"/>
        <v>17984.027065674774</v>
      </c>
      <c r="S28" s="157">
        <f ca="1">R28*M28/(N28*G28)-F28*SRef*Cx0_avion*(M28^3)/(2*N28*G28)-2*(N28*G28)/(F28*SRef*PI()*all_voil*M28)</f>
        <v>6.9860985623099419</v>
      </c>
      <c r="T28" s="157">
        <f ca="1">(E28-E27)/S27</f>
        <v>34.67695943971885</v>
      </c>
      <c r="U28" s="157">
        <f ca="1">I27*R27*T28/(3600*10)</f>
        <v>29.772131448127052</v>
      </c>
      <c r="W28"/>
      <c r="X28"/>
      <c r="Y28"/>
      <c r="Z28"/>
      <c r="AA28"/>
      <c r="AB28"/>
      <c r="AC28"/>
      <c r="AD28"/>
      <c r="AE28" s="168"/>
      <c r="AG28" s="157">
        <f ca="1">$N$9+(($N$70-$N$9)/($E$70-$E$9))*(AI28-$E$9)</f>
        <v>16422.765586993082</v>
      </c>
      <c r="AI28" s="165">
        <f t="shared" si="6"/>
        <v>4750</v>
      </c>
      <c r="AJ28" s="157">
        <v>-11.200193962688115</v>
      </c>
      <c r="AK28" s="157">
        <v>-0.3302413960009476</v>
      </c>
      <c r="AL28" s="157">
        <v>1.3771303132532067</v>
      </c>
      <c r="AM28" s="157">
        <v>2.6413072769429098</v>
      </c>
      <c r="AN28" s="157">
        <v>3.6834657314701218</v>
      </c>
      <c r="AO28" s="157">
        <v>4.5700269016283581</v>
      </c>
      <c r="AP28" s="157">
        <v>5.3232174836778858</v>
      </c>
      <c r="AQ28" s="157">
        <v>5.9487107148386098</v>
      </c>
      <c r="AR28" s="157">
        <v>6.4448408977291001</v>
      </c>
      <c r="AS28" s="157">
        <v>6.8062899436210129</v>
      </c>
      <c r="AT28" s="157">
        <v>7.0257637142811076</v>
      </c>
      <c r="AU28" s="157">
        <v>7.0948307447715981</v>
      </c>
      <c r="AV28" s="157">
        <v>7.0043743290736042</v>
      </c>
      <c r="AW28" s="157">
        <v>6.7448512347183627</v>
      </c>
      <c r="AX28" s="157">
        <v>6.3064472252431258</v>
      </c>
      <c r="AY28" s="157">
        <v>5.6791744676146738</v>
      </c>
      <c r="AZ28" s="157">
        <v>4.852934676673204</v>
      </c>
      <c r="BA28" s="157">
        <v>3.8175612355414916</v>
      </c>
      <c r="BB28" s="157">
        <v>2.5628479447800578</v>
      </c>
      <c r="BC28" s="157">
        <v>1.0785689806389971</v>
      </c>
      <c r="BD28" s="157">
        <v>-0.64550711264771232</v>
      </c>
      <c r="BE28" s="157">
        <v>-2.6196076082589959</v>
      </c>
      <c r="BF28" s="157">
        <v>-4.8539488016711552</v>
      </c>
      <c r="BG28" s="157">
        <v>-7.3587314692919445</v>
      </c>
      <c r="BH28" s="157">
        <v>-10.144138064599398</v>
      </c>
      <c r="BI28" s="157">
        <v>-13.220331296643362</v>
      </c>
      <c r="BJ28" s="157">
        <v>-16.597453840833353</v>
      </c>
      <c r="BK28" s="157">
        <v>-20.28562900063816</v>
      </c>
      <c r="BL28" s="157">
        <v>-24.294962183427646</v>
      </c>
      <c r="BM28" s="157">
        <v>-28.63554308203538</v>
      </c>
      <c r="BN28" s="157">
        <v>-33.317448470871412</v>
      </c>
      <c r="BO28" s="157">
        <v>-38.350745535064952</v>
      </c>
      <c r="BQ28" s="157">
        <f t="shared" si="7"/>
        <v>7.0948307447715981</v>
      </c>
    </row>
    <row r="29" spans="1:69">
      <c r="A29" s="163" t="s">
        <v>395</v>
      </c>
      <c r="B29" s="160">
        <f ca="1">INDIRECT(ADDRESS(ROW(AJ8),COLUMN(AJ8)-1+MATCH(MAX(AJ85:AZ85),AJ85:AZ85,0)))</f>
        <v>0.3</v>
      </c>
      <c r="E29" s="165">
        <f t="shared" si="8"/>
        <v>5000</v>
      </c>
      <c r="F29" s="157">
        <v>0.7362405622311966</v>
      </c>
      <c r="G29" s="157">
        <v>9.791241076982665</v>
      </c>
      <c r="H29" s="157">
        <v>320.49987519498347</v>
      </c>
      <c r="I29" s="157">
        <f t="shared" ca="1" si="1"/>
        <v>1.6736120232382536</v>
      </c>
      <c r="J29" s="157">
        <f t="shared" ca="1" si="3"/>
        <v>0.3</v>
      </c>
      <c r="K29" s="157">
        <f t="shared" ca="1" si="4"/>
        <v>96.149962558495034</v>
      </c>
      <c r="L29" s="157">
        <f ca="1">1.2*SQRT(N29*G29/(0.5*F29*SRef*RADIANS(alpha_max_voil)*Czalpha_voil))</f>
        <v>73.855289212829106</v>
      </c>
      <c r="M29" s="134">
        <f t="shared" ca="1" si="5"/>
        <v>96.149962558495034</v>
      </c>
      <c r="N29" s="157">
        <f ca="1">N28-U29</f>
        <v>16622.835376134801</v>
      </c>
      <c r="O29" s="157">
        <f ca="1">N29*G29/((0.5*F29*SRef*M29^2))</f>
        <v>0.3296977351971293</v>
      </c>
      <c r="P29" s="157">
        <f ca="1">INDEX(Aerodynamique!$T$6:$T$546,MATCH(O29,Aerodynamique!$Y$6:$Y$546,1))</f>
        <v>0.35000000000000764</v>
      </c>
      <c r="Q29" s="157">
        <f ca="1">(0.5*SRef*F29*M29^2)*INDEX(Aerodynamique!$Z$6:$Z$546,MATCH(O29,Aerodynamique!$Y$6:$Y$546,1))</f>
        <v>6281.3659304662269</v>
      </c>
      <c r="R29" s="219">
        <f t="shared" ca="1" si="2"/>
        <v>17467.807638223949</v>
      </c>
      <c r="S29" s="157">
        <f ca="1">R29*M29/(N29*G29)-F29*SRef*Cx0_avion*(M29^3)/(2*N29*G29)-2*(N29*G29)/(F29*SRef*PI()*all_voil*M29)</f>
        <v>6.7669789900148274</v>
      </c>
      <c r="T29" s="157">
        <f ca="1">(E29-E28)/S28</f>
        <v>35.785352549812572</v>
      </c>
      <c r="U29" s="157">
        <f ca="1">I28*R28*T29/(3600*10)</f>
        <v>29.883071440111401</v>
      </c>
      <c r="W29"/>
      <c r="X29"/>
      <c r="Y29"/>
      <c r="Z29"/>
      <c r="AA29"/>
      <c r="AB29"/>
      <c r="AC29"/>
      <c r="AD29"/>
      <c r="AE29" s="168"/>
      <c r="AG29" s="157">
        <f ca="1">$N$9+(($N$70-$N$9)/($E$70-$E$9))*(AI29-$E$9)</f>
        <v>16381.585150657469</v>
      </c>
      <c r="AI29" s="165">
        <f t="shared" si="6"/>
        <v>5000</v>
      </c>
      <c r="AJ29" s="157">
        <v>-11.536366356039895</v>
      </c>
      <c r="AK29" s="157">
        <v>-0.4533069263249021</v>
      </c>
      <c r="AL29" s="157">
        <v>1.2485074187310243</v>
      </c>
      <c r="AM29" s="157">
        <v>2.4981050242257989</v>
      </c>
      <c r="AN29" s="157">
        <v>3.5235147946646332</v>
      </c>
      <c r="AO29" s="157">
        <v>4.3936869150723972</v>
      </c>
      <c r="AP29" s="157">
        <v>5.1321410767066959</v>
      </c>
      <c r="AQ29" s="157">
        <v>5.7453794544444996</v>
      </c>
      <c r="AR29" s="157">
        <v>6.2323585094264189</v>
      </c>
      <c r="AS29" s="157">
        <v>6.5882784221269874</v>
      </c>
      <c r="AT29" s="157">
        <v>6.8063061835536161</v>
      </c>
      <c r="AU29" s="157">
        <v>6.8784376765739834</v>
      </c>
      <c r="AV29" s="157">
        <v>6.7959623255797847</v>
      </c>
      <c r="AW29" s="157">
        <v>6.549728979448691</v>
      </c>
      <c r="AX29" s="157">
        <v>6.1303057264037966</v>
      </c>
      <c r="AY29" s="157">
        <v>5.5280799781637144</v>
      </c>
      <c r="AZ29" s="157">
        <v>4.7333233429879087</v>
      </c>
      <c r="BA29" s="157">
        <v>3.7362348977810838</v>
      </c>
      <c r="BB29" s="157">
        <v>2.5269707273011228</v>
      </c>
      <c r="BC29" s="157">
        <v>1.0956644403106131</v>
      </c>
      <c r="BD29" s="157">
        <v>-0.56755843191431854</v>
      </c>
      <c r="BE29" s="157">
        <v>-2.472570314969154</v>
      </c>
      <c r="BF29" s="157">
        <v>-4.6292345565849686</v>
      </c>
      <c r="BG29" s="157">
        <v>-7.0474006893051726</v>
      </c>
      <c r="BH29" s="157">
        <v>-9.7369014587445779</v>
      </c>
      <c r="BI29" s="157">
        <v>-12.707551251432525</v>
      </c>
      <c r="BJ29" s="157">
        <v>-15.969145664528813</v>
      </c>
      <c r="BK29" s="157">
        <v>-19.531462030665359</v>
      </c>
      <c r="BL29" s="157">
        <v>-23.404260757411517</v>
      </c>
      <c r="BM29" s="157">
        <v>-27.597287370443304</v>
      </c>
      <c r="BN29" s="157">
        <v>-32.120275167705422</v>
      </c>
      <c r="BO29" s="157">
        <v>-36.982948402275632</v>
      </c>
      <c r="BQ29" s="157">
        <f t="shared" si="7"/>
        <v>6.8784376765739834</v>
      </c>
    </row>
    <row r="30" spans="1:69">
      <c r="A30" s="173"/>
      <c r="B30" s="174"/>
      <c r="C30" s="174"/>
      <c r="D30" s="174"/>
      <c r="E30" s="165">
        <f t="shared" si="8"/>
        <v>5250</v>
      </c>
      <c r="F30" s="157">
        <v>0.71652845561340595</v>
      </c>
      <c r="G30" s="157">
        <v>9.7904715843642851</v>
      </c>
      <c r="H30" s="157">
        <v>319.47964723906904</v>
      </c>
      <c r="I30" s="157">
        <f t="shared" ca="1" si="1"/>
        <v>1.6756120232382536</v>
      </c>
      <c r="J30" s="157">
        <f t="shared" ca="1" si="3"/>
        <v>0.3</v>
      </c>
      <c r="K30" s="157">
        <f t="shared" ca="1" si="4"/>
        <v>95.843894171720706</v>
      </c>
      <c r="L30" s="157">
        <f ca="1">1.2*SQRT(N30*G30/(0.5*F30*SRef*RADIANS(alpha_max_voil)*Czalpha_voil))</f>
        <v>74.793769766526935</v>
      </c>
      <c r="M30" s="134">
        <f t="shared" ca="1" si="5"/>
        <v>95.843894171720706</v>
      </c>
      <c r="N30" s="157">
        <f ca="1">N29-U30</f>
        <v>16592.834366692394</v>
      </c>
      <c r="O30" s="157">
        <f ca="1">N30*G30/((0.5*F30*SRef*M30^2))</f>
        <v>0.34029294149528838</v>
      </c>
      <c r="P30" s="157">
        <f ca="1">INDEX(Aerodynamique!$T$6:$T$546,MATCH(O30,Aerodynamique!$Y$6:$Y$546,1))</f>
        <v>0.45000000000000762</v>
      </c>
      <c r="Q30" s="157">
        <f ca="1">(0.5*SRef*F30*M30^2)*INDEX(Aerodynamique!$Z$6:$Z$546,MATCH(O30,Aerodynamique!$Y$6:$Y$546,1))</f>
        <v>6129.2383678561901</v>
      </c>
      <c r="R30" s="219">
        <f t="shared" ca="1" si="2"/>
        <v>16963.255302780413</v>
      </c>
      <c r="S30" s="157">
        <f ca="1">R30*M30/(N30*G30)-F30*SRef*Cx0_avion*(M30^3)/(2*N30*G30)-2*(N30*G30)/(F30*SRef*PI()*all_voil*M30)</f>
        <v>6.5519592674777485</v>
      </c>
      <c r="T30" s="157">
        <f ca="1">(E30-E29)/S29</f>
        <v>36.944107609746283</v>
      </c>
      <c r="U30" s="157">
        <f ca="1">I29*R29*T30/(3600*10)</f>
        <v>30.001009442406939</v>
      </c>
      <c r="W30"/>
      <c r="X30"/>
      <c r="Y30"/>
      <c r="Z30"/>
      <c r="AA30"/>
      <c r="AB30"/>
      <c r="AC30"/>
      <c r="AD30"/>
      <c r="AE30" s="168"/>
      <c r="AG30" s="157">
        <f ca="1">$N$9+(($N$70-$N$9)/($E$70-$E$9))*(AI30-$E$9)</f>
        <v>16340.404714321854</v>
      </c>
      <c r="AI30" s="165">
        <f t="shared" si="6"/>
        <v>5250</v>
      </c>
      <c r="AJ30" s="157">
        <v>-11.883600491535017</v>
      </c>
      <c r="AK30" s="157">
        <v>-0.57731171189298403</v>
      </c>
      <c r="AL30" s="157">
        <v>1.1203165342527241</v>
      </c>
      <c r="AM30" s="157">
        <v>2.3562827099550723</v>
      </c>
      <c r="AN30" s="157">
        <v>3.3656850924787904</v>
      </c>
      <c r="AO30" s="157">
        <v>4.2200684198164771</v>
      </c>
      <c r="AP30" s="157">
        <v>4.9442678102890563</v>
      </c>
      <c r="AQ30" s="157">
        <v>5.5456206362726963</v>
      </c>
      <c r="AR30" s="157">
        <v>6.0237046017551119</v>
      </c>
      <c r="AS30" s="157">
        <v>6.37423366439464</v>
      </c>
      <c r="AT30" s="157">
        <v>6.5908295124919842</v>
      </c>
      <c r="AU30" s="157">
        <v>6.6659078234213656</v>
      </c>
      <c r="AV30" s="157">
        <v>6.5911559184180071</v>
      </c>
      <c r="AW30" s="157">
        <v>6.3578060661724569</v>
      </c>
      <c r="AX30" s="157">
        <v>5.9567997416708973</v>
      </c>
      <c r="AY30" s="157">
        <v>5.3788904819452963</v>
      </c>
      <c r="AZ30" s="157">
        <v>4.6147105491864417</v>
      </c>
      <c r="BA30" s="157">
        <v>3.6548153955372547</v>
      </c>
      <c r="BB30" s="157">
        <v>2.4897140203549046</v>
      </c>
      <c r="BC30" s="157">
        <v>1.1098900637520863</v>
      </c>
      <c r="BD30" s="157">
        <v>-0.4941833749345792</v>
      </c>
      <c r="BE30" s="157">
        <v>-2.3320333007631371</v>
      </c>
      <c r="BF30" s="157">
        <v>-4.4131795419267412</v>
      </c>
      <c r="BG30" s="157">
        <v>-6.7471298116666949</v>
      </c>
      <c r="BH30" s="157">
        <v>-9.3433765654316971</v>
      </c>
      <c r="BI30" s="157">
        <v>-12.211395276077221</v>
      </c>
      <c r="BJ30" s="157">
        <v>-15.360643861511182</v>
      </c>
      <c r="BK30" s="157">
        <v>-18.800563072487112</v>
      </c>
      <c r="BL30" s="157">
        <v>-22.540577696178055</v>
      </c>
      <c r="BM30" s="157">
        <v>-26.590098462009067</v>
      </c>
      <c r="BN30" s="157">
        <v>-30.958524555414037</v>
      </c>
      <c r="BO30" s="157">
        <v>-35.655246656383952</v>
      </c>
      <c r="BQ30" s="157">
        <f t="shared" si="7"/>
        <v>6.6659078234213656</v>
      </c>
    </row>
    <row r="31" spans="1:69">
      <c r="A31" s="163" t="s">
        <v>394</v>
      </c>
      <c r="B31" s="160" t="e">
        <f ca="1">INDEX(E9:E84,MATCH(0,S9:S84,1))</f>
        <v>#N/A</v>
      </c>
      <c r="E31" s="165">
        <f t="shared" si="8"/>
        <v>5500</v>
      </c>
      <c r="F31" s="157">
        <v>0.69722267766390522</v>
      </c>
      <c r="G31" s="157">
        <v>9.7897021824538566</v>
      </c>
      <c r="H31" s="157">
        <v>318.45615082770809</v>
      </c>
      <c r="I31" s="157">
        <f t="shared" ca="1" si="1"/>
        <v>1.6776120232382536</v>
      </c>
      <c r="J31" s="157">
        <f t="shared" ca="1" si="3"/>
        <v>0.3</v>
      </c>
      <c r="K31" s="157">
        <f t="shared" ca="1" si="4"/>
        <v>95.536845248312417</v>
      </c>
      <c r="L31" s="157">
        <f ca="1">1.2*SQRT(N31*G31/(0.5*F31*SRef*RADIANS(alpha_max_voil)*Czalpha_voil))</f>
        <v>75.750361223014778</v>
      </c>
      <c r="M31" s="134">
        <f t="shared" ca="1" si="5"/>
        <v>95.536845248312417</v>
      </c>
      <c r="N31" s="157">
        <f ca="1">N30-U31</f>
        <v>16562.707845480461</v>
      </c>
      <c r="O31" s="157">
        <f ca="1">N31*G31/((0.5*F31*SRef*M31^2))</f>
        <v>0.35130038062530305</v>
      </c>
      <c r="P31" s="157">
        <f ca="1">INDEX(Aerodynamique!$T$6:$T$546,MATCH(O31,Aerodynamique!$Y$6:$Y$546,1))</f>
        <v>0.60000000000000775</v>
      </c>
      <c r="Q31" s="157">
        <f ca="1">(0.5*SRef*F31*M31^2)*INDEX(Aerodynamique!$Z$6:$Z$546,MATCH(O31,Aerodynamique!$Y$6:$Y$546,1))</f>
        <v>6009.2684857991007</v>
      </c>
      <c r="R31" s="219">
        <f t="shared" ca="1" si="2"/>
        <v>16470.178482002902</v>
      </c>
      <c r="S31" s="157">
        <f ca="1">R31*M31/(N31*G31)-F31*SRef*Cx0_avion*(M31^3)/(2*N31*G31)-2*(N31*G31)/(F31*SRef*PI()*all_voil*M31)</f>
        <v>6.3409591079399839</v>
      </c>
      <c r="T31" s="157">
        <f ca="1">(E31-E30)/S30</f>
        <v>38.156525368058396</v>
      </c>
      <c r="U31" s="157">
        <f ca="1">I30*R30*T31/(3600*10)</f>
        <v>30.126521211931784</v>
      </c>
      <c r="W31"/>
      <c r="X31"/>
      <c r="Y31"/>
      <c r="Z31"/>
      <c r="AA31"/>
      <c r="AB31"/>
      <c r="AC31"/>
      <c r="AD31"/>
      <c r="AE31" s="168"/>
      <c r="AG31" s="157">
        <f ca="1">$N$9+(($N$70-$N$9)/($E$70-$E$9))*(AI31-$E$9)</f>
        <v>16299.224277986241</v>
      </c>
      <c r="AI31" s="165">
        <f t="shared" si="6"/>
        <v>5500</v>
      </c>
      <c r="AJ31" s="157">
        <v>-12.242376725845096</v>
      </c>
      <c r="AK31" s="157">
        <v>-0.70237239696394416</v>
      </c>
      <c r="AL31" s="157">
        <v>0.99246290661098757</v>
      </c>
      <c r="AM31" s="157">
        <v>2.2157524763750276</v>
      </c>
      <c r="AN31" s="157">
        <v>3.2098903913272165</v>
      </c>
      <c r="AO31" s="157">
        <v>4.0490849134178397</v>
      </c>
      <c r="AP31" s="157">
        <v>4.7595105849597736</v>
      </c>
      <c r="AQ31" s="157">
        <v>5.3493471203004574</v>
      </c>
      <c r="AR31" s="157">
        <v>5.8187931327073183</v>
      </c>
      <c r="AS31" s="157">
        <v>6.1640722956648659</v>
      </c>
      <c r="AT31" s="157">
        <v>6.3792549106990464</v>
      </c>
      <c r="AU31" s="157">
        <v>6.4571691958149806</v>
      </c>
      <c r="AV31" s="157">
        <v>6.3898924049698307</v>
      </c>
      <c r="AW31" s="157">
        <v>6.1690318151559769</v>
      </c>
      <c r="AX31" s="157">
        <v>5.7858935871292276</v>
      </c>
      <c r="AY31" s="157">
        <v>5.2315884915863151</v>
      </c>
      <c r="AZ31" s="157">
        <v>4.4971004263690881</v>
      </c>
      <c r="BA31" s="157">
        <v>3.5733321166448486</v>
      </c>
      <c r="BB31" s="157">
        <v>2.4511363193911486</v>
      </c>
      <c r="BC31" s="157">
        <v>1.121337514635385</v>
      </c>
      <c r="BD31" s="157">
        <v>-0.42525284178435485</v>
      </c>
      <c r="BE31" s="157">
        <v>-2.1978255558852826</v>
      </c>
      <c r="BF31" s="157">
        <v>-4.2055661605299548</v>
      </c>
      <c r="BG31" s="157">
        <v>-6.4576497715203391</v>
      </c>
      <c r="BH31" s="157">
        <v>-8.963237770241216</v>
      </c>
      <c r="BI31" s="157">
        <v>-11.731475924071567</v>
      </c>
      <c r="BJ31" s="157">
        <v>-14.77149367082912</v>
      </c>
      <c r="BK31" s="157">
        <v>-18.092404369211156</v>
      </c>
      <c r="BL31" s="157">
        <v>-21.703306366861337</v>
      </c>
      <c r="BM31" s="157">
        <v>-25.613284769831164</v>
      </c>
      <c r="BN31" s="157">
        <v>-29.831413817392207</v>
      </c>
      <c r="BO31" s="157">
        <v>-34.366759778150374</v>
      </c>
      <c r="BQ31" s="157">
        <f t="shared" si="7"/>
        <v>6.4571691958149806</v>
      </c>
    </row>
    <row r="32" spans="1:69">
      <c r="A32" s="163" t="s">
        <v>351</v>
      </c>
      <c r="B32" s="171">
        <f ca="1">SUM(T9:INDEX(T9:T84,MATCH(MROUND(Altm,E6),E9:E84)))</f>
        <v>6469.9534801254249</v>
      </c>
      <c r="C32" s="180"/>
      <c r="D32" s="180"/>
      <c r="E32" s="165">
        <f t="shared" si="8"/>
        <v>5750</v>
      </c>
      <c r="F32" s="157">
        <v>0.67831738798405272</v>
      </c>
      <c r="G32" s="157">
        <v>9.7889328712371242</v>
      </c>
      <c r="H32" s="157">
        <v>317.42935434518336</v>
      </c>
      <c r="I32" s="157">
        <f t="shared" ca="1" si="1"/>
        <v>1.6796120232382536</v>
      </c>
      <c r="J32" s="157">
        <f t="shared" ca="1" si="3"/>
        <v>0.3</v>
      </c>
      <c r="K32" s="157">
        <f t="shared" ca="1" si="4"/>
        <v>95.228806303555004</v>
      </c>
      <c r="L32" s="157">
        <f ca="1">1.2*SQRT(N32*G32/(0.5*F32*SRef*RADIANS(alpha_max_voil)*Czalpha_voil))</f>
        <v>76.725517674666676</v>
      </c>
      <c r="M32" s="134">
        <f t="shared" ca="1" si="5"/>
        <v>95.228806303555004</v>
      </c>
      <c r="N32" s="157">
        <f ca="1">N31-U32</f>
        <v>16532.447603895267</v>
      </c>
      <c r="O32" s="157">
        <f ca="1">N32*G32/((0.5*F32*SRef*M32^2))</f>
        <v>0.36273876513126163</v>
      </c>
      <c r="P32" s="157">
        <f ca="1">INDEX(Aerodynamique!$T$6:$T$546,MATCH(O32,Aerodynamique!$Y$6:$Y$546,1))</f>
        <v>0.70000000000000784</v>
      </c>
      <c r="Q32" s="157">
        <f ca="1">(0.5*SRef*F32*M32^2)*INDEX(Aerodynamique!$Z$6:$Z$546,MATCH(O32,Aerodynamique!$Y$6:$Y$546,1))</f>
        <v>5864.7647341111779</v>
      </c>
      <c r="R32" s="219">
        <f t="shared" ca="1" si="2"/>
        <v>15988.387545109195</v>
      </c>
      <c r="S32" s="157">
        <f ca="1">R32*M32/(N32*G32)-F32*SRef*Cx0_avion*(M32^3)/(2*N32*G32)-2*(N32*G32)/(F32*SRef*PI()*all_voil*M32)</f>
        <v>6.133897865298402</v>
      </c>
      <c r="T32" s="157">
        <f ca="1">(E32-E31)/S31</f>
        <v>39.426212303901551</v>
      </c>
      <c r="U32" s="157">
        <f ca="1">I31*R31*T32/(3600*10)</f>
        <v>30.260241585195768</v>
      </c>
      <c r="W32"/>
      <c r="X32"/>
      <c r="Y32"/>
      <c r="Z32"/>
      <c r="AA32"/>
      <c r="AB32"/>
      <c r="AC32"/>
      <c r="AD32"/>
      <c r="AE32" s="168"/>
      <c r="AG32" s="157">
        <f ca="1">$N$9+(($N$70-$N$9)/($E$70-$E$9))*(AI32-$E$9)</f>
        <v>16258.043841650626</v>
      </c>
      <c r="AI32" s="165">
        <f t="shared" si="6"/>
        <v>5750</v>
      </c>
      <c r="AJ32" s="157">
        <v>-12.613198717114903</v>
      </c>
      <c r="AK32" s="157">
        <v>-0.82861009716820222</v>
      </c>
      <c r="AL32" s="157">
        <v>0.86484895535364914</v>
      </c>
      <c r="AM32" s="157">
        <v>2.0764244936900602</v>
      </c>
      <c r="AN32" s="157">
        <v>3.0560430158763427</v>
      </c>
      <c r="AO32" s="157">
        <v>3.8806488098439891</v>
      </c>
      <c r="AP32" s="157">
        <v>4.5777814675487054</v>
      </c>
      <c r="AQ32" s="157">
        <v>5.1564711049276033</v>
      </c>
      <c r="AR32" s="157">
        <v>5.61753750876706</v>
      </c>
      <c r="AS32" s="157">
        <v>5.9577104459735875</v>
      </c>
      <c r="AT32" s="157">
        <v>6.1715030993631528</v>
      </c>
      <c r="AU32" s="157">
        <v>6.2521492750186711</v>
      </c>
      <c r="AV32" s="157">
        <v>6.1921084653950018</v>
      </c>
      <c r="AW32" s="157">
        <v>5.9833547938206983</v>
      </c>
      <c r="AX32" s="157">
        <v>5.6175506416618841</v>
      </c>
      <c r="AY32" s="157">
        <v>5.0861553479026504</v>
      </c>
      <c r="AZ32" s="157">
        <v>4.3804956471467502</v>
      </c>
      <c r="BA32" s="157">
        <v>3.4918126496714779</v>
      </c>
      <c r="BB32" s="157">
        <v>2.4112939235279307</v>
      </c>
      <c r="BC32" s="157">
        <v>1.1300958046463825</v>
      </c>
      <c r="BD32" s="157">
        <v>-0.36064090116125913</v>
      </c>
      <c r="BE32" s="157">
        <v>-2.0697798192767851</v>
      </c>
      <c r="BF32" s="157">
        <v>-4.006181209949216</v>
      </c>
      <c r="BG32" s="157">
        <v>-6.1786966132545871</v>
      </c>
      <c r="BH32" s="157">
        <v>-8.5961653536025828</v>
      </c>
      <c r="BI32" s="157">
        <v>-11.267412503050291</v>
      </c>
      <c r="BJ32" s="157">
        <v>-14.201248021277459</v>
      </c>
      <c r="BK32" s="157">
        <v>-17.40646686825351</v>
      </c>
      <c r="BL32" s="157">
        <v>-20.891849937078135</v>
      </c>
      <c r="BM32" s="157">
        <v>-24.666165687944215</v>
      </c>
      <c r="BN32" s="157">
        <v>-28.738172385379301</v>
      </c>
      <c r="BO32" s="157">
        <v>-33.116620853726445</v>
      </c>
      <c r="BQ32" s="157">
        <f t="shared" si="7"/>
        <v>6.2521492750186711</v>
      </c>
    </row>
    <row r="33" spans="1:69">
      <c r="A33" s="163" t="s">
        <v>412</v>
      </c>
      <c r="B33" s="158">
        <f ca="1">B32/3600</f>
        <v>1.7972093000348401</v>
      </c>
      <c r="C33" s="180"/>
      <c r="D33" s="180"/>
      <c r="E33" s="165">
        <f t="shared" si="8"/>
        <v>6000</v>
      </c>
      <c r="F33" s="157">
        <v>0.6598067932124374</v>
      </c>
      <c r="G33" s="157">
        <v>9.7881636506998344</v>
      </c>
      <c r="H33" s="157">
        <v>316.39922566276925</v>
      </c>
      <c r="I33" s="157">
        <f t="shared" ca="1" si="1"/>
        <v>1.6816120232382537</v>
      </c>
      <c r="J33" s="157">
        <f t="shared" ca="1" si="3"/>
        <v>0.3</v>
      </c>
      <c r="K33" s="157">
        <f t="shared" ca="1" si="4"/>
        <v>94.919767698830768</v>
      </c>
      <c r="L33" s="157">
        <f ca="1">1.2*SQRT(N33*G33/(0.5*F33*SRef*RADIANS(alpha_max_voil)*Czalpha_voil))</f>
        <v>77.719706035680062</v>
      </c>
      <c r="M33" s="134">
        <f t="shared" ca="1" si="5"/>
        <v>94.919767698830768</v>
      </c>
      <c r="N33" s="157">
        <f ca="1">N32-U33</f>
        <v>16502.044732037968</v>
      </c>
      <c r="O33" s="157">
        <f ca="1">N33*G33/((0.5*F33*SRef*M33^2))</f>
        <v>0.37462776525038671</v>
      </c>
      <c r="P33" s="157">
        <f ca="1">INDEX(Aerodynamique!$T$6:$T$546,MATCH(O33,Aerodynamique!$Y$6:$Y$546,1))</f>
        <v>0.80000000000000793</v>
      </c>
      <c r="Q33" s="157">
        <f ca="1">(0.5*SRef*F33*M33^2)*INDEX(Aerodynamique!$Z$6:$Z$546,MATCH(O33,Aerodynamique!$Y$6:$Y$546,1))</f>
        <v>5723.7911338838221</v>
      </c>
      <c r="R33" s="219">
        <f t="shared" ca="1" si="2"/>
        <v>15517.694800439063</v>
      </c>
      <c r="S33" s="157">
        <f ca="1">R33*M33/(N33*G33)-F33*SRef*Cx0_avion*(M33^3)/(2*N33*G33)-2*(N33*G33)/(F33*SRef*PI()*all_voil*M33)</f>
        <v>5.9306945031805842</v>
      </c>
      <c r="T33" s="157">
        <f ca="1">(E33-E32)/S32</f>
        <v>40.757118147391587</v>
      </c>
      <c r="U33" s="157">
        <f ca="1">I32*R32*T33/(3600*10)</f>
        <v>30.402871857299722</v>
      </c>
      <c r="W33"/>
      <c r="X33"/>
      <c r="Y33"/>
      <c r="Z33"/>
      <c r="AA33"/>
      <c r="AB33"/>
      <c r="AC33"/>
      <c r="AD33"/>
      <c r="AE33" s="168"/>
      <c r="AG33" s="157">
        <f ca="1">$N$9+(($N$70-$N$9)/($E$70-$E$9))*(AI33-$E$9)</f>
        <v>16216.863405315011</v>
      </c>
      <c r="AI33" s="165">
        <f t="shared" si="6"/>
        <v>6000</v>
      </c>
      <c r="AJ33" s="157">
        <v>-12.996594735724736</v>
      </c>
      <c r="AK33" s="157">
        <v>-0.95615066193478082</v>
      </c>
      <c r="AL33" s="157">
        <v>0.73737409764538353</v>
      </c>
      <c r="AM33" s="157">
        <v>1.9382068285848026</v>
      </c>
      <c r="AN33" s="157">
        <v>2.9040537438255827</v>
      </c>
      <c r="AO33" s="157">
        <v>3.714671351874173</v>
      </c>
      <c r="AP33" s="157">
        <v>4.3989916163254064</v>
      </c>
      <c r="AQ33" s="157">
        <v>4.9669040618783828</v>
      </c>
      <c r="AR33" s="157">
        <v>5.419850527642244</v>
      </c>
      <c r="AS33" s="157">
        <v>5.7550636994297415</v>
      </c>
      <c r="AT33" s="157">
        <v>5.9674942662138566</v>
      </c>
      <c r="AU33" s="157">
        <v>6.0507749731074245</v>
      </c>
      <c r="AV33" s="157">
        <v>5.9977401273900428</v>
      </c>
      <c r="AW33" s="157">
        <v>5.8007227859786639</v>
      </c>
      <c r="AX33" s="157">
        <v>5.4517333205441512</v>
      </c>
      <c r="AY33" s="157">
        <v>4.9425711978236864</v>
      </c>
      <c r="AZ33" s="157">
        <v>4.2648974079420938</v>
      </c>
      <c r="BA33" s="157">
        <v>3.4102827707026955</v>
      </c>
      <c r="BB33" s="157">
        <v>2.3702409269808045</v>
      </c>
      <c r="BC33" s="157">
        <v>1.1362512897636088</v>
      </c>
      <c r="BD33" s="157">
        <v>-0.30022478901017008</v>
      </c>
      <c r="BE33" s="157">
        <v>-1.9477325718226195</v>
      </c>
      <c r="BF33" s="157">
        <v>-3.8148158700125392</v>
      </c>
      <c r="BG33" s="157">
        <v>-5.9100114720130339</v>
      </c>
      <c r="BH33" s="157">
        <v>-8.241845465886712</v>
      </c>
      <c r="BI33" s="157">
        <v>-10.818831043059816</v>
      </c>
      <c r="BJ33" s="157">
        <v>-13.649467492417296</v>
      </c>
      <c r="BK33" s="157">
        <v>-16.742240174652913</v>
      </c>
      <c r="BL33" s="157">
        <v>-20.105621320058166</v>
      </c>
      <c r="BM33" s="157">
        <v>-23.748071527762846</v>
      </c>
      <c r="BN33" s="157">
        <v>-27.678041866691768</v>
      </c>
      <c r="BO33" s="157">
        <v>-31.903976492129363</v>
      </c>
      <c r="BQ33" s="157">
        <f t="shared" si="7"/>
        <v>6.0507749731074245</v>
      </c>
    </row>
    <row r="34" spans="1:69">
      <c r="A34" s="163" t="s">
        <v>352</v>
      </c>
      <c r="B34" s="171">
        <f ca="1">SUM(U9:INDEX(U9:U84,MATCH(MROUND(Altm,E6),E9:E84)))</f>
        <v>2512.0066164724744</v>
      </c>
      <c r="C34" s="180"/>
      <c r="D34" s="180"/>
      <c r="E34" s="165">
        <f t="shared" si="8"/>
        <v>6250</v>
      </c>
      <c r="F34" s="157">
        <v>0.64168514694716672</v>
      </c>
      <c r="G34" s="157">
        <v>9.7873945208277391</v>
      </c>
      <c r="H34" s="157">
        <v>315.36573212700199</v>
      </c>
      <c r="I34" s="157">
        <f t="shared" ca="1" si="1"/>
        <v>1.6836120232382537</v>
      </c>
      <c r="J34" s="157">
        <f t="shared" ca="1" si="3"/>
        <v>0.3</v>
      </c>
      <c r="K34" s="157">
        <f t="shared" ca="1" si="4"/>
        <v>94.6097196381006</v>
      </c>
      <c r="L34" s="157">
        <f ca="1">1.2*SQRT(N34*G34/(0.5*F34*SRef*RADIANS(alpha_max_voil)*Czalpha_voil))</f>
        <v>78.733406301207708</v>
      </c>
      <c r="M34" s="134">
        <f t="shared" ca="1" si="5"/>
        <v>94.6097196381006</v>
      </c>
      <c r="N34" s="157">
        <f ca="1">N33-U34</f>
        <v>16471.489543762607</v>
      </c>
      <c r="O34" s="157">
        <f ca="1">N34*G34/((0.5*F34*SRef*M34^2))</f>
        <v>0.38698806166486632</v>
      </c>
      <c r="P34" s="157">
        <f ca="1">INDEX(Aerodynamique!$T$6:$T$546,MATCH(O34,Aerodynamique!$Y$6:$Y$546,1))</f>
        <v>0.95000000000000806</v>
      </c>
      <c r="Q34" s="157">
        <f ca="1">(0.5*SRef*F34*M34^2)*INDEX(Aerodynamique!$Z$6:$Z$546,MATCH(O34,Aerodynamique!$Y$6:$Y$546,1))</f>
        <v>5614.8290111244578</v>
      </c>
      <c r="R34" s="219">
        <f t="shared" ca="1" si="2"/>
        <v>15057.914487997827</v>
      </c>
      <c r="S34" s="157">
        <f ca="1">R34*M34/(N34*G34)-F34*SRef*Cx0_avion*(M34^3)/(2*N34*G34)-2*(N34*G34)/(F34*SRef*PI()*all_voil*M34)</f>
        <v>5.7312675628146685</v>
      </c>
      <c r="T34" s="157">
        <f ca="1">(E34-E33)/S33</f>
        <v>42.153579123984045</v>
      </c>
      <c r="U34" s="157">
        <f ca="1">I33*R33*T34/(3600*10)</f>
        <v>30.555188275361413</v>
      </c>
      <c r="W34"/>
      <c r="X34"/>
      <c r="Y34"/>
      <c r="Z34"/>
      <c r="AA34"/>
      <c r="AB34"/>
      <c r="AC34"/>
      <c r="AD34"/>
      <c r="AE34" s="168"/>
      <c r="AG34" s="157">
        <f ca="1">$N$9+(($N$70-$N$9)/($E$70-$E$9))*(AI34-$E$9)</f>
        <v>16175.682968979398</v>
      </c>
      <c r="AI34" s="165">
        <f t="shared" si="6"/>
        <v>6250</v>
      </c>
      <c r="AJ34" s="157">
        <v>-13.393119058044929</v>
      </c>
      <c r="AK34" s="157">
        <v>-1.0851249535207395</v>
      </c>
      <c r="AL34" s="157">
        <v>0.60993456205766305</v>
      </c>
      <c r="AM34" s="157">
        <v>1.8010053044371221</v>
      </c>
      <c r="AN34" s="157">
        <v>2.7538316940395471</v>
      </c>
      <c r="AO34" s="157">
        <v>3.5510625179570461</v>
      </c>
      <c r="AP34" s="157">
        <v>4.2230512013892074</v>
      </c>
      <c r="AQ34" s="157">
        <v>4.7805566669406279</v>
      </c>
      <c r="AR34" s="157">
        <v>5.2256443172944831</v>
      </c>
      <c r="AS34" s="157">
        <v>5.556047040159692</v>
      </c>
      <c r="AT34" s="157">
        <v>5.7671480174459582</v>
      </c>
      <c r="AU34" s="157">
        <v>5.8529725902363499</v>
      </c>
      <c r="AV34" s="157">
        <v>5.8067227283811089</v>
      </c>
      <c r="AW34" s="157">
        <v>5.6210827586861773</v>
      </c>
      <c r="AX34" s="157">
        <v>5.2884030468156986</v>
      </c>
      <c r="AY34" s="157">
        <v>4.8008149702360337</v>
      </c>
      <c r="AZ34" s="157">
        <v>4.1503054093350364</v>
      </c>
      <c r="BA34" s="157">
        <v>3.3287664282837914</v>
      </c>
      <c r="BB34" s="157">
        <v>2.3280292087500731</v>
      </c>
      <c r="BC34" s="157">
        <v>1.1398876648875464</v>
      </c>
      <c r="BD34" s="157">
        <v>-0.24388490871322105</v>
      </c>
      <c r="BE34" s="157">
        <v>-1.8315240310846645</v>
      </c>
      <c r="BF34" s="157">
        <v>-3.631265691786834</v>
      </c>
      <c r="BG34" s="157">
        <v>-5.6513405565498207</v>
      </c>
      <c r="BH34" s="157">
        <v>-7.8999701037792311</v>
      </c>
      <c r="BI34" s="157">
        <v>-10.385364266049242</v>
      </c>
      <c r="BJ34" s="157">
        <v>-13.115720276757926</v>
      </c>
      <c r="BK34" s="157">
        <v>-16.099222505491703</v>
      </c>
      <c r="BL34" s="157">
        <v>-19.344043120827017</v>
      </c>
      <c r="BM34" s="157">
        <v>-22.858343455526544</v>
      </c>
      <c r="BN34" s="157">
        <v>-26.650275972406465</v>
      </c>
      <c r="BO34" s="157">
        <v>-30.727986743617887</v>
      </c>
      <c r="BQ34" s="157">
        <f t="shared" si="7"/>
        <v>5.8529725902363499</v>
      </c>
    </row>
    <row r="35" spans="1:69">
      <c r="A35" s="163" t="s">
        <v>353</v>
      </c>
      <c r="B35" s="171">
        <f ca="1">B34+m_roulage_forfaitaire</f>
        <v>2532.0066164724744</v>
      </c>
      <c r="C35" s="182"/>
      <c r="D35" s="182"/>
      <c r="E35" s="165">
        <f t="shared" si="8"/>
        <v>6500</v>
      </c>
      <c r="F35" s="157">
        <v>0.62394674966777597</v>
      </c>
      <c r="G35" s="157">
        <v>9.7866254816065865</v>
      </c>
      <c r="H35" s="157">
        <v>314.32884054760228</v>
      </c>
      <c r="I35" s="157">
        <f t="shared" ca="1" si="1"/>
        <v>1.6856120232382537</v>
      </c>
      <c r="J35" s="157">
        <f t="shared" ca="1" si="3"/>
        <v>0.3</v>
      </c>
      <c r="K35" s="157">
        <f t="shared" ca="1" si="4"/>
        <v>94.298652164280682</v>
      </c>
      <c r="L35" s="157">
        <f ca="1">1.2*SQRT(N35*G35/(0.5*F35*SRef*RADIANS(alpha_max_voil)*Czalpha_voil))</f>
        <v>79.767111784205994</v>
      </c>
      <c r="M35" s="134">
        <f t="shared" ca="1" si="5"/>
        <v>94.298652164280682</v>
      </c>
      <c r="N35" s="157">
        <f ca="1">N34-U35</f>
        <v>16440.771491915351</v>
      </c>
      <c r="O35" s="157">
        <f ca="1">N35*G35/((0.5*F35*SRef*M35^2))</f>
        <v>0.39984140106567118</v>
      </c>
      <c r="P35" s="157">
        <f ca="1">INDEX(Aerodynamique!$T$6:$T$546,MATCH(O35,Aerodynamique!$Y$6:$Y$546,1))</f>
        <v>1.050000000000008</v>
      </c>
      <c r="Q35" s="157">
        <f ca="1">(0.5*SRef*F35*M35^2)*INDEX(Aerodynamique!$Z$6:$Z$546,MATCH(O35,Aerodynamique!$Y$6:$Y$546,1))</f>
        <v>5480.3695746044332</v>
      </c>
      <c r="R35" s="219">
        <f t="shared" ca="1" si="2"/>
        <v>14608.862771980312</v>
      </c>
      <c r="S35" s="157">
        <f ca="1">R35*M35/(N35*G35)-F35*SRef*Cx0_avion*(M35^3)/(2*N35*G35)-2*(N35*G35)/(F35*SRef*PI()*all_voil*M35)</f>
        <v>5.5355351297868225</v>
      </c>
      <c r="T35" s="157">
        <f ca="1">(E35-E34)/S34</f>
        <v>43.620367965725045</v>
      </c>
      <c r="U35" s="157">
        <f ca="1">I34*R34*T35/(3600*10)</f>
        <v>30.718051847257488</v>
      </c>
      <c r="W35"/>
      <c r="X35"/>
      <c r="Y35"/>
      <c r="Z35"/>
      <c r="AA35"/>
      <c r="AB35"/>
      <c r="AC35"/>
      <c r="AD35"/>
      <c r="AE35" s="168"/>
      <c r="AG35" s="157">
        <f ca="1">$N$9+(($N$70-$N$9)/($E$70-$E$9))*(AI35-$E$9)</f>
        <v>16134.502532643783</v>
      </c>
      <c r="AI35" s="165">
        <f t="shared" si="6"/>
        <v>6500</v>
      </c>
      <c r="AJ35" s="157">
        <v>-13.803353449038134</v>
      </c>
      <c r="AK35" s="157">
        <v>-1.2156691438143059</v>
      </c>
      <c r="AL35" s="157">
        <v>0.48242319050615468</v>
      </c>
      <c r="AM35" s="157">
        <v>1.6647233526382363</v>
      </c>
      <c r="AN35" s="157">
        <v>2.6052842075626534</v>
      </c>
      <c r="AO35" s="157">
        <v>3.3897309231339046</v>
      </c>
      <c r="AP35" s="157">
        <v>4.049869319969817</v>
      </c>
      <c r="AQ35" s="157">
        <v>4.5973387262491867</v>
      </c>
      <c r="AR35" s="157">
        <v>5.034830271006169</v>
      </c>
      <c r="AS35" s="157">
        <v>5.3605747946835631</v>
      </c>
      <c r="AT35" s="157">
        <v>5.5703833263986562</v>
      </c>
      <c r="AU35" s="157">
        <v>5.658667768934583</v>
      </c>
      <c r="AV35" s="157">
        <v>5.6189908749706241</v>
      </c>
      <c r="AW35" s="157">
        <v>5.4443808265479801</v>
      </c>
      <c r="AX35" s="157">
        <v>5.1275202202744881</v>
      </c>
      <c r="AY35" s="157">
        <v>4.6608643495996134</v>
      </c>
      <c r="AZ35" s="157">
        <v>4.0367178343144268</v>
      </c>
      <c r="BA35" s="157">
        <v>3.247285726387644</v>
      </c>
      <c r="BB35" s="157">
        <v>2.28470842044241</v>
      </c>
      <c r="BC35" s="157">
        <v>1.1410859567029601</v>
      </c>
      <c r="BD35" s="157">
        <v>-0.19150483295654341</v>
      </c>
      <c r="BE35" s="157">
        <v>-1.7209981476280962</v>
      </c>
      <c r="BF35" s="157">
        <v>-3.4553305880591596</v>
      </c>
      <c r="BG35" s="157">
        <v>-5.4024351335282423</v>
      </c>
      <c r="BH35" s="157">
        <v>-7.570237088028736</v>
      </c>
      <c r="BI35" s="157">
        <v>-9.9666515566716853</v>
      </c>
      <c r="BJ35" s="157">
        <v>-12.599582143187867</v>
      </c>
      <c r="BK35" s="157">
        <v>-15.476920645507017</v>
      </c>
      <c r="BL35" s="157">
        <v>-18.606547583523351</v>
      </c>
      <c r="BM35" s="157">
        <v>-21.996333430824208</v>
      </c>
      <c r="BN35" s="157">
        <v>-25.654140446570853</v>
      </c>
      <c r="BO35" s="157">
        <v>-29.587825019043365</v>
      </c>
      <c r="BQ35" s="157">
        <f t="shared" si="7"/>
        <v>5.658667768934583</v>
      </c>
    </row>
    <row r="36" spans="1:69">
      <c r="A36" s="163" t="s">
        <v>354</v>
      </c>
      <c r="B36" s="175">
        <f ca="1">B35/QI</f>
        <v>0.33485497285409099</v>
      </c>
      <c r="E36" s="165">
        <f t="shared" si="8"/>
        <v>6750</v>
      </c>
      <c r="F36" s="157">
        <v>0.60658594865676185</v>
      </c>
      <c r="G36" s="157">
        <v>9.7858565330221339</v>
      </c>
      <c r="H36" s="157">
        <v>313.28851718503819</v>
      </c>
      <c r="I36" s="157">
        <f t="shared" ca="1" si="1"/>
        <v>1.6876120232382537</v>
      </c>
      <c r="J36" s="157">
        <f t="shared" ca="1" si="3"/>
        <v>0.3</v>
      </c>
      <c r="K36" s="157">
        <f t="shared" ca="1" si="4"/>
        <v>93.986555155511454</v>
      </c>
      <c r="L36" s="157">
        <f ca="1">1.2*SQRT(N36*G36/(0.5*F36*SRef*RADIANS(alpha_max_voil)*Czalpha_voil))</f>
        <v>80.821329323213064</v>
      </c>
      <c r="M36" s="134">
        <f t="shared" ca="1" si="5"/>
        <v>93.986555155511454</v>
      </c>
      <c r="N36" s="157">
        <f ca="1">N35-U36</f>
        <v>16409.879072206284</v>
      </c>
      <c r="O36" s="157">
        <f ca="1">N36*G36/((0.5*F36*SRef*M36^2))</f>
        <v>0.41321065461045697</v>
      </c>
      <c r="P36" s="157">
        <f ca="1">INDEX(Aerodynamique!$T$6:$T$546,MATCH(O36,Aerodynamique!$Y$6:$Y$546,1))</f>
        <v>1.2000000000000082</v>
      </c>
      <c r="Q36" s="157">
        <f ca="1">(0.5*SRef*F36*M36^2)*INDEX(Aerodynamique!$Z$6:$Z$546,MATCH(O36,Aerodynamique!$Y$6:$Y$546,1))</f>
        <v>5377.7733071157209</v>
      </c>
      <c r="R36" s="219">
        <f t="shared" ca="1" si="2"/>
        <v>14170.357733275197</v>
      </c>
      <c r="S36" s="157">
        <f ca="1">R36*M36/(N36*G36)-F36*SRef*Cx0_avion*(M36^3)/(2*N36*G36)-2*(N36*G36)/(F36*SRef*PI()*all_voil*M36)</f>
        <v>5.3434147998211365</v>
      </c>
      <c r="T36" s="157">
        <f ca="1">(E36-E35)/S35</f>
        <v>45.162751954141726</v>
      </c>
      <c r="U36" s="157">
        <f ca="1">I35*R35*T36/(3600*10)</f>
        <v>30.892419709068019</v>
      </c>
      <c r="W36"/>
      <c r="X36"/>
      <c r="Y36"/>
      <c r="Z36"/>
      <c r="AA36"/>
      <c r="AB36"/>
      <c r="AC36"/>
      <c r="AD36"/>
      <c r="AE36" s="168"/>
      <c r="AG36" s="157">
        <f ca="1">$N$9+(($N$70-$N$9)/($E$70-$E$9))*(AI36-$E$9)</f>
        <v>16093.322096308169</v>
      </c>
      <c r="AI36" s="165">
        <f t="shared" si="6"/>
        <v>6750</v>
      </c>
      <c r="AJ36" s="157">
        <v>-14.227908740020833</v>
      </c>
      <c r="AK36" s="157">
        <v>-1.3479250301740484</v>
      </c>
      <c r="AL36" s="157">
        <v>0.35472922749392599</v>
      </c>
      <c r="AM36" s="157">
        <v>1.5292618543887406</v>
      </c>
      <c r="AN36" s="157">
        <v>2.458316721011113</v>
      </c>
      <c r="AO36" s="157">
        <v>3.23058371360661</v>
      </c>
      <c r="AP36" s="157">
        <v>3.8793539062776663</v>
      </c>
      <c r="AQ36" s="157">
        <v>4.4171590977978425</v>
      </c>
      <c r="AR36" s="157">
        <v>4.8473189782040995</v>
      </c>
      <c r="AS36" s="157">
        <v>5.168560570470734</v>
      </c>
      <c r="AT36" s="157">
        <v>5.3771184787600683</v>
      </c>
      <c r="AU36" s="157">
        <v>5.4677854452134094</v>
      </c>
      <c r="AV36" s="157">
        <v>5.4344783994430932</v>
      </c>
      <c r="AW36" s="157">
        <v>5.2705622132912398</v>
      </c>
      <c r="AX36" s="157">
        <v>4.9690441839237813</v>
      </c>
      <c r="AY36" s="157">
        <v>4.5226957471779254</v>
      </c>
      <c r="AZ36" s="157">
        <v>3.9241313242869702</v>
      </c>
      <c r="BA36" s="157">
        <v>3.1658609052679831</v>
      </c>
      <c r="BB36" s="157">
        <v>2.240325972093542</v>
      </c>
      <c r="BC36" s="157">
        <v>1.1399245146474071</v>
      </c>
      <c r="BD36" s="157">
        <v>-0.14297130739424196</v>
      </c>
      <c r="BE36" s="157">
        <v>-1.6160026030560859</v>
      </c>
      <c r="BF36" s="157">
        <v>-3.2868148254437926</v>
      </c>
      <c r="BG36" s="157">
        <v>-5.1630515133683303</v>
      </c>
      <c r="BH36" s="157">
        <v>-7.2523500426715728</v>
      </c>
      <c r="BI36" s="157">
        <v>-9.5623389344940044</v>
      </c>
      <c r="BJ36" s="157">
        <v>-12.100636401749291</v>
      </c>
      <c r="BK36" s="157">
        <v>-14.874849903983383</v>
      </c>
      <c r="BL36" s="157">
        <v>-17.892576539937767</v>
      </c>
      <c r="BM36" s="157">
        <v>-21.161404146283108</v>
      </c>
      <c r="BN36" s="157">
        <v>-24.688912996521886</v>
      </c>
      <c r="BO36" s="157">
        <v>-28.482678010255807</v>
      </c>
      <c r="BQ36" s="157">
        <f t="shared" si="7"/>
        <v>5.4677854452134094</v>
      </c>
    </row>
    <row r="37" spans="1:69">
      <c r="C37" s="180"/>
      <c r="D37" s="180"/>
      <c r="E37" s="165">
        <f t="shared" si="8"/>
        <v>7000</v>
      </c>
      <c r="F37" s="157">
        <v>0.58959713792072954</v>
      </c>
      <c r="G37" s="157">
        <v>9.7850876750601383</v>
      </c>
      <c r="H37" s="157">
        <v>312.24472773771532</v>
      </c>
      <c r="I37" s="157">
        <f t="shared" ca="1" si="1"/>
        <v>1.6896120232382537</v>
      </c>
      <c r="J37" s="157">
        <f t="shared" ca="1" si="3"/>
        <v>0.3</v>
      </c>
      <c r="K37" s="157">
        <f t="shared" ca="1" si="4"/>
        <v>93.6734183213146</v>
      </c>
      <c r="L37" s="157">
        <f ca="1">1.2*SQRT(N37*G37/(0.5*F37*SRef*RADIANS(alpha_max_voil)*Czalpha_voil))</f>
        <v>81.896579452781424</v>
      </c>
      <c r="M37" s="134">
        <f t="shared" ca="1" si="5"/>
        <v>93.6734183213146</v>
      </c>
      <c r="N37" s="157">
        <f ca="1">N36-U37</f>
        <v>16378.799713858793</v>
      </c>
      <c r="O37" s="157">
        <f ca="1">N37*G37/((0.5*F37*SRef*M37^2))</f>
        <v>0.42711987933911733</v>
      </c>
      <c r="P37" s="157">
        <f ca="1">INDEX(Aerodynamique!$T$6:$T$546,MATCH(O37,Aerodynamique!$Y$6:$Y$546,1))</f>
        <v>1.3500000000000083</v>
      </c>
      <c r="Q37" s="157">
        <f ca="1">(0.5*SRef*F37*M37^2)*INDEX(Aerodynamique!$Z$6:$Z$546,MATCH(O37,Aerodynamique!$Y$6:$Y$546,1))</f>
        <v>5278.1553439554737</v>
      </c>
      <c r="R37" s="219">
        <f t="shared" ca="1" si="2"/>
        <v>13742.219361949459</v>
      </c>
      <c r="S37" s="157">
        <f ca="1">R37*M37/(N37*G37)-F37*SRef*Cx0_avion*(M37^3)/(2*N37*G37)-2*(N37*G37)/(F37*SRef*PI()*all_voil*M37)</f>
        <v>5.1548236437696584</v>
      </c>
      <c r="T37" s="157">
        <f ca="1">(E37-E36)/S36</f>
        <v>46.786560535852168</v>
      </c>
      <c r="U37" s="157">
        <f ca="1">I36*R36*T37/(3600*10)</f>
        <v>31.07935834749199</v>
      </c>
      <c r="W37"/>
      <c r="X37"/>
      <c r="Y37"/>
      <c r="Z37"/>
      <c r="AA37"/>
      <c r="AB37"/>
      <c r="AC37"/>
      <c r="AD37"/>
      <c r="AE37" s="168"/>
      <c r="AG37" s="157">
        <f ca="1">$N$9+(($N$70-$N$9)/($E$70-$E$9))*(AI37-$E$9)</f>
        <v>16052.141659972554</v>
      </c>
      <c r="AI37" s="165">
        <f t="shared" si="6"/>
        <v>7000</v>
      </c>
      <c r="AJ37" s="157">
        <v>-14.6674265083906</v>
      </c>
      <c r="AK37" s="157">
        <v>-1.4820403716654633</v>
      </c>
      <c r="AL37" s="157">
        <v>0.22673809575284576</v>
      </c>
      <c r="AM37" s="157">
        <v>1.3945189722897187</v>
      </c>
      <c r="AN37" s="157">
        <v>2.3128326317976002</v>
      </c>
      <c r="AO37" s="157">
        <v>3.0735264544962124</v>
      </c>
      <c r="AP37" s="157">
        <v>3.7114116355147964</v>
      </c>
      <c r="AQ37" s="157">
        <v>4.2399256078391323</v>
      </c>
      <c r="AR37" s="157">
        <v>4.6630201507367985</v>
      </c>
      <c r="AS37" s="157">
        <v>4.979917190401979</v>
      </c>
      <c r="AT37" s="157">
        <v>5.1872710140492293</v>
      </c>
      <c r="AU37" s="157">
        <v>5.2802497962613764</v>
      </c>
      <c r="AV37" s="157">
        <v>5.2531183131203072</v>
      </c>
      <c r="AW37" s="157">
        <v>5.0995712104144628</v>
      </c>
      <c r="AX37" s="157">
        <v>4.812933187690235</v>
      </c>
      <c r="AY37" s="157">
        <v>4.3862842697119033</v>
      </c>
      <c r="AZ37" s="157">
        <v>3.8125409526827276</v>
      </c>
      <c r="BA37" s="157">
        <v>3.0845103200461788</v>
      </c>
      <c r="BB37" s="157">
        <v>2.1949270158480929</v>
      </c>
      <c r="BC37" s="157">
        <v>1.1364789998493452</v>
      </c>
      <c r="BD37" s="157">
        <v>-9.8174256240128432E-2</v>
      </c>
      <c r="BE37" s="157">
        <v>-1.5163888098774776</v>
      </c>
      <c r="BF37" s="157">
        <v>-3.1255270182343899</v>
      </c>
      <c r="BG37" s="157">
        <v>-4.9329510377573733</v>
      </c>
      <c r="BH37" s="157">
        <v>-6.9460183758427236</v>
      </c>
      <c r="BI37" s="157">
        <v>-9.1720790277199384</v>
      </c>
      <c r="BJ37" s="157">
        <v>-11.618473869857166</v>
      </c>
      <c r="BK37" s="157">
        <v>-14.292534073024612</v>
      </c>
      <c r="BL37" s="157">
        <v>-17.201581359368291</v>
      </c>
      <c r="BM37" s="157">
        <v>-20.35292896851395</v>
      </c>
      <c r="BN37" s="157">
        <v>-23.753883224402845</v>
      </c>
      <c r="BO37" s="157">
        <v>-27.411745611650797</v>
      </c>
      <c r="BQ37" s="157">
        <f t="shared" si="7"/>
        <v>5.2802497962613764</v>
      </c>
    </row>
    <row r="38" spans="1:69">
      <c r="A38" s="163" t="s">
        <v>355</v>
      </c>
      <c r="B38" s="171">
        <f ca="1">MTOW-B35</f>
        <v>14693.187260897281</v>
      </c>
      <c r="E38" s="165">
        <f t="shared" si="8"/>
        <v>7250</v>
      </c>
      <c r="F38" s="157">
        <v>0.57297475811115062</v>
      </c>
      <c r="G38" s="157">
        <v>9.7843189077063588</v>
      </c>
      <c r="H38" s="157">
        <v>311.19743732878004</v>
      </c>
      <c r="I38" s="157">
        <f t="shared" ca="1" si="1"/>
        <v>1.6916120232382537</v>
      </c>
      <c r="J38" s="157">
        <f t="shared" ca="1" si="3"/>
        <v>0.3</v>
      </c>
      <c r="K38" s="157">
        <f t="shared" ca="1" si="4"/>
        <v>93.359231198634006</v>
      </c>
      <c r="L38" s="157">
        <f ca="1">1.2*SQRT(N38*G38/(0.5*F38*SRef*RADIANS(alpha_max_voil)*Czalpha_voil))</f>
        <v>82.993396526458511</v>
      </c>
      <c r="M38" s="134">
        <f t="shared" ca="1" si="5"/>
        <v>93.359231198634006</v>
      </c>
      <c r="N38" s="157">
        <f ca="1">N37-U38</f>
        <v>16347.519654819131</v>
      </c>
      <c r="O38" s="157">
        <f ca="1">N38*G38/((0.5*F38*SRef*M38^2))</f>
        <v>0.44159438258459821</v>
      </c>
      <c r="P38" s="157">
        <f ca="1">INDEX(Aerodynamique!$T$6:$T$546,MATCH(O38,Aerodynamique!$Y$6:$Y$546,1))</f>
        <v>1.5000000000000084</v>
      </c>
      <c r="Q38" s="157">
        <f ca="1">(0.5*SRef*F38*M38^2)*INDEX(Aerodynamique!$Z$6:$Z$546,MATCH(O38,Aerodynamique!$Y$6:$Y$546,1))</f>
        <v>5181.2749481351912</v>
      </c>
      <c r="R38" s="219">
        <f t="shared" ca="1" si="2"/>
        <v>13324.269549712673</v>
      </c>
      <c r="S38" s="157">
        <f ca="1">R38*M38/(N38*G38)-F38*SRef*Cx0_avion*(M38^3)/(2*N38*G38)-2*(N38*G38)/(F38*SRef*PI()*all_voil*M38)</f>
        <v>4.9696781720677849</v>
      </c>
      <c r="T38" s="157">
        <f ca="1">(E38-E37)/S37</f>
        <v>48.498264397883091</v>
      </c>
      <c r="U38" s="157">
        <f ca="1">I37*R37*T38/(3600*10)</f>
        <v>31.280059039662294</v>
      </c>
      <c r="W38"/>
      <c r="X38"/>
      <c r="Y38"/>
      <c r="Z38"/>
      <c r="AA38"/>
      <c r="AB38"/>
      <c r="AC38"/>
      <c r="AD38"/>
      <c r="AE38" s="168"/>
      <c r="AG38" s="157">
        <f ca="1">$N$9+(($N$70-$N$9)/($E$70-$E$9))*(AI38-$E$9)</f>
        <v>16010.961223636939</v>
      </c>
      <c r="AI38" s="165">
        <f t="shared" si="6"/>
        <v>7250</v>
      </c>
      <c r="AJ38" s="157">
        <v>-15.122580866663055</v>
      </c>
      <c r="AK38" s="157">
        <v>-1.6181692471638305</v>
      </c>
      <c r="AL38" s="157">
        <v>9.8331157303852557E-2</v>
      </c>
      <c r="AM38" s="157">
        <v>1.2603899709944268</v>
      </c>
      <c r="AN38" s="157">
        <v>2.1687331546008832</v>
      </c>
      <c r="AO38" s="157">
        <v>2.9184630103024558</v>
      </c>
      <c r="AP38" s="157">
        <v>3.5459478216263753</v>
      </c>
      <c r="AQ38" s="157">
        <v>4.0655449618045907</v>
      </c>
      <c r="AR38" s="157">
        <v>4.4818425442788792</v>
      </c>
      <c r="AS38" s="157">
        <v>4.7945566228440768</v>
      </c>
      <c r="AT38" s="157">
        <v>5.000757663108133</v>
      </c>
      <c r="AU38" s="157">
        <v>5.0959841844811749</v>
      </c>
      <c r="AV38" s="157">
        <v>5.0748427563395593</v>
      </c>
      <c r="AW38" s="157">
        <v>4.9313511327010717</v>
      </c>
      <c r="AX38" s="157">
        <v>4.6591443492167768</v>
      </c>
      <c r="AY38" s="157">
        <v>4.2516036853532082</v>
      </c>
      <c r="AZ38" s="157">
        <v>3.7019401959839371</v>
      </c>
      <c r="BA38" s="157">
        <v>3.0032504168679326</v>
      </c>
      <c r="BB38" s="157">
        <v>2.14855442734149</v>
      </c>
      <c r="BC38" s="157">
        <v>1.1308223718883468</v>
      </c>
      <c r="BD38" s="157">
        <v>-5.7006789927320722E-2</v>
      </c>
      <c r="BE38" s="157">
        <v>-1.4220119133413311</v>
      </c>
      <c r="BF38" s="157">
        <v>-2.9712801241293536</v>
      </c>
      <c r="BG38" s="157">
        <v>-4.7119000689464983</v>
      </c>
      <c r="BH38" s="157">
        <v>-6.6509572622910165</v>
      </c>
      <c r="BI38" s="157">
        <v>-8.7955310485406617</v>
      </c>
      <c r="BJ38" s="157">
        <v>-11.152692840072723</v>
      </c>
      <c r="BK38" s="157">
        <v>-13.729505387310407</v>
      </c>
      <c r="BL38" s="157">
        <v>-16.533022899894135</v>
      </c>
      <c r="BM38" s="157">
        <v>-19.570291880410441</v>
      </c>
      <c r="BN38" s="157">
        <v>-22.848352559972746</v>
      </c>
      <c r="BO38" s="157">
        <v>-26.374240842949309</v>
      </c>
      <c r="BQ38" s="157">
        <f t="shared" si="7"/>
        <v>5.0959841844811749</v>
      </c>
    </row>
    <row r="39" spans="1:69">
      <c r="E39" s="165">
        <f t="shared" si="8"/>
        <v>7500</v>
      </c>
      <c r="F39" s="157">
        <v>0.55671329644472922</v>
      </c>
      <c r="G39" s="157">
        <v>9.7835502309465614</v>
      </c>
      <c r="H39" s="157">
        <v>310.14661049252175</v>
      </c>
      <c r="I39" s="157">
        <f t="shared" ca="1" si="1"/>
        <v>1.6936120232382537</v>
      </c>
      <c r="J39" s="157">
        <f t="shared" ca="1" si="3"/>
        <v>0.3</v>
      </c>
      <c r="K39" s="157">
        <f t="shared" ca="1" si="4"/>
        <v>93.043983147756521</v>
      </c>
      <c r="L39" s="157">
        <f ca="1">1.2*SQRT(N39*G39/(0.5*F39*SRef*RADIANS(alpha_max_voil)*Czalpha_voil))</f>
        <v>84.11232877994334</v>
      </c>
      <c r="M39" s="134">
        <f t="shared" ca="1" si="5"/>
        <v>93.043983147756521</v>
      </c>
      <c r="N39" s="157">
        <f ca="1">N38-U39</f>
        <v>16316.023798863098</v>
      </c>
      <c r="O39" s="157">
        <f ca="1">N39*G39/((0.5*F39*SRef*M39^2))</f>
        <v>0.45666078938098975</v>
      </c>
      <c r="P39" s="157">
        <f ca="1">INDEX(Aerodynamique!$T$6:$T$546,MATCH(O39,Aerodynamique!$Y$6:$Y$546,1))</f>
        <v>1.6500000000000086</v>
      </c>
      <c r="Q39" s="157">
        <f ca="1">(0.5*SRef*F39*M39^2)*INDEX(Aerodynamique!$Z$6:$Z$546,MATCH(O39,Aerodynamique!$Y$6:$Y$546,1))</f>
        <v>5086.9071732487419</v>
      </c>
      <c r="R39" s="219">
        <f t="shared" ca="1" si="2"/>
        <v>12916.332082361152</v>
      </c>
      <c r="S39" s="157">
        <f ca="1">R39*M39/(N39*G39)-F39*SRef*Cx0_avion*(M39^3)/(2*N39*G39)-2*(N39*G39)/(F39*SRef*PI()*all_voil*M39)</f>
        <v>4.7878942989960462</v>
      </c>
      <c r="T39" s="157">
        <f ca="1">(E39-E38)/S38</f>
        <v>50.305068325174858</v>
      </c>
      <c r="U39" s="157">
        <f ca="1">I38*R38*T39/(3600*10)</f>
        <v>31.49585595603271</v>
      </c>
      <c r="W39"/>
      <c r="X39"/>
      <c r="Y39"/>
      <c r="Z39"/>
      <c r="AA39"/>
      <c r="AB39"/>
      <c r="AC39"/>
      <c r="AD39"/>
      <c r="AE39" s="168"/>
      <c r="AG39" s="157">
        <f ca="1">$N$9+(($N$70-$N$9)/($E$70-$E$9))*(AI39-$E$9)</f>
        <v>15969.780787301326</v>
      </c>
      <c r="AI39" s="165">
        <f t="shared" si="6"/>
        <v>7500</v>
      </c>
      <c r="AJ39" s="157">
        <v>-15.594080368745924</v>
      </c>
      <c r="AK39" s="157">
        <v>-1.7564724369088869</v>
      </c>
      <c r="AL39" s="157">
        <v>-3.0614541120961292E-2</v>
      </c>
      <c r="AM39" s="157">
        <v>1.1267670261276788</v>
      </c>
      <c r="AN39" s="157">
        <v>2.0259171684461159</v>
      </c>
      <c r="AO39" s="157">
        <v>2.7652954175355271</v>
      </c>
      <c r="AP39" s="157">
        <v>3.3828663083396902</v>
      </c>
      <c r="AQ39" s="157">
        <v>3.8939226493488204</v>
      </c>
      <c r="AR39" s="157">
        <v>4.3036938745098414</v>
      </c>
      <c r="AS39" s="157">
        <v>4.6123899070196028</v>
      </c>
      <c r="AT39" s="157">
        <v>4.8174942813152786</v>
      </c>
      <c r="AU39" s="157">
        <v>4.9149110976037456</v>
      </c>
      <c r="AV39" s="157">
        <v>4.8995829448105708</v>
      </c>
      <c r="AW39" s="157">
        <v>4.7658442703707555</v>
      </c>
      <c r="AX39" s="157">
        <v>4.5076336115185089</v>
      </c>
      <c r="AY39" s="157">
        <v>4.1186263866583825</v>
      </c>
      <c r="AZ39" s="157">
        <v>3.5923209019901061</v>
      </c>
      <c r="BA39" s="157">
        <v>2.9220957064531605</v>
      </c>
      <c r="BB39" s="157">
        <v>2.1012487846165193</v>
      </c>
      <c r="BC39" s="157">
        <v>1.1230248732183501</v>
      </c>
      <c r="BD39" s="157">
        <v>-1.936521498760041E-2</v>
      </c>
      <c r="BE39" s="157">
        <v>-1.3327307953831291</v>
      </c>
      <c r="BF39" s="157">
        <v>-2.8238914419689931</v>
      </c>
      <c r="BG39" s="157">
        <v>-4.499669980965999</v>
      </c>
      <c r="BH39" s="157">
        <v>-6.3668876277260749</v>
      </c>
      <c r="BI39" s="157">
        <v>-8.4323607702350198</v>
      </c>
      <c r="BJ39" s="157">
        <v>-10.702899049549366</v>
      </c>
      <c r="BK39" s="157">
        <v>-13.185304485451965</v>
      </c>
      <c r="BL39" s="157">
        <v>-15.886371461178046</v>
      </c>
      <c r="BM39" s="157">
        <v>-18.812887424910024</v>
      </c>
      <c r="BN39" s="157">
        <v>-21.971634194812125</v>
      </c>
      <c r="BO39" s="157">
        <v>-25.369389773311248</v>
      </c>
      <c r="BQ39" s="157">
        <f t="shared" si="7"/>
        <v>4.9149110976037456</v>
      </c>
    </row>
    <row r="40" spans="1:69">
      <c r="A40" s="163" t="s">
        <v>402</v>
      </c>
      <c r="B40" s="160">
        <f>Aerodynamique!F53</f>
        <v>5.0799999999999326</v>
      </c>
      <c r="E40" s="165">
        <f t="shared" si="8"/>
        <v>7750</v>
      </c>
      <c r="F40" s="157">
        <v>0.5408072866233713</v>
      </c>
      <c r="G40" s="157">
        <v>9.7827816447665121</v>
      </c>
      <c r="H40" s="157">
        <v>309.09221116035906</v>
      </c>
      <c r="I40" s="157">
        <f t="shared" ca="1" si="1"/>
        <v>1.6956120232382537</v>
      </c>
      <c r="J40" s="157">
        <f t="shared" ca="1" si="3"/>
        <v>0.3</v>
      </c>
      <c r="K40" s="157">
        <f t="shared" ca="1" si="4"/>
        <v>92.727663348107711</v>
      </c>
      <c r="L40" s="157">
        <f ca="1">1.2*SQRT(N40*G40/(0.5*F40*SRef*RADIANS(alpha_max_voil)*Czalpha_voil))</f>
        <v>85.253938319235317</v>
      </c>
      <c r="M40" s="134">
        <f t="shared" ca="1" si="5"/>
        <v>92.727663348107711</v>
      </c>
      <c r="N40" s="157">
        <f ca="1">N39-U40</f>
        <v>16284.295551385723</v>
      </c>
      <c r="O40" s="157">
        <f ca="1">N40*G40/((0.5*F40*SRef*M40^2))</f>
        <v>0.47234711282279906</v>
      </c>
      <c r="P40" s="157">
        <f ca="1">INDEX(Aerodynamique!$T$6:$T$546,MATCH(O40,Aerodynamique!$Y$6:$Y$546,1))</f>
        <v>1.8000000000000087</v>
      </c>
      <c r="Q40" s="157">
        <f ca="1">(0.5*SRef*F40*M40^2)*INDEX(Aerodynamique!$Z$6:$Z$546,MATCH(O40,Aerodynamique!$Y$6:$Y$546,1))</f>
        <v>4994.8422128191296</v>
      </c>
      <c r="R40" s="219">
        <f t="shared" ca="1" si="2"/>
        <v>12518.232632201629</v>
      </c>
      <c r="S40" s="157">
        <f ca="1">R40*M40/(N40*G40)-F40*SRef*Cx0_avion*(M40^3)/(2*N40*G40)-2*(N40*G40)/(F40*SRef*PI()*all_voil*M40)</f>
        <v>4.6093873071986629</v>
      </c>
      <c r="T40" s="157">
        <f ca="1">(E40-E39)/S39</f>
        <v>52.215020714308892</v>
      </c>
      <c r="U40" s="157">
        <f ca="1">I39*R39*T40/(3600*10)</f>
        <v>31.728247477375398</v>
      </c>
      <c r="W40"/>
      <c r="X40"/>
      <c r="Y40"/>
      <c r="Z40"/>
      <c r="AA40"/>
      <c r="AB40"/>
      <c r="AC40"/>
      <c r="AD40"/>
      <c r="AE40" s="168"/>
      <c r="AG40" s="157">
        <f ca="1">$N$9+(($N$70-$N$9)/($E$70-$E$9))*(AI40-$E$9)</f>
        <v>15928.600350965711</v>
      </c>
      <c r="AI40" s="165">
        <f t="shared" si="6"/>
        <v>7750</v>
      </c>
      <c r="AJ40" s="157">
        <v>-16.082670042012666</v>
      </c>
      <c r="AK40" s="157">
        <v>-1.8971178292238653</v>
      </c>
      <c r="AL40" s="157">
        <v>-0.16022653943622744</v>
      </c>
      <c r="AM40" s="157">
        <v>0.99353902061655619</v>
      </c>
      <c r="AN40" s="157">
        <v>1.8842810537105992</v>
      </c>
      <c r="AO40" s="157">
        <v>2.6139237489489897</v>
      </c>
      <c r="AP40" s="157">
        <v>3.2220693530010642</v>
      </c>
      <c r="AQ40" s="157">
        <v>3.7249628430890196</v>
      </c>
      <c r="AR40" s="157">
        <v>4.1284807276864699</v>
      </c>
      <c r="AS40" s="157">
        <v>4.4333270733290107</v>
      </c>
      <c r="AT40" s="157">
        <v>4.6373957772089955</v>
      </c>
      <c r="AU40" s="157">
        <v>4.7369520845937982</v>
      </c>
      <c r="AV40" s="157">
        <v>4.7272691120872805</v>
      </c>
      <c r="AW40" s="157">
        <v>4.6029918376235326</v>
      </c>
      <c r="AX40" s="157">
        <v>4.358355697272823</v>
      </c>
      <c r="AY40" s="157">
        <v>3.9873233504293362</v>
      </c>
      <c r="AZ40" s="157">
        <v>3.4836732551174738</v>
      </c>
      <c r="BA40" s="157">
        <v>2.8410587348483216</v>
      </c>
      <c r="BB40" s="157">
        <v>2.053048344393682</v>
      </c>
      <c r="BC40" s="157">
        <v>1.113154011082113</v>
      </c>
      <c r="BD40" s="157">
        <v>1.4850953686002977E-2</v>
      </c>
      <c r="BE40" s="157">
        <v>-1.2484080808389808</v>
      </c>
      <c r="BF40" s="157">
        <v>-2.6831826116340225</v>
      </c>
      <c r="BG40" s="157">
        <v>-4.2960371529029535</v>
      </c>
      <c r="BH40" s="157">
        <v>-6.0935361351346664</v>
      </c>
      <c r="BI40" s="157">
        <v>-8.0822405061523046</v>
      </c>
      <c r="BJ40" s="157">
        <v>-10.268705651278596</v>
      </c>
      <c r="BK40" s="157">
        <v>-12.65948037306932</v>
      </c>
      <c r="BL40" s="157">
        <v>-15.261106738916217</v>
      </c>
      <c r="BM40" s="157">
        <v>-18.080120650330677</v>
      </c>
      <c r="BN40" s="157">
        <v>-21.123053018036192</v>
      </c>
      <c r="BO40" s="157">
        <v>-24.396431446889586</v>
      </c>
      <c r="BQ40" s="157">
        <f t="shared" si="7"/>
        <v>4.7369520845937982</v>
      </c>
    </row>
    <row r="41" spans="1:69">
      <c r="E41" s="165">
        <f t="shared" si="8"/>
        <v>8000</v>
      </c>
      <c r="F41" s="157">
        <v>0.52525130875374715</v>
      </c>
      <c r="G41" s="157">
        <v>9.7820131491519753</v>
      </c>
      <c r="H41" s="157">
        <v>308.03420264639442</v>
      </c>
      <c r="I41" s="157">
        <f t="shared" ref="I41:I72" ca="1" si="9">N*(Cs+4*10^-6*E41+0.4*J41*e^(-0.1*J41))</f>
        <v>1.6976120232382537</v>
      </c>
      <c r="J41" s="157">
        <f t="shared" ca="1" si="3"/>
        <v>0.3</v>
      </c>
      <c r="K41" s="157">
        <f t="shared" ca="1" si="4"/>
        <v>92.410260793918326</v>
      </c>
      <c r="L41" s="157">
        <f ca="1">1.2*SQRT(N41*G41/(0.5*F41*SRef*RADIANS(alpha_max_voil)*Czalpha_voil))</f>
        <v>86.418801015082039</v>
      </c>
      <c r="M41" s="134">
        <f t="shared" ca="1" si="5"/>
        <v>92.410260793918326</v>
      </c>
      <c r="N41" s="157">
        <f ca="1">N40-U41</f>
        <v>16252.31662997459</v>
      </c>
      <c r="O41" s="157">
        <f ca="1">N41*G41/((0.5*F41*SRef*M41^2))</f>
        <v>0.48868282726482953</v>
      </c>
      <c r="P41" s="157">
        <f ca="1">INDEX(Aerodynamique!$T$6:$T$546,MATCH(O41,Aerodynamique!$Y$6:$Y$546,1))</f>
        <v>1.9500000000000088</v>
      </c>
      <c r="Q41" s="157">
        <f ca="1">(0.5*SRef*F41*M41^2)*INDEX(Aerodynamique!$Z$6:$Z$546,MATCH(O41,Aerodynamique!$Y$6:$Y$546,1))</f>
        <v>4904.8847658797276</v>
      </c>
      <c r="R41" s="219">
        <f t="shared" ref="R41:R72" ca="1" si="10">N*F0*(F41/1.225)^1.08*(1-M_montee_maximale+0.5*M_montee_maximale^2)^0.45</f>
        <v>12129.798750454209</v>
      </c>
      <c r="S41" s="157">
        <f ca="1">R41*M41/(N41*G41)-F41*SRef*Cx0_avion*(M41^3)/(2*N41*G41)-2*(N41*G41)/(F41*SRef*PI()*all_voil*M41)</f>
        <v>4.434071813048595</v>
      </c>
      <c r="T41" s="157">
        <f ca="1">(E41-E40)/S40</f>
        <v>54.237143320450656</v>
      </c>
      <c r="U41" s="157">
        <f ca="1">I40*R40*T41/(3600*10)</f>
        <v>31.978921411132717</v>
      </c>
      <c r="W41"/>
      <c r="X41"/>
      <c r="Y41"/>
      <c r="Z41"/>
      <c r="AA41"/>
      <c r="AB41"/>
      <c r="AC41"/>
      <c r="AD41"/>
      <c r="AE41" s="168"/>
      <c r="AG41" s="157">
        <f ca="1">$N$9+(($N$70-$N$9)/($E$70-$E$9))*(AI41-$E$9)</f>
        <v>15887.419914630096</v>
      </c>
      <c r="AI41" s="165">
        <f t="shared" si="6"/>
        <v>8000</v>
      </c>
      <c r="AJ41" s="157">
        <v>-16.589133554428354</v>
      </c>
      <c r="AK41" s="157">
        <v>-2.0402808542495432</v>
      </c>
      <c r="AL41" s="157">
        <v>-0.29063725357496528</v>
      </c>
      <c r="AM41" s="157">
        <v>0.86059132750699097</v>
      </c>
      <c r="AN41" s="157">
        <v>1.7437185183145836</v>
      </c>
      <c r="AO41" s="157">
        <v>2.4642459687568152</v>
      </c>
      <c r="AP41" s="157">
        <v>3.0634575026816888</v>
      </c>
      <c r="AQ41" s="157">
        <v>3.5585682905769769</v>
      </c>
      <c r="AR41" s="157">
        <v>3.9561084651972065</v>
      </c>
      <c r="AS41" s="157">
        <v>4.2572770582545463</v>
      </c>
      <c r="AT41" s="157">
        <v>4.4603760361836526</v>
      </c>
      <c r="AU41" s="157">
        <v>4.5620276870378413</v>
      </c>
      <c r="AV41" s="157">
        <v>4.557830447869299</v>
      </c>
      <c r="AW41" s="157">
        <v>4.4427339173116334</v>
      </c>
      <c r="AX41" s="157">
        <v>4.2112640594964068</v>
      </c>
      <c r="AY41" s="157">
        <v>3.8576640941682276</v>
      </c>
      <c r="AZ41" s="157">
        <v>3.3759857385144358</v>
      </c>
      <c r="BA41" s="157">
        <v>2.7601500511748474</v>
      </c>
      <c r="BB41" s="157">
        <v>2.0039890154999682</v>
      </c>
      <c r="BC41" s="157">
        <v>1.1012745367311667</v>
      </c>
      <c r="BD41" s="157">
        <v>4.5738978016353404E-2</v>
      </c>
      <c r="BE41" s="157">
        <v>-1.1689101460967322</v>
      </c>
      <c r="BF41" s="157">
        <v>-2.5489796162670069</v>
      </c>
      <c r="BG41" s="157">
        <v>-4.1007829643957159</v>
      </c>
      <c r="BH41" s="157">
        <v>-5.8306351732153736</v>
      </c>
      <c r="BI41" s="157">
        <v>-7.7448490907202583</v>
      </c>
      <c r="BJ41" s="157">
        <v>-9.8497331872738236</v>
      </c>
      <c r="BK41" s="157">
        <v>-12.151590387723694</v>
      </c>
      <c r="BL41" s="157">
        <v>-14.656717781063769</v>
      </c>
      <c r="BM41" s="157">
        <v>-17.371407057407875</v>
      </c>
      <c r="BN41" s="157">
        <v>-20.301945553635473</v>
      </c>
      <c r="BO41" s="157">
        <v>-23.454617809942381</v>
      </c>
      <c r="BQ41" s="157">
        <f t="shared" si="7"/>
        <v>4.5620276870378413</v>
      </c>
    </row>
    <row r="42" spans="1:69">
      <c r="E42" s="165">
        <f t="shared" si="8"/>
        <v>8250</v>
      </c>
      <c r="F42" s="157">
        <v>0.51003998926645133</v>
      </c>
      <c r="G42" s="157">
        <v>9.7812447440887276</v>
      </c>
      <c r="H42" s="157">
        <v>306.97254763252033</v>
      </c>
      <c r="I42" s="157">
        <f t="shared" ca="1" si="9"/>
        <v>1.7198924167742233</v>
      </c>
      <c r="J42" s="157">
        <f t="shared" ca="1" si="3"/>
        <v>0.32500000000000001</v>
      </c>
      <c r="K42" s="157">
        <f t="shared" ca="1" si="4"/>
        <v>99.766077980569108</v>
      </c>
      <c r="L42" s="157">
        <f ca="1">1.2*SQRT(N42*G42/(0.5*F42*SRef*RADIANS(alpha_max_voil)*Czalpha_voil))</f>
        <v>87.607506280628073</v>
      </c>
      <c r="M42" s="134">
        <f t="shared" ca="1" si="5"/>
        <v>99.766077980569108</v>
      </c>
      <c r="N42" s="157">
        <f ca="1">N41-U42</f>
        <v>16220.066845010146</v>
      </c>
      <c r="O42" s="157">
        <f ca="1">N42*G42/((0.5*F42*SRef*M42^2))</f>
        <v>0.43089140804698406</v>
      </c>
      <c r="P42" s="157">
        <f ca="1">INDEX(Aerodynamique!$T$6:$T$546,MATCH(O42,Aerodynamique!$Y$6:$Y$546,1))</f>
        <v>1.4000000000000083</v>
      </c>
      <c r="Q42" s="157">
        <f ca="1">(0.5*SRef*F42*M42^2)*INDEX(Aerodynamique!$Z$6:$Z$546,MATCH(O42,Aerodynamique!$Y$6:$Y$546,1))</f>
        <v>5208.0577165433169</v>
      </c>
      <c r="R42" s="219">
        <f t="shared" ca="1" si="10"/>
        <v>11750.859859634578</v>
      </c>
      <c r="S42" s="157">
        <f ca="1">R42*M42/(N42*G42)-F42*SRef*Cx0_avion*(M42^3)/(2*N42*G42)-2*(N42*G42)/(F42*SRef*PI()*all_voil*M42)</f>
        <v>4.3422580227755496</v>
      </c>
      <c r="T42" s="157">
        <f ca="1">(E42-E41)/S41</f>
        <v>56.381585716383647</v>
      </c>
      <c r="U42" s="157">
        <f ca="1">I41*R41*T42/(3600*10)</f>
        <v>32.249784964443691</v>
      </c>
      <c r="W42"/>
      <c r="X42"/>
      <c r="Y42"/>
      <c r="Z42"/>
      <c r="AA42"/>
      <c r="AB42"/>
      <c r="AC42"/>
      <c r="AD42"/>
      <c r="AE42" s="168"/>
      <c r="AG42" s="157">
        <f ca="1">$N$9+(($N$70-$N$9)/($E$70-$E$9))*(AI42-$E$9)</f>
        <v>15846.239478294483</v>
      </c>
      <c r="AI42" s="165">
        <f t="shared" si="6"/>
        <v>8250</v>
      </c>
      <c r="AJ42" s="157">
        <v>-17.114295526731489</v>
      </c>
      <c r="AK42" s="157">
        <v>-2.1861449466940526</v>
      </c>
      <c r="AL42" s="157">
        <v>-0.42198428420791956</v>
      </c>
      <c r="AM42" s="157">
        <v>0.72780557826577175</v>
      </c>
      <c r="AN42" s="157">
        <v>1.6041204122967143</v>
      </c>
      <c r="AO42" s="157">
        <v>2.3161577781674536</v>
      </c>
      <c r="AP42" s="157">
        <v>2.9069294619805728</v>
      </c>
      <c r="AQ42" s="157">
        <v>3.3946401990031747</v>
      </c>
      <c r="AR42" s="157">
        <v>3.7864811216537189</v>
      </c>
      <c r="AS42" s="157">
        <v>4.0841476134455688</v>
      </c>
      <c r="AT42" s="157">
        <v>4.2863478388947094</v>
      </c>
      <c r="AU42" s="157">
        <v>4.3900573656810185</v>
      </c>
      <c r="AV42" s="157">
        <v>4.391195031824914</v>
      </c>
      <c r="AW42" s="157">
        <v>4.2850094014530322</v>
      </c>
      <c r="AX42" s="157">
        <v>4.0663108283420604</v>
      </c>
      <c r="AY42" s="157">
        <v>3.7296166288962787</v>
      </c>
      <c r="AZ42" s="157">
        <v>3.2692450927572523</v>
      </c>
      <c r="BA42" s="157">
        <v>2.6793781721510634</v>
      </c>
      <c r="BB42" s="157">
        <v>1.9541043292449043</v>
      </c>
      <c r="BC42" s="157">
        <v>1.0874484217506821</v>
      </c>
      <c r="BD42" s="157">
        <v>7.3392879168072633E-2</v>
      </c>
      <c r="BE42" s="157">
        <v>-1.0941071303663819</v>
      </c>
      <c r="BF42" s="157">
        <v>-2.4211127869913582</v>
      </c>
      <c r="BG42" s="157">
        <v>-3.9136937935131622</v>
      </c>
      <c r="BH42" s="157">
        <v>-5.5779228470921804</v>
      </c>
      <c r="BI42" s="157">
        <v>-7.4198718626332303</v>
      </c>
      <c r="BJ42" s="157">
        <v>-9.4456095638409412</v>
      </c>
      <c r="BK42" s="157">
        <v>-11.661200165848317</v>
      </c>
      <c r="BL42" s="157">
        <v>-14.072702945975063</v>
      </c>
      <c r="BM42" s="157">
        <v>-16.686172548166066</v>
      </c>
      <c r="BN42" s="157">
        <v>-19.507659899574147</v>
      </c>
      <c r="BO42" s="157">
        <v>-22.543213639628089</v>
      </c>
      <c r="BQ42" s="157">
        <f t="shared" si="7"/>
        <v>4.391195031824914</v>
      </c>
    </row>
    <row r="43" spans="1:69">
      <c r="E43" s="165">
        <f t="shared" si="8"/>
        <v>8500</v>
      </c>
      <c r="F43" s="157">
        <v>0.49516800083474982</v>
      </c>
      <c r="G43" s="157">
        <v>9.7804764295625404</v>
      </c>
      <c r="H43" s="157">
        <v>305.90720815306065</v>
      </c>
      <c r="I43" s="157">
        <f t="shared" ca="1" si="9"/>
        <v>1.7218924167742231</v>
      </c>
      <c r="J43" s="157">
        <f t="shared" ca="1" si="3"/>
        <v>0.32500000000000001</v>
      </c>
      <c r="K43" s="157">
        <f t="shared" ca="1" si="4"/>
        <v>99.419842649744709</v>
      </c>
      <c r="L43" s="157">
        <f ca="1">1.2*SQRT(N43*G43/(0.5*F43*SRef*RADIANS(alpha_max_voil)*Czalpha_voil))</f>
        <v>88.821264120377577</v>
      </c>
      <c r="M43" s="134">
        <f t="shared" ca="1" si="5"/>
        <v>99.419842649744709</v>
      </c>
      <c r="N43" s="157">
        <f ca="1">N42-U43</f>
        <v>16187.745248067511</v>
      </c>
      <c r="O43" s="157">
        <f ca="1">N43*G43/((0.5*F43*SRef*M43^2))</f>
        <v>0.4460039995023532</v>
      </c>
      <c r="P43" s="157">
        <f ca="1">INDEX(Aerodynamique!$T$6:$T$546,MATCH(O43,Aerodynamique!$Y$6:$Y$546,1))</f>
        <v>1.5500000000000085</v>
      </c>
      <c r="Q43" s="157">
        <f ca="1">(0.5*SRef*F43*M43^2)*INDEX(Aerodynamique!$Z$6:$Z$546,MATCH(O43,Aerodynamique!$Y$6:$Y$546,1))</f>
        <v>5106.8569838276289</v>
      </c>
      <c r="R43" s="219">
        <f t="shared" ca="1" si="10"/>
        <v>11381.247245915187</v>
      </c>
      <c r="S43" s="157">
        <f ca="1">R43*M43/(N43*G43)-F43*SRef*Cx0_avion*(M43^3)/(2*N43*G43)-2*(N43*G43)/(F43*SRef*PI()*all_voil*M43)</f>
        <v>4.1756497021510555</v>
      </c>
      <c r="T43" s="157">
        <f ca="1">(E43-E42)/S42</f>
        <v>57.573732074125168</v>
      </c>
      <c r="U43" s="157">
        <f ca="1">I42*R42*T43/(3600*10)</f>
        <v>32.321596942634038</v>
      </c>
      <c r="W43"/>
      <c r="X43"/>
      <c r="Y43"/>
      <c r="Z43"/>
      <c r="AA43"/>
      <c r="AB43"/>
      <c r="AC43"/>
      <c r="AD43"/>
      <c r="AE43" s="168"/>
      <c r="AG43" s="157">
        <f ca="1">$N$9+(($N$70-$N$9)/($E$70-$E$9))*(AI43-$E$9)</f>
        <v>15805.059041958868</v>
      </c>
      <c r="AI43" s="165">
        <f t="shared" si="6"/>
        <v>8500</v>
      </c>
      <c r="AJ43" s="157">
        <v>-17.659024000493655</v>
      </c>
      <c r="AK43" s="157">
        <v>-2.3349020397629561</v>
      </c>
      <c r="AL43" s="157">
        <v>-0.55441074625362319</v>
      </c>
      <c r="AM43" s="157">
        <v>0.59505941548560948</v>
      </c>
      <c r="AN43" s="157">
        <v>1.4653745299081478</v>
      </c>
      <c r="AO43" s="157">
        <v>2.1695524505132449</v>
      </c>
      <c r="AP43" s="157">
        <v>2.7523819519059241</v>
      </c>
      <c r="AQ43" s="157">
        <v>3.2330781120915835</v>
      </c>
      <c r="AR43" s="157">
        <v>3.6195012960383099</v>
      </c>
      <c r="AS43" s="157">
        <v>3.9138452085520599</v>
      </c>
      <c r="AT43" s="157">
        <v>4.1152227739786857</v>
      </c>
      <c r="AU43" s="157">
        <v>4.2209594217515347</v>
      </c>
      <c r="AV43" s="157">
        <v>4.2272897626021573</v>
      </c>
      <c r="AW43" s="157">
        <v>4.1297559272769488</v>
      </c>
      <c r="AX43" s="157">
        <v>3.9234467537261679</v>
      </c>
      <c r="AY43" s="157">
        <v>3.603147408065392</v>
      </c>
      <c r="AZ43" s="157">
        <v>3.1634362708706534</v>
      </c>
      <c r="BA43" s="157">
        <v>2.5987495431463365</v>
      </c>
      <c r="BB43" s="157">
        <v>1.9034254065153995</v>
      </c>
      <c r="BC43" s="157">
        <v>1.0717348312720572</v>
      </c>
      <c r="BD43" s="157">
        <v>9.7903417015158312E-2</v>
      </c>
      <c r="BE43" s="157">
        <v>-1.0238729497674748</v>
      </c>
      <c r="BF43" s="157">
        <v>-2.2994168103168899</v>
      </c>
      <c r="BG43" s="157">
        <v>-3.7345610171993786</v>
      </c>
      <c r="BH43" s="157">
        <v>-5.3351429714811118</v>
      </c>
      <c r="BI43" s="157">
        <v>-7.1070006503877998</v>
      </c>
      <c r="BJ43" s="157">
        <v>-9.055970029097054</v>
      </c>
      <c r="BK43" s="157">
        <v>-11.187883611833502</v>
      </c>
      <c r="BL43" s="157">
        <v>-13.508569862608908</v>
      </c>
      <c r="BM43" s="157">
        <v>-16.023853376770081</v>
      </c>
      <c r="BN43" s="157">
        <v>-18.739555668786725</v>
      </c>
      <c r="BO43" s="157">
        <v>-21.661496474621128</v>
      </c>
      <c r="BQ43" s="157">
        <f t="shared" si="7"/>
        <v>4.2272897626021573</v>
      </c>
    </row>
    <row r="44" spans="1:69">
      <c r="E44" s="165">
        <f t="shared" si="8"/>
        <v>8750</v>
      </c>
      <c r="F44" s="157">
        <v>0.48063006229290595</v>
      </c>
      <c r="G44" s="157">
        <v>9.779708205559194</v>
      </c>
      <c r="H44" s="157">
        <v>304.83814557892845</v>
      </c>
      <c r="I44" s="157">
        <f t="shared" ca="1" si="9"/>
        <v>1.7238924167742233</v>
      </c>
      <c r="J44" s="157">
        <f t="shared" ca="1" si="3"/>
        <v>0.32500000000000001</v>
      </c>
      <c r="K44" s="157">
        <f t="shared" ca="1" si="4"/>
        <v>99.072397313151754</v>
      </c>
      <c r="L44" s="157">
        <f ca="1">1.2*SQRT(N44*G44/(0.5*F44*SRef*RADIANS(alpha_max_voil)*Czalpha_voil))</f>
        <v>90.060234869756911</v>
      </c>
      <c r="M44" s="134">
        <f t="shared" ca="1" si="5"/>
        <v>99.072397313151754</v>
      </c>
      <c r="N44" s="157">
        <f ca="1">N43-U44</f>
        <v>16155.153374939229</v>
      </c>
      <c r="O44" s="157">
        <f ca="1">N44*G44/((0.5*F44*SRef*M44^2))</f>
        <v>0.46175520853436974</v>
      </c>
      <c r="P44" s="157">
        <f ca="1">INDEX(Aerodynamique!$T$6:$T$546,MATCH(O44,Aerodynamique!$Y$6:$Y$546,1))</f>
        <v>1.7000000000000086</v>
      </c>
      <c r="Q44" s="157">
        <f ca="1">(0.5*SRef*F44*M44^2)*INDEX(Aerodynamique!$Z$6:$Z$546,MATCH(O44,Aerodynamique!$Y$6:$Y$546,1))</f>
        <v>5008.2201889462249</v>
      </c>
      <c r="R44" s="219">
        <f t="shared" ca="1" si="10"/>
        <v>11020.79405146506</v>
      </c>
      <c r="S44" s="157">
        <f ca="1">R44*M44/(N44*G44)-F44*SRef*Cx0_avion*(M44^3)/(2*N44*G44)-2*(N44*G44)/(F44*SRef*PI()*all_voil*M44)</f>
        <v>4.0118951988356688</v>
      </c>
      <c r="T44" s="157">
        <f ca="1">(E44-E43)/S43</f>
        <v>59.87092257073536</v>
      </c>
      <c r="U44" s="157">
        <f ca="1">I43*R43*T44/(3600*10)</f>
        <v>32.59187312828108</v>
      </c>
      <c r="W44"/>
      <c r="X44"/>
      <c r="Y44"/>
      <c r="Z44"/>
      <c r="AA44"/>
      <c r="AB44"/>
      <c r="AC44"/>
      <c r="AD44"/>
      <c r="AE44" s="168"/>
      <c r="AG44" s="157">
        <f ca="1">$N$9+(($N$70-$N$9)/($E$70-$E$9))*(AI44-$E$9)</f>
        <v>15763.878605623255</v>
      </c>
      <c r="AI44" s="165">
        <f t="shared" si="6"/>
        <v>8750</v>
      </c>
      <c r="AJ44" s="157">
        <v>-18.224233073770666</v>
      </c>
      <c r="AK44" s="157">
        <v>-2.4867530926123576</v>
      </c>
      <c r="AL44" s="157">
        <v>-0.68806562074112865</v>
      </c>
      <c r="AM44" s="157">
        <v>0.46222622882171249</v>
      </c>
      <c r="AN44" s="157">
        <v>1.327365398288032</v>
      </c>
      <c r="AO44" s="157">
        <v>2.0243206551939883</v>
      </c>
      <c r="AP44" s="157">
        <v>2.5997095591653268</v>
      </c>
      <c r="AQ44" s="157">
        <v>3.073779778599131</v>
      </c>
      <c r="AR44" s="157">
        <v>3.455070035386191</v>
      </c>
      <c r="AS44" s="157">
        <v>3.7462749273373039</v>
      </c>
      <c r="AT44" s="157">
        <v>3.9469111446616227</v>
      </c>
      <c r="AU44" s="157">
        <v>4.0546509126817396</v>
      </c>
      <c r="AV44" s="157">
        <v>4.0660402816670445</v>
      </c>
      <c r="AW44" s="157">
        <v>3.9769098084660612</v>
      </c>
      <c r="AX44" s="157">
        <v>3.7826211434738952</v>
      </c>
      <c r="AY44" s="157">
        <v>3.478221272269169</v>
      </c>
      <c r="AZ44" s="157">
        <v>3.0585423893972528</v>
      </c>
      <c r="BA44" s="157">
        <v>2.5182684955066237</v>
      </c>
      <c r="BB44" s="157">
        <v>1.8519809213421887</v>
      </c>
      <c r="BC44" s="157">
        <v>1.0541900938384079</v>
      </c>
      <c r="BD44" s="157">
        <v>0.11935806642670588</v>
      </c>
      <c r="BE44" s="157">
        <v>-0.95808531444692724</v>
      </c>
      <c r="BF44" s="157">
        <v>-2.1837307384362643</v>
      </c>
      <c r="BG44" s="157">
        <v>-3.5631810144800506</v>
      </c>
      <c r="BH44" s="157">
        <v>-5.102045066497868</v>
      </c>
      <c r="BI44" s="157">
        <v>-6.8059337603465675</v>
      </c>
      <c r="BJ44" s="157">
        <v>-8.6804571529113908</v>
      </c>
      <c r="BK44" s="157">
        <v>-10.731222869433612</v>
      </c>
      <c r="BL44" s="157">
        <v>-12.963835392960769</v>
      </c>
      <c r="BM44" s="157">
        <v>-15.38389610251286</v>
      </c>
      <c r="BN44" s="157">
        <v>-17.997003932224612</v>
      </c>
      <c r="BO44" s="157">
        <v>-20.808756547694003</v>
      </c>
      <c r="BQ44" s="157">
        <f t="shared" si="7"/>
        <v>4.0660402816670445</v>
      </c>
    </row>
    <row r="45" spans="1:69">
      <c r="E45" s="165">
        <f t="shared" si="8"/>
        <v>9000</v>
      </c>
      <c r="F45" s="157">
        <v>0.46642093855408934</v>
      </c>
      <c r="G45" s="157">
        <v>9.7789400720644615</v>
      </c>
      <c r="H45" s="157">
        <v>303.76532060128255</v>
      </c>
      <c r="I45" s="157">
        <f t="shared" ca="1" si="9"/>
        <v>1.7258924167742231</v>
      </c>
      <c r="J45" s="157">
        <f t="shared" ca="1" si="3"/>
        <v>0.32500000000000001</v>
      </c>
      <c r="K45" s="157">
        <f t="shared" ca="1" si="4"/>
        <v>98.723729195416837</v>
      </c>
      <c r="L45" s="157">
        <f ca="1">1.2*SQRT(N45*G45/(0.5*F45*SRef*RADIANS(alpha_max_voil)*Czalpha_voil))</f>
        <v>91.325063417916738</v>
      </c>
      <c r="M45" s="134">
        <f t="shared" ca="1" si="5"/>
        <v>98.723729195416837</v>
      </c>
      <c r="N45" s="157">
        <f ca="1">N44-U45</f>
        <v>16122.267380861083</v>
      </c>
      <c r="O45" s="157">
        <f ca="1">N45*G45/((0.5*F45*SRef*M45^2))</f>
        <v>0.47817609082562906</v>
      </c>
      <c r="P45" s="157">
        <f ca="1">INDEX(Aerodynamique!$T$6:$T$546,MATCH(O45,Aerodynamique!$Y$6:$Y$546,1))</f>
        <v>1.8500000000000087</v>
      </c>
      <c r="Q45" s="157">
        <f ca="1">(0.5*SRef*F45*M45^2)*INDEX(Aerodynamique!$Z$6:$Z$546,MATCH(O45,Aerodynamique!$Y$6:$Y$546,1))</f>
        <v>4911.93883856906</v>
      </c>
      <c r="R45" s="219">
        <f t="shared" ca="1" si="10"/>
        <v>10669.335266768312</v>
      </c>
      <c r="S45" s="157">
        <f ca="1">R45*M45/(N45*G45)-F45*SRef*Cx0_avion*(M45^3)/(2*N45*G45)-2*(N45*G45)/(F45*SRef*PI()*all_voil*M45)</f>
        <v>3.850913459388817</v>
      </c>
      <c r="T45" s="157">
        <f ca="1">(E45-E44)/S44</f>
        <v>62.314688597188415</v>
      </c>
      <c r="U45" s="157">
        <f ca="1">I44*R44*T45/(3600*10)</f>
        <v>32.885994078145259</v>
      </c>
      <c r="W45"/>
      <c r="X45"/>
      <c r="Y45"/>
      <c r="Z45"/>
      <c r="AA45"/>
      <c r="AB45"/>
      <c r="AC45"/>
      <c r="AD45"/>
      <c r="AE45" s="168"/>
      <c r="AG45" s="157">
        <f ca="1">$N$9+(($N$70-$N$9)/($E$70-$E$9))*(AI45-$E$9)</f>
        <v>15722.69816928764</v>
      </c>
      <c r="AI45" s="165">
        <f t="shared" si="6"/>
        <v>9000</v>
      </c>
      <c r="AJ45" s="157">
        <v>-18.810885717029567</v>
      </c>
      <c r="AK45" s="157">
        <v>-2.6419086538620125</v>
      </c>
      <c r="AL45" s="157">
        <v>-0.82310413071674082</v>
      </c>
      <c r="AM45" s="157">
        <v>0.32917487289137237</v>
      </c>
      <c r="AN45" s="157">
        <v>1.1899740517054935</v>
      </c>
      <c r="AO45" s="157">
        <v>1.8803502695889269</v>
      </c>
      <c r="AP45" s="157">
        <v>2.4488045751397127</v>
      </c>
      <c r="AQ45" s="157">
        <v>2.9166410117854493</v>
      </c>
      <c r="AR45" s="157">
        <v>3.2930867104386645</v>
      </c>
      <c r="AS45" s="157">
        <v>3.5813403565622113</v>
      </c>
      <c r="AT45" s="157">
        <v>3.7813218687945822</v>
      </c>
      <c r="AU45" s="157">
        <v>3.89104756180281</v>
      </c>
      <c r="AV45" s="157">
        <v>3.9073708915783598</v>
      </c>
      <c r="AW45" s="157">
        <v>3.826405961232711</v>
      </c>
      <c r="AX45" s="157">
        <v>3.643781796643474</v>
      </c>
      <c r="AY45" s="157">
        <v>3.3548013894357416</v>
      </c>
      <c r="AZ45" s="157">
        <v>2.9545446752167863</v>
      </c>
      <c r="BA45" s="157">
        <v>2.4379371998689647</v>
      </c>
      <c r="BB45" s="157">
        <v>1.7997970606701892</v>
      </c>
      <c r="BC45" s="157">
        <v>1.0348676676685509</v>
      </c>
      <c r="BD45" s="157">
        <v>0.13784099012832929</v>
      </c>
      <c r="BE45" s="157">
        <v>-0.89662574895882718</v>
      </c>
      <c r="BF45" s="157">
        <v>-2.0738980026338325</v>
      </c>
      <c r="BG45" s="157">
        <v>-3.3993551726426361</v>
      </c>
      <c r="BH45" s="157">
        <v>-4.8783843563104918</v>
      </c>
      <c r="BI45" s="157">
        <v>-6.5163759675265629</v>
      </c>
      <c r="BJ45" s="157">
        <v>-8.3187208094576288</v>
      </c>
      <c r="BK45" s="157">
        <v>-10.290808295678843</v>
      </c>
      <c r="BL45" s="157">
        <v>-12.438025596898456</v>
      </c>
      <c r="BM45" s="157">
        <v>-14.765757545110606</v>
      </c>
      <c r="BN45" s="157">
        <v>-17.279387164118134</v>
      </c>
      <c r="BO45" s="157">
        <v>-19.984296720426826</v>
      </c>
      <c r="BQ45" s="157">
        <f t="shared" si="7"/>
        <v>3.9073708915783598</v>
      </c>
    </row>
    <row r="46" spans="1:69">
      <c r="E46" s="165">
        <f t="shared" si="8"/>
        <v>9250</v>
      </c>
      <c r="F46" s="157">
        <v>0.45253544052785566</v>
      </c>
      <c r="G46" s="157">
        <v>9.7781720290641374</v>
      </c>
      <c r="H46" s="157">
        <v>302.68869321466235</v>
      </c>
      <c r="I46" s="157">
        <f t="shared" ca="1" si="9"/>
        <v>1.7278924167742233</v>
      </c>
      <c r="J46" s="157">
        <f t="shared" ca="1" si="3"/>
        <v>0.32500000000000001</v>
      </c>
      <c r="K46" s="157">
        <f t="shared" ca="1" si="4"/>
        <v>98.373825294765268</v>
      </c>
      <c r="L46" s="157">
        <f ca="1">1.2*SQRT(N46*G46/(0.5*F46*SRef*RADIANS(alpha_max_voil)*Czalpha_voil))</f>
        <v>92.616408067372262</v>
      </c>
      <c r="M46" s="134">
        <f t="shared" ca="1" si="5"/>
        <v>98.373825294765268</v>
      </c>
      <c r="N46" s="157">
        <f ca="1">N45-U46</f>
        <v>16089.060748664286</v>
      </c>
      <c r="O46" s="157">
        <f ca="1">N46*G46/((0.5*F46*SRef*M46^2))</f>
        <v>0.49529933541916948</v>
      </c>
      <c r="P46" s="157">
        <f ca="1">INDEX(Aerodynamique!$T$6:$T$546,MATCH(O46,Aerodynamique!$Y$6:$Y$546,1))</f>
        <v>2.0500000000000087</v>
      </c>
      <c r="Q46" s="157">
        <f ca="1">(0.5*SRef*F46*M46^2)*INDEX(Aerodynamique!$Z$6:$Z$546,MATCH(O46,Aerodynamique!$Y$6:$Y$546,1))</f>
        <v>4847.1085933489585</v>
      </c>
      <c r="R46" s="219">
        <f t="shared" ca="1" si="10"/>
        <v>10326.707722920941</v>
      </c>
      <c r="S46" s="157">
        <f ca="1">R46*M46/(N46*G46)-F46*SRef*Cx0_avion*(M46^3)/(2*N46*G46)-2*(N46*G46)/(F46*SRef*PI()*all_voil*M46)</f>
        <v>3.692622497118927</v>
      </c>
      <c r="T46" s="157">
        <f ca="1">(E46-E45)/S45</f>
        <v>64.91966195461525</v>
      </c>
      <c r="U46" s="157">
        <f ca="1">I45*R45*T46/(3600*10)</f>
        <v>33.206632196796981</v>
      </c>
      <c r="W46"/>
      <c r="X46"/>
      <c r="Y46"/>
      <c r="Z46"/>
      <c r="AA46"/>
      <c r="AB46"/>
      <c r="AC46"/>
      <c r="AD46"/>
      <c r="AE46" s="168"/>
      <c r="AG46" s="157">
        <f ca="1">$N$9+(($N$70-$N$9)/($E$70-$E$9))*(AI46-$E$9)</f>
        <v>15681.517732952027</v>
      </c>
      <c r="AI46" s="165">
        <f t="shared" si="6"/>
        <v>9250</v>
      </c>
      <c r="AJ46" s="157">
        <v>-19.419996783097112</v>
      </c>
      <c r="AK46" s="157">
        <v>-2.8005894639176323</v>
      </c>
      <c r="AL46" s="157">
        <v>-0.95968814302764072</v>
      </c>
      <c r="AM46" s="157">
        <v>0.19576936576174941</v>
      </c>
      <c r="AN46" s="157">
        <v>1.0530777902682158</v>
      </c>
      <c r="AO46" s="157">
        <v>1.7375261780204492</v>
      </c>
      <c r="AP46" s="157">
        <v>2.2995568237553323</v>
      </c>
      <c r="AQ46" s="157">
        <v>2.7615555391652</v>
      </c>
      <c r="AR46" s="157">
        <v>3.1334488826558702</v>
      </c>
      <c r="AS46" s="157">
        <v>3.4189434670909025</v>
      </c>
      <c r="AT46" s="157">
        <v>3.6183623718157412</v>
      </c>
      <c r="AU46" s="157">
        <v>3.730063661554226</v>
      </c>
      <c r="AV46" s="157">
        <v>3.7512044682754273</v>
      </c>
      <c r="AW46" s="157">
        <v>3.6781778248357275</v>
      </c>
      <c r="AX46" s="157">
        <v>3.5068749316624199</v>
      </c>
      <c r="AY46" s="157">
        <v>3.2328491901581522</v>
      </c>
      <c r="AZ46" s="157">
        <v>2.8514224077910151</v>
      </c>
      <c r="BA46" s="157">
        <v>2.3577556151587777</v>
      </c>
      <c r="BB46" s="157">
        <v>1.746897480042739</v>
      </c>
      <c r="BC46" s="157">
        <v>1.0138181030438866</v>
      </c>
      <c r="BD46" s="157">
        <v>0.15343300787681241</v>
      </c>
      <c r="BE46" s="157">
        <v>-0.8393796161567334</v>
      </c>
      <c r="BF46" s="157">
        <v>-1.9697664300465885</v>
      </c>
      <c r="BG46" s="157">
        <v>-3.2428898966202979</v>
      </c>
      <c r="BH46" s="157">
        <v>-4.6639217708576952</v>
      </c>
      <c r="BI46" s="157">
        <v>-6.2380385093242818</v>
      </c>
      <c r="BJ46" s="157">
        <v>-7.970418162581776</v>
      </c>
      <c r="BK46" s="157">
        <v>-9.8662384374884038</v>
      </c>
      <c r="BL46" s="157">
        <v>-11.930675699591429</v>
      </c>
      <c r="BM46" s="157">
        <v>-14.16890474248896</v>
      </c>
      <c r="BN46" s="157">
        <v>-16.586099189631604</v>
      </c>
      <c r="BO46" s="157">
        <v>-19.18743242021629</v>
      </c>
      <c r="BQ46" s="157">
        <f t="shared" si="7"/>
        <v>3.7512044682754273</v>
      </c>
    </row>
    <row r="47" spans="1:69">
      <c r="E47" s="165">
        <f t="shared" si="8"/>
        <v>9500</v>
      </c>
      <c r="F47" s="157">
        <v>0.4389684250371923</v>
      </c>
      <c r="G47" s="157">
        <v>9.7774040765439967</v>
      </c>
      <c r="H47" s="157">
        <v>301.60822269958089</v>
      </c>
      <c r="I47" s="157">
        <f t="shared" ca="1" si="9"/>
        <v>1.7298924167742231</v>
      </c>
      <c r="J47" s="157">
        <f t="shared" ca="1" si="3"/>
        <v>0.32500000000000001</v>
      </c>
      <c r="K47" s="157">
        <f t="shared" ca="1" si="4"/>
        <v>98.02267237736379</v>
      </c>
      <c r="L47" s="157">
        <f ca="1">1.2*SQRT(N47*G47/(0.5*F47*SRef*RADIANS(alpha_max_voil)*Czalpha_voil))</f>
        <v>93.934939609351574</v>
      </c>
      <c r="M47" s="134">
        <f t="shared" ca="1" si="5"/>
        <v>98.02267237736379</v>
      </c>
      <c r="N47" s="157">
        <f ca="1">N46-U47</f>
        <v>16055.503899127358</v>
      </c>
      <c r="O47" s="157">
        <f ca="1">N47*G47/((0.5*F47*SRef*M47^2))</f>
        <v>0.51315934315643541</v>
      </c>
      <c r="P47" s="157">
        <f ca="1">INDEX(Aerodynamique!$T$6:$T$546,MATCH(O47,Aerodynamique!$Y$6:$Y$546,1))</f>
        <v>2.2000000000000082</v>
      </c>
      <c r="Q47" s="157">
        <f ca="1">(0.5*SRef*F47*M47^2)*INDEX(Aerodynamique!$Z$6:$Z$546,MATCH(O47,Aerodynamique!$Y$6:$Y$546,1))</f>
        <v>4754.8711977281619</v>
      </c>
      <c r="R47" s="219">
        <f t="shared" ca="1" si="10"/>
        <v>9992.7500839057157</v>
      </c>
      <c r="S47" s="157">
        <f ca="1">R47*M47/(N47*G47)-F47*SRef*Cx0_avion*(M47^3)/(2*N47*G47)-2*(N47*G47)/(F47*SRef*PI()*all_voil*M47)</f>
        <v>3.5369393743168613</v>
      </c>
      <c r="T47" s="157">
        <f ca="1">(E47-E46)/S46</f>
        <v>67.702561037597533</v>
      </c>
      <c r="U47" s="157">
        <f ca="1">I46*R46*T47/(3600*10)</f>
        <v>33.556849536927238</v>
      </c>
      <c r="W47"/>
      <c r="X47"/>
      <c r="Y47"/>
      <c r="Z47"/>
      <c r="AA47"/>
      <c r="AB47"/>
      <c r="AC47"/>
      <c r="AD47"/>
      <c r="AE47" s="168"/>
      <c r="AG47" s="157">
        <f ca="1">$N$9+(($N$70-$N$9)/($E$70-$E$9))*(AI47-$E$9)</f>
        <v>15640.337296616412</v>
      </c>
      <c r="AI47" s="165">
        <f t="shared" si="6"/>
        <v>9500</v>
      </c>
      <c r="AJ47" s="157">
        <v>-20.05263622603152</v>
      </c>
      <c r="AK47" s="157">
        <v>-2.9630270990828267</v>
      </c>
      <c r="AL47" s="157">
        <v>-1.0979865979694163</v>
      </c>
      <c r="AM47" s="157">
        <v>6.186856653558559E-2</v>
      </c>
      <c r="AN47" s="157">
        <v>0.91654992190531037</v>
      </c>
      <c r="AO47" s="157">
        <v>1.5957300567758823</v>
      </c>
      <c r="AP47" s="157">
        <v>2.1518534774019606</v>
      </c>
      <c r="AQ47" s="157">
        <v>2.6084148417976714</v>
      </c>
      <c r="AR47" s="157">
        <v>2.9760521619264955</v>
      </c>
      <c r="AS47" s="157">
        <v>3.2589844866212148</v>
      </c>
      <c r="AT47" s="157">
        <v>3.4579384720969504</v>
      </c>
      <c r="AU47" s="157">
        <v>3.5716119697110003</v>
      </c>
      <c r="AV47" s="157">
        <v>3.5974623669200216</v>
      </c>
      <c r="AW47" s="157">
        <v>3.5321572761116729</v>
      </c>
      <c r="AX47" s="157">
        <v>3.3718451088777432</v>
      </c>
      <c r="AY47" s="157">
        <v>3.1123242977892129</v>
      </c>
      <c r="AZ47" s="157">
        <v>2.7491528564832075</v>
      </c>
      <c r="BA47" s="157">
        <v>2.2777214329382582</v>
      </c>
      <c r="BB47" s="157">
        <v>1.6933032548853157</v>
      </c>
      <c r="BC47" s="157">
        <v>0.99108900051946858</v>
      </c>
      <c r="BD47" s="157">
        <v>0.16621156166336287</v>
      </c>
      <c r="BE47" s="157">
        <v>-0.7862361448702665</v>
      </c>
      <c r="BF47" s="157">
        <v>-1.8711882640372204</v>
      </c>
      <c r="BG47" s="157">
        <v>-3.093596621828659</v>
      </c>
      <c r="BH47" s="157">
        <v>-4.4584239508721488</v>
      </c>
      <c r="BI47" s="157">
        <v>-5.9706390824076152</v>
      </c>
      <c r="BJ47" s="157">
        <v>-7.6352136542075657</v>
      </c>
      <c r="BK47" s="157">
        <v>-9.4571200111992795</v>
      </c>
      <c r="BL47" s="157">
        <v>-11.441330061740421</v>
      </c>
      <c r="BM47" s="157">
        <v>-13.592814911259977</v>
      </c>
      <c r="BN47" s="157">
        <v>-15.916545135105276</v>
      </c>
      <c r="BO47" s="157">
        <v>-18.417491579771788</v>
      </c>
      <c r="BQ47" s="157">
        <f t="shared" si="7"/>
        <v>3.5974623669200216</v>
      </c>
    </row>
    <row r="48" spans="1:69">
      <c r="E48" s="165">
        <f t="shared" si="8"/>
        <v>9750</v>
      </c>
      <c r="F48" s="157">
        <v>0.42571479473512802</v>
      </c>
      <c r="G48" s="157">
        <v>9.776636214489832</v>
      </c>
      <c r="H48" s="157">
        <v>300.52386760455482</v>
      </c>
      <c r="I48" s="157">
        <f t="shared" ca="1" si="9"/>
        <v>1.7318924167742233</v>
      </c>
      <c r="J48" s="157">
        <f t="shared" ca="1" si="3"/>
        <v>0.32500000000000001</v>
      </c>
      <c r="K48" s="157">
        <f t="shared" ca="1" si="4"/>
        <v>97.670256971480327</v>
      </c>
      <c r="L48" s="157">
        <f ca="1">1.2*SQRT(N48*G48/(0.5*F48*SRef*RADIANS(alpha_max_voil)*Czalpha_voil))</f>
        <v>95.281340065862452</v>
      </c>
      <c r="M48" s="134">
        <f t="shared" ca="1" si="5"/>
        <v>97.670256971480327</v>
      </c>
      <c r="N48" s="157">
        <f ca="1">N47-U48</f>
        <v>16021.563729150661</v>
      </c>
      <c r="O48" s="157">
        <f ca="1">N48*G48/((0.5*F48*SRef*M48^2))</f>
        <v>0.53179230506551323</v>
      </c>
      <c r="P48" s="157">
        <f ca="1">INDEX(Aerodynamique!$T$6:$T$546,MATCH(O48,Aerodynamique!$Y$6:$Y$546,1))</f>
        <v>2.4000000000000075</v>
      </c>
      <c r="Q48" s="157">
        <f ca="1">(0.5*SRef*F48*M48^2)*INDEX(Aerodynamique!$Z$6:$Z$546,MATCH(O48,Aerodynamique!$Y$6:$Y$546,1))</f>
        <v>4693.772747874882</v>
      </c>
      <c r="R48" s="219">
        <f t="shared" ca="1" si="10"/>
        <v>9667.3028388450148</v>
      </c>
      <c r="S48" s="157">
        <f ca="1">R48*M48/(N48*G48)-F48*SRef*Cx0_avion*(M48^3)/(2*N48*G48)-2*(N48*G48)/(F48*SRef*PI()*all_voil*M48)</f>
        <v>3.3837801934397431</v>
      </c>
      <c r="T48" s="157">
        <f ca="1">(E48-E47)/S47</f>
        <v>70.682579920750271</v>
      </c>
      <c r="U48" s="157">
        <f ca="1">I47*R47*T48/(3600*10)</f>
        <v>33.940169976697014</v>
      </c>
      <c r="W48"/>
      <c r="X48"/>
      <c r="Y48"/>
      <c r="Z48"/>
      <c r="AA48"/>
      <c r="AB48"/>
      <c r="AC48"/>
      <c r="AD48"/>
      <c r="AE48" s="168"/>
      <c r="AG48" s="157">
        <f ca="1">$N$9+(($N$70-$N$9)/($E$70-$E$9))*(AI48-$E$9)</f>
        <v>15599.156860280797</v>
      </c>
      <c r="AI48" s="165">
        <f t="shared" si="6"/>
        <v>9750</v>
      </c>
      <c r="AJ48" s="157">
        <v>-20.709932545083728</v>
      </c>
      <c r="AK48" s="157">
        <v>-3.1294646606939889</v>
      </c>
      <c r="AL48" s="157">
        <v>-1.2381759689531144</v>
      </c>
      <c r="AM48" s="157">
        <v>-7.2674169581967263E-2</v>
      </c>
      <c r="AN48" s="157">
        <v>0.78025948633096909</v>
      </c>
      <c r="AO48" s="157">
        <v>1.4548401441093519</v>
      </c>
      <c r="AP48" s="157">
        <v>2.0055788599732569</v>
      </c>
      <c r="AQ48" s="157">
        <v>2.4571079823049562</v>
      </c>
      <c r="AR48" s="157">
        <v>2.8207900542555673</v>
      </c>
      <c r="AS48" s="157">
        <v>3.1013617633930619</v>
      </c>
      <c r="AT48" s="157">
        <v>3.2999542580863501</v>
      </c>
      <c r="AU48" s="157">
        <v>3.4156035980892416</v>
      </c>
      <c r="AV48" s="157">
        <v>3.4460643207943726</v>
      </c>
      <c r="AW48" s="157">
        <v>3.3882745375580328</v>
      </c>
      <c r="AX48" s="157">
        <v>3.2386351470885373</v>
      </c>
      <c r="AY48" s="157">
        <v>2.9931844528960365</v>
      </c>
      <c r="AZ48" s="157">
        <v>2.6477112125710831</v>
      </c>
      <c r="BA48" s="157">
        <v>2.197830016745824</v>
      </c>
      <c r="BB48" s="157">
        <v>1.6390328270476731</v>
      </c>
      <c r="BC48" s="157">
        <v>0.96672496463515145</v>
      </c>
      <c r="BD48" s="157">
        <v>0.17625067663676969</v>
      </c>
      <c r="BE48" s="157">
        <v>-0.73708846166075559</v>
      </c>
      <c r="BF48" s="157">
        <v>-1.7780201884613454</v>
      </c>
      <c r="BG48" s="157">
        <v>-2.9512918307259053</v>
      </c>
      <c r="BH48" s="157">
        <v>-4.2616632564683412</v>
      </c>
      <c r="BI48" s="157">
        <v>-5.7139018430244164</v>
      </c>
      <c r="BJ48" s="157">
        <v>-7.3127789960197669</v>
      </c>
      <c r="BK48" s="157">
        <v>-9.0630678852426811</v>
      </c>
      <c r="BL48" s="157">
        <v>-10.969542152831512</v>
      </c>
      <c r="BM48" s="157">
        <v>-13.036975410106972</v>
      </c>
      <c r="BN48" s="157">
        <v>-15.270141381093795</v>
      </c>
      <c r="BO48" s="157">
        <v>-17.673814579301986</v>
      </c>
      <c r="BQ48" s="157">
        <f t="shared" si="7"/>
        <v>3.4460643207943726</v>
      </c>
    </row>
    <row r="49" spans="5:69">
      <c r="E49" s="165">
        <f t="shared" si="8"/>
        <v>10000</v>
      </c>
      <c r="F49" s="157">
        <v>0.41276949802089902</v>
      </c>
      <c r="G49" s="157">
        <v>9.7758684428874343</v>
      </c>
      <c r="H49" s="157">
        <v>299.43558572754841</v>
      </c>
      <c r="I49" s="157">
        <f t="shared" ca="1" si="9"/>
        <v>1.7338924167742231</v>
      </c>
      <c r="J49" s="157">
        <f t="shared" ca="1" si="3"/>
        <v>0.32500000000000001</v>
      </c>
      <c r="K49" s="157">
        <f t="shared" ca="1" si="4"/>
        <v>97.316565361453243</v>
      </c>
      <c r="L49" s="157">
        <f ca="1">1.2*SQRT(N49*G49/(0.5*F49*SRef*RADIANS(alpha_max_voil)*Czalpha_voil))</f>
        <v>96.656301012293241</v>
      </c>
      <c r="M49" s="134">
        <f t="shared" ca="1" si="5"/>
        <v>97.316565361453243</v>
      </c>
      <c r="N49" s="157">
        <f ca="1">N48-U49</f>
        <v>15987.203061166336</v>
      </c>
      <c r="O49" s="157">
        <f ca="1">N49*G49/((0.5*F49*SRef*M49^2))</f>
        <v>0.55123627930729868</v>
      </c>
      <c r="P49" s="157">
        <f ca="1">INDEX(Aerodynamique!$T$6:$T$546,MATCH(O49,Aerodynamique!$Y$6:$Y$546,1))</f>
        <v>2.6000000000000068</v>
      </c>
      <c r="Q49" s="220">
        <f ca="1">(0.5*SRef*F49*M49^2)*INDEX(Aerodynamique!$Z$6:$Z$546,MATCH(O49,Aerodynamique!$Y$6:$Y$546,1))</f>
        <v>4634.2228720404628</v>
      </c>
      <c r="R49" s="219">
        <f t="shared" ca="1" si="10"/>
        <v>9350.2082942313682</v>
      </c>
      <c r="S49" s="157">
        <f ca="1">R49*M49/(N49*G49)-F49*SRef*Cx0_avion*(M49^3)/(2*N49*G49)-2*(N49*G49)/(F49*SRef*PI()*all_voil*M49)</f>
        <v>3.233060100519372</v>
      </c>
      <c r="T49" s="157">
        <f ca="1">(E49-E48)/S48</f>
        <v>73.881867529304657</v>
      </c>
      <c r="U49" s="157">
        <f ca="1">I48*R48*T49/(3600*10)</f>
        <v>34.360667984325417</v>
      </c>
      <c r="W49"/>
      <c r="X49"/>
      <c r="Y49"/>
      <c r="Z49"/>
      <c r="AA49"/>
      <c r="AB49"/>
      <c r="AC49"/>
      <c r="AD49"/>
      <c r="AE49" s="168"/>
      <c r="AG49" s="157">
        <f ca="1">$N$9+(($N$70-$N$9)/($E$70-$E$9))*(AI49-$E$9)</f>
        <v>15557.976423945183</v>
      </c>
      <c r="AI49" s="165">
        <f t="shared" si="6"/>
        <v>10000</v>
      </c>
      <c r="AJ49" s="157">
        <v>-21.393076471294993</v>
      </c>
      <c r="AK49" s="157">
        <v>-3.3001575127876048</v>
      </c>
      <c r="AL49" s="157">
        <v>-1.3804407545315169</v>
      </c>
      <c r="AM49" s="157">
        <v>-0.20801136049023627</v>
      </c>
      <c r="AN49" s="157">
        <v>0.6440709595849603</v>
      </c>
      <c r="AO49" s="157">
        <v>1.3147309940537246</v>
      </c>
      <c r="AP49" s="157">
        <v>1.8606142360263613</v>
      </c>
      <c r="AQ49" s="157">
        <v>2.3075214207411374</v>
      </c>
      <c r="AR49" s="157">
        <v>2.6675537986502023</v>
      </c>
      <c r="AS49" s="157">
        <v>2.9459716201724087</v>
      </c>
      <c r="AT49" s="157">
        <v>3.1443119566086741</v>
      </c>
      <c r="AU49" s="157">
        <v>3.2619478931448036</v>
      </c>
      <c r="AV49" s="157">
        <v>3.296928332714999</v>
      </c>
      <c r="AW49" s="157">
        <v>3.2464580784665849</v>
      </c>
      <c r="AX49" s="157">
        <v>3.107186033592483</v>
      </c>
      <c r="AY49" s="157">
        <v>2.8753854316350633</v>
      </c>
      <c r="AZ49" s="157">
        <v>2.5470705155397884</v>
      </c>
      <c r="BA49" s="157">
        <v>2.11807433603621</v>
      </c>
      <c r="BB49" s="157">
        <v>1.5841019462343795</v>
      </c>
      <c r="BC49" s="157">
        <v>0.94076755277522417</v>
      </c>
      <c r="BD49" s="157">
        <v>0.18362091741156178</v>
      </c>
      <c r="BE49" s="157">
        <v>-0.69183362697563022</v>
      </c>
      <c r="BF49" s="157">
        <v>-1.690123356134726</v>
      </c>
      <c r="BG49" s="157">
        <v>-2.8157970733893509</v>
      </c>
      <c r="BH49" s="157">
        <v>-4.0734177795766984</v>
      </c>
      <c r="BI49" s="157">
        <v>-5.4675574109984755</v>
      </c>
      <c r="BJ49" s="157">
        <v>-7.0027931646864063</v>
      </c>
      <c r="BK49" s="157">
        <v>-8.6837050662195274</v>
      </c>
      <c r="BL49" s="157">
        <v>-10.514874527657582</v>
      </c>
      <c r="BM49" s="157">
        <v>-12.500883706311919</v>
      </c>
      <c r="BN49" s="157">
        <v>-14.646315518428782</v>
      </c>
      <c r="BO49" s="157">
        <v>-16.955754191612311</v>
      </c>
      <c r="BQ49" s="157">
        <f t="shared" si="7"/>
        <v>3.296928332714999</v>
      </c>
    </row>
    <row r="50" spans="5:69">
      <c r="E50" s="165">
        <f t="shared" si="8"/>
        <v>10250</v>
      </c>
      <c r="F50" s="157">
        <v>0.40012752895566622</v>
      </c>
      <c r="G50" s="157">
        <v>9.775100761722598</v>
      </c>
      <c r="H50" s="157">
        <v>298.34333409680863</v>
      </c>
      <c r="I50" s="157">
        <f t="shared" ca="1" si="9"/>
        <v>1.7358924167742233</v>
      </c>
      <c r="J50" s="157">
        <f t="shared" ca="1" si="3"/>
        <v>0.32500000000000001</v>
      </c>
      <c r="K50" s="157">
        <f t="shared" ca="1" si="4"/>
        <v>96.961583581462804</v>
      </c>
      <c r="L50" s="157">
        <f ca="1">1.2*SQRT(N50*G50/(0.5*F50*SRef*RADIANS(alpha_max_voil)*Czalpha_voil))</f>
        <v>98.060521369911385</v>
      </c>
      <c r="M50" s="134">
        <f t="shared" ca="1" si="5"/>
        <v>98.060521369911385</v>
      </c>
      <c r="N50" s="157">
        <f ca="1">N49-U50</f>
        <v>15952.379982581835</v>
      </c>
      <c r="O50" s="157">
        <f ca="1">N50*G50/((0.5*F50*SRef*M50^2))</f>
        <v>0.55879305067419982</v>
      </c>
      <c r="P50" s="157">
        <f ca="1">INDEX(Aerodynamique!$T$6:$T$546,MATCH(O50,Aerodynamique!$Y$6:$Y$546,1))</f>
        <v>2.7000000000000064</v>
      </c>
      <c r="Q50" s="220">
        <f ca="1">(0.5*SRef*F50*M50^2)*INDEX(Aerodynamique!$Z$6:$Z$546,MATCH(O50,Aerodynamique!$Y$6:$Y$546,1))</f>
        <v>4620.1512368110343</v>
      </c>
      <c r="R50" s="219">
        <f t="shared" ca="1" si="10"/>
        <v>9041.3105661354402</v>
      </c>
      <c r="S50" s="157">
        <f ca="1">R50*M50/(N50*G50)-F50*SRef*Cx0_avion*(M50^3)/(2*N50*G50)-2*(N50*G50)/(F50*SRef*PI()*all_voil*M50)</f>
        <v>3.093331548498111</v>
      </c>
      <c r="T50" s="157">
        <f ca="1">(E50-E49)/S49</f>
        <v>77.326122072348412</v>
      </c>
      <c r="U50" s="157">
        <f ca="1">I49*R49*T50/(3600*10)</f>
        <v>34.823078584500784</v>
      </c>
      <c r="W50"/>
      <c r="X50"/>
      <c r="Y50"/>
      <c r="Z50"/>
      <c r="AA50"/>
      <c r="AB50"/>
      <c r="AC50"/>
      <c r="AD50"/>
      <c r="AE50" s="168"/>
      <c r="AG50" s="157">
        <f ca="1">$N$9+(($N$70-$N$9)/($E$70-$E$9))*(AI50-$E$9)</f>
        <v>15516.795987609568</v>
      </c>
      <c r="AI50" s="165">
        <f t="shared" si="6"/>
        <v>10250</v>
      </c>
      <c r="AJ50" s="157">
        <v>-22.10332491578885</v>
      </c>
      <c r="AK50" s="157">
        <v>-3.4753740721116291</v>
      </c>
      <c r="AL50" s="157">
        <v>-1.5249740053258276</v>
      </c>
      <c r="AM50" s="157">
        <v>-0.34430179257960258</v>
      </c>
      <c r="AN50" s="157">
        <v>0.50784393762512225</v>
      </c>
      <c r="AO50" s="157">
        <v>1.1752732127718184</v>
      </c>
      <c r="AP50" s="157">
        <v>1.7168375849713799</v>
      </c>
      <c r="AQ50" s="157">
        <v>2.1595388173591865</v>
      </c>
      <c r="AR50" s="157">
        <v>2.5162321923558215</v>
      </c>
      <c r="AS50" s="157">
        <v>2.7927081977481358</v>
      </c>
      <c r="AT50" s="157">
        <v>2.990911791629701</v>
      </c>
      <c r="AU50" s="157">
        <v>3.1105523078291859</v>
      </c>
      <c r="AV50" s="157">
        <v>3.1499705583753759</v>
      </c>
      <c r="AW50" s="157">
        <v>3.1066345085617897</v>
      </c>
      <c r="AX50" s="157">
        <v>2.9774368272374208</v>
      </c>
      <c r="AY50" s="157">
        <v>2.7588809575704287</v>
      </c>
      <c r="AZ50" s="157">
        <v>2.4472015732058008</v>
      </c>
      <c r="BA50" s="157">
        <v>2.0384448942968243</v>
      </c>
      <c r="BB50" s="157">
        <v>1.5285236059217135</v>
      </c>
      <c r="BC50" s="157">
        <v>0.91325521879453175</v>
      </c>
      <c r="BD50" s="157">
        <v>0.18838933939719138</v>
      </c>
      <c r="BE50" s="157">
        <v>-0.65037267604912385</v>
      </c>
      <c r="BF50" s="157">
        <v>-1.6073634218330759</v>
      </c>
      <c r="BG50" s="157">
        <v>-2.6869389924271458</v>
      </c>
      <c r="BH50" s="157">
        <v>-3.8934713605297873</v>
      </c>
      <c r="BI50" s="157">
        <v>-5.2313428777072426</v>
      </c>
      <c r="BJ50" s="157">
        <v>-6.7049424009032306</v>
      </c>
      <c r="BK50" s="157">
        <v>-8.3186626886486792</v>
      </c>
      <c r="BL50" s="157">
        <v>-10.076898806371357</v>
      </c>
      <c r="BM50" s="157">
        <v>-11.984047345680876</v>
      </c>
      <c r="BN50" s="157">
        <v>-14.044506307552606</v>
      </c>
      <c r="BO50" s="157">
        <v>-16.262675530353011</v>
      </c>
      <c r="BQ50" s="157">
        <f t="shared" si="7"/>
        <v>3.1499705583753759</v>
      </c>
    </row>
    <row r="51" spans="5:69">
      <c r="E51" s="165">
        <f t="shared" si="8"/>
        <v>10500</v>
      </c>
      <c r="F51" s="157">
        <v>0.38778392717777671</v>
      </c>
      <c r="G51" s="157">
        <v>9.7743331709811194</v>
      </c>
      <c r="H51" s="157">
        <v>297.2470689510663</v>
      </c>
      <c r="I51" s="157">
        <f t="shared" ca="1" si="9"/>
        <v>1.7378924167742231</v>
      </c>
      <c r="J51" s="157">
        <f t="shared" ca="1" si="3"/>
        <v>0.32500000000000001</v>
      </c>
      <c r="K51" s="157">
        <f t="shared" ca="1" si="4"/>
        <v>96.605297409096551</v>
      </c>
      <c r="L51" s="157">
        <f ca="1">1.2*SQRT(N51*G51/(0.5*F51*SRef*RADIANS(alpha_max_voil)*Czalpha_voil))</f>
        <v>99.495012904588847</v>
      </c>
      <c r="M51" s="134">
        <f t="shared" ca="1" si="5"/>
        <v>99.495012904588847</v>
      </c>
      <c r="N51" s="157">
        <f ca="1">N50-U51</f>
        <v>15917.145716451188</v>
      </c>
      <c r="O51" s="157">
        <f ca="1">N51*G51/((0.5*F51*SRef*M51^2))</f>
        <v>0.55879305067419971</v>
      </c>
      <c r="P51" s="157">
        <f ca="1">INDEX(Aerodynamique!$T$6:$T$546,MATCH(O51,Aerodynamique!$Y$6:$Y$546,1))</f>
        <v>2.7000000000000064</v>
      </c>
      <c r="Q51" s="220">
        <f ca="1">(0.5*SRef*F51*M51^2)*INDEX(Aerodynamique!$Z$6:$Z$546,MATCH(O51,Aerodynamique!$Y$6:$Y$546,1))</f>
        <v>4609.5846414627986</v>
      </c>
      <c r="R51" s="219">
        <f t="shared" ca="1" si="10"/>
        <v>8740.4555723912163</v>
      </c>
      <c r="S51" s="157">
        <f ca="1">R51*M51/(N51*G51)-F51*SRef*Cx0_avion*(M51^3)/(2*N51*G51)-2*(N51*G51)/(F51*SRef*PI()*all_voil*M51)</f>
        <v>2.9594061515931345</v>
      </c>
      <c r="T51" s="157">
        <f ca="1">(E51-E50)/S50</f>
        <v>80.819012149338207</v>
      </c>
      <c r="U51" s="157">
        <f ca="1">I50*R50*T51/(3600*10)</f>
        <v>35.234266130645878</v>
      </c>
      <c r="W51"/>
      <c r="X51"/>
      <c r="Y51"/>
      <c r="Z51"/>
      <c r="AA51"/>
      <c r="AB51"/>
      <c r="AC51"/>
      <c r="AD51"/>
      <c r="AE51" s="168"/>
      <c r="AG51" s="157">
        <f ca="1">$N$9+(($N$70-$N$9)/($E$70-$E$9))*(AI51-$E$9)</f>
        <v>15475.615551273953</v>
      </c>
      <c r="AI51" s="165">
        <f t="shared" si="6"/>
        <v>10500</v>
      </c>
      <c r="AJ51" s="157">
        <v>-22.842005200467884</v>
      </c>
      <c r="AK51" s="157">
        <v>-3.6553966546231558</v>
      </c>
      <c r="AL51" s="157">
        <v>-1.6719778886143148</v>
      </c>
      <c r="AM51" s="157">
        <v>-0.48171094436899953</v>
      </c>
      <c r="AN51" s="157">
        <v>0.37143279731477219</v>
      </c>
      <c r="AO51" s="157">
        <v>1.0363331760659225</v>
      </c>
      <c r="AP51" s="157">
        <v>1.574123359107009</v>
      </c>
      <c r="AQ51" s="157">
        <v>2.0130408212397279</v>
      </c>
      <c r="AR51" s="157">
        <v>2.3667114035220544</v>
      </c>
      <c r="AS51" s="157">
        <v>2.6414632871129111</v>
      </c>
      <c r="AT51" s="157">
        <v>2.8396518327313047</v>
      </c>
      <c r="AU51" s="157">
        <v>2.9613222640118724</v>
      </c>
      <c r="AV51" s="157">
        <v>3.0051051809796636</v>
      </c>
      <c r="AW51" s="157">
        <v>2.9687284635519213</v>
      </c>
      <c r="AX51" s="157">
        <v>2.849324553925118</v>
      </c>
      <c r="AY51" s="157">
        <v>2.643622606417285</v>
      </c>
      <c r="AZ51" s="157">
        <v>2.3480728751837341</v>
      </c>
      <c r="BA51" s="157">
        <v>1.9589296508794951</v>
      </c>
      <c r="BB51" s="157">
        <v>1.4723079733241315</v>
      </c>
      <c r="BC51" s="157">
        <v>0.88422325099606991</v>
      </c>
      <c r="BD51" s="157">
        <v>0.19061943475303883</v>
      </c>
      <c r="BE51" s="157">
        <v>-0.61261066492652771</v>
      </c>
      <c r="BF51" s="157">
        <v>-1.5296105801853428</v>
      </c>
      <c r="BG51" s="157">
        <v>-2.5645493525713317</v>
      </c>
      <c r="BH51" s="157">
        <v>-3.7216136091330738</v>
      </c>
      <c r="BI51" s="157">
        <v>-5.0050018183608671</v>
      </c>
      <c r="BJ51" s="157">
        <v>-6.4189202125684428</v>
      </c>
      <c r="BK51" s="157">
        <v>-7.9675800086847053</v>
      </c>
      <c r="BL51" s="157">
        <v>-9.6551956583567708</v>
      </c>
      <c r="BM51" s="157">
        <v>-11.485983926144872</v>
      </c>
      <c r="BN51" s="157">
        <v>-13.464163641392023</v>
      </c>
      <c r="BO51" s="157">
        <v>-15.593956001677808</v>
      </c>
      <c r="BQ51" s="157">
        <f t="shared" si="7"/>
        <v>3.0051051809796636</v>
      </c>
    </row>
    <row r="52" spans="5:69">
      <c r="E52" s="165">
        <f t="shared" si="8"/>
        <v>10750</v>
      </c>
      <c r="F52" s="157">
        <v>0.3757337778175654</v>
      </c>
      <c r="G52" s="157">
        <v>9.7735656706487966</v>
      </c>
      <c r="H52" s="157">
        <v>296.14674571907756</v>
      </c>
      <c r="I52" s="157">
        <f t="shared" ca="1" si="9"/>
        <v>1.7398924167742233</v>
      </c>
      <c r="J52" s="157">
        <f t="shared" ca="1" si="3"/>
        <v>0.32500000000000001</v>
      </c>
      <c r="K52" s="157">
        <f t="shared" ca="1" si="4"/>
        <v>96.247692358700206</v>
      </c>
      <c r="L52" s="157">
        <f ca="1">1.2*SQRT(N52*G52/(0.5*F52*SRef*RADIANS(alpha_max_voil)*Czalpha_voil))</f>
        <v>100.96067066585128</v>
      </c>
      <c r="M52" s="134">
        <f t="shared" ca="1" si="5"/>
        <v>100.96067066585128</v>
      </c>
      <c r="N52" s="157">
        <f ca="1">N51-U52</f>
        <v>15881.501432597537</v>
      </c>
      <c r="O52" s="157">
        <f ca="1">N52*G52/((0.5*F52*SRef*M52^2))</f>
        <v>0.55879305067419993</v>
      </c>
      <c r="P52" s="157">
        <f ca="1">INDEX(Aerodynamique!$T$6:$T$546,MATCH(O52,Aerodynamique!$Y$6:$Y$546,1))</f>
        <v>2.7000000000000064</v>
      </c>
      <c r="Q52" s="220">
        <f ca="1">(0.5*SRef*F52*M52^2)*INDEX(Aerodynamique!$Z$6:$Z$546,MATCH(O52,Aerodynamique!$Y$6:$Y$546,1))</f>
        <v>4598.9009600173458</v>
      </c>
      <c r="R52" s="219">
        <f t="shared" ca="1" si="10"/>
        <v>8447.4910247582375</v>
      </c>
      <c r="S52" s="157">
        <f ca="1">R52*M52/(N52*G52)-F52*SRef*Cx0_avion*(M52^3)/(2*N52*G52)-2*(N52*G52)/(F52*SRef*PI()*all_voil*M52)</f>
        <v>2.8256215572427288</v>
      </c>
      <c r="T52" s="157">
        <f ca="1">(E52-E51)/S51</f>
        <v>84.476407493245802</v>
      </c>
      <c r="U52" s="157">
        <f ca="1">I51*R51*T52/(3600*10)</f>
        <v>35.644283853652091</v>
      </c>
      <c r="W52"/>
      <c r="X52"/>
      <c r="Y52"/>
      <c r="Z52"/>
      <c r="AA52"/>
      <c r="AB52"/>
      <c r="AC52"/>
      <c r="AD52"/>
      <c r="AE52" s="168"/>
      <c r="AG52" s="157">
        <f ca="1">$N$9+(($N$70-$N$9)/($E$70-$E$9))*(AI52-$E$9)</f>
        <v>15434.43511493834</v>
      </c>
      <c r="AI52" s="165">
        <f t="shared" si="6"/>
        <v>10750</v>
      </c>
      <c r="AJ52" s="157">
        <v>-23.610519593636219</v>
      </c>
      <c r="AK52" s="157">
        <v>-3.8405223829765944</v>
      </c>
      <c r="AL52" s="157">
        <v>-1.8216642935857954</v>
      </c>
      <c r="AM52" s="157">
        <v>-0.62041144064655995</v>
      </c>
      <c r="AN52" s="157">
        <v>0.23468633300319874</v>
      </c>
      <c r="AO52" s="157">
        <v>0.89777272654402118</v>
      </c>
      <c r="AP52" s="157">
        <v>1.432342224215126</v>
      </c>
      <c r="AQ52" s="157">
        <v>1.8679048436553267</v>
      </c>
      <c r="AR52" s="157">
        <v>2.218874770297032</v>
      </c>
      <c r="AS52" s="157">
        <v>2.4921261494269329</v>
      </c>
      <c r="AT52" s="157">
        <v>2.6904278324777611</v>
      </c>
      <c r="AU52" s="157">
        <v>2.8141610047179766</v>
      </c>
      <c r="AV52" s="157">
        <v>2.8622442764740788</v>
      </c>
      <c r="AW52" s="157">
        <v>2.8326624819490012</v>
      </c>
      <c r="AX52" s="157">
        <v>2.7227840939661263</v>
      </c>
      <c r="AY52" s="157">
        <v>2.5295597031464681</v>
      </c>
      <c r="AZ52" s="157">
        <v>2.249650499165555</v>
      </c>
      <c r="BA52" s="157">
        <v>1.8795139360464557</v>
      </c>
      <c r="BB52" s="157">
        <v>1.4154623129355439</v>
      </c>
      <c r="BC52" s="157">
        <v>0.85370370400891527</v>
      </c>
      <c r="BD52" s="157">
        <v>0.19037107253942559</v>
      </c>
      <c r="BE52" s="157">
        <v>-0.578456722022482</v>
      </c>
      <c r="BF52" s="157">
        <v>-1.4567396088530871</v>
      </c>
      <c r="BG52" s="157">
        <v>-2.4484650753282908</v>
      </c>
      <c r="BH52" s="157">
        <v>-3.557639930581483</v>
      </c>
      <c r="BI52" s="157">
        <v>-4.788284308930173</v>
      </c>
      <c r="BJ52" s="157">
        <v>-6.1444273824222728</v>
      </c>
      <c r="BK52" s="157">
        <v>-7.6301044021281168</v>
      </c>
      <c r="BL52" s="157">
        <v>-9.2493547902304734</v>
      </c>
      <c r="BM52" s="157">
        <v>-11.006221075337553</v>
      </c>
      <c r="BN52" s="157">
        <v>-12.904748512063311</v>
      </c>
      <c r="BO52" s="157">
        <v>-14.948985259596157</v>
      </c>
      <c r="BQ52" s="157">
        <f t="shared" si="7"/>
        <v>2.8622442764740788</v>
      </c>
    </row>
    <row r="53" spans="5:69">
      <c r="E53" s="165">
        <f t="shared" si="8"/>
        <v>11000</v>
      </c>
      <c r="F53" s="157">
        <v>0.36397214151825663</v>
      </c>
      <c r="G53" s="157">
        <v>9.7727982607114328</v>
      </c>
      <c r="H53" s="157">
        <v>295.04231899847855</v>
      </c>
      <c r="I53" s="157">
        <f t="shared" ca="1" si="9"/>
        <v>1.7418924167742231</v>
      </c>
      <c r="J53" s="157">
        <f t="shared" ca="1" si="3"/>
        <v>0.32500000000000001</v>
      </c>
      <c r="K53" s="157">
        <f t="shared" ca="1" si="4"/>
        <v>95.888753674505537</v>
      </c>
      <c r="L53" s="157">
        <f ca="1">1.2*SQRT(N53*G53/(0.5*F53*SRef*RADIANS(alpha_max_voil)*Czalpha_voil))</f>
        <v>102.45820995603306</v>
      </c>
      <c r="M53" s="134">
        <f t="shared" ca="1" si="5"/>
        <v>102.45820995603306</v>
      </c>
      <c r="N53" s="157">
        <f ca="1">N52-U53</f>
        <v>15845.379278004017</v>
      </c>
      <c r="O53" s="157">
        <f ca="1">N53*G53/((0.5*F53*SRef*M53^2))</f>
        <v>0.55879305067419982</v>
      </c>
      <c r="P53" s="157">
        <f ca="1">INDEX(Aerodynamique!$T$6:$T$546,MATCH(O53,Aerodynamique!$Y$6:$Y$546,1))</f>
        <v>2.7000000000000064</v>
      </c>
      <c r="Q53" s="220">
        <f ca="1">(0.5*SRef*F53*M53^2)*INDEX(Aerodynamique!$Z$6:$Z$546,MATCH(O53,Aerodynamique!$Y$6:$Y$546,1))</f>
        <v>4588.0805730933916</v>
      </c>
      <c r="R53" s="219">
        <f t="shared" ca="1" si="10"/>
        <v>8162.2647282721973</v>
      </c>
      <c r="S53" s="157">
        <f ca="1">R53*M53/(N53*G53)-F53*SRef*Cx0_avion*(M53^3)/(2*N53*G53)-2*(N53*G53)/(F53*SRef*PI()*all_voil*M53)</f>
        <v>2.6919655733696493</v>
      </c>
      <c r="T53" s="157">
        <f ca="1">(E53-E52)/S52</f>
        <v>88.476108684544656</v>
      </c>
      <c r="U53" s="157">
        <f ca="1">I52*R52*T53/(3600*10)</f>
        <v>36.122154593521259</v>
      </c>
      <c r="W53"/>
      <c r="X53"/>
      <c r="Y53"/>
      <c r="Z53"/>
      <c r="AA53"/>
      <c r="AB53"/>
      <c r="AC53"/>
      <c r="AD53"/>
      <c r="AE53" s="168"/>
      <c r="AG53" s="157">
        <f ca="1">$N$9+(($N$70-$N$9)/($E$70-$E$9))*(AI53-$E$9)</f>
        <v>15393.254678602725</v>
      </c>
      <c r="AI53" s="165">
        <f t="shared" si="6"/>
        <v>11000</v>
      </c>
      <c r="AJ53" s="157">
        <v>-24.410354935212947</v>
      </c>
      <c r="AK53" s="157">
        <v>-4.0310652885205744</v>
      </c>
      <c r="AL53" s="157">
        <v>-1.9742563810853866</v>
      </c>
      <c r="AM53" s="157">
        <v>-0.76058436483968261</v>
      </c>
      <c r="AN53" s="157">
        <v>9.7446559255224274E-2</v>
      </c>
      <c r="AO53" s="157">
        <v>0.75944803393768989</v>
      </c>
      <c r="AP53" s="157">
        <v>1.2913599481942972</v>
      </c>
      <c r="AQ53" s="157">
        <v>1.724003960286389</v>
      </c>
      <c r="AR53" s="157">
        <v>2.0726017103417336</v>
      </c>
      <c r="AS53" s="157">
        <v>2.3445824319494304</v>
      </c>
      <c r="AT53" s="157">
        <v>2.5431321516224719</v>
      </c>
      <c r="AU53" s="157">
        <v>2.6689685342358502</v>
      </c>
      <c r="AV53" s="157">
        <v>2.7212967763494045</v>
      </c>
      <c r="AW53" s="157">
        <v>2.6983560001419193</v>
      </c>
      <c r="AX53" s="157">
        <v>2.59774722052207</v>
      </c>
      <c r="AY53" s="157">
        <v>2.4166384162381052</v>
      </c>
      <c r="AZ53" s="157">
        <v>2.1518972746436109</v>
      </c>
      <c r="BA53" s="157">
        <v>1.8001796989436634</v>
      </c>
      <c r="BB53" s="157">
        <v>1.3579903345868867</v>
      </c>
      <c r="BC53" s="157">
        <v>0.82172486376383458</v>
      </c>
      <c r="BD53" s="157">
        <v>0.18770009840351981</v>
      </c>
      <c r="BE53" s="157">
        <v>-0.54782429500675445</v>
      </c>
      <c r="BF53" s="157">
        <v>-1.3886299423707207</v>
      </c>
      <c r="BG53" s="157">
        <v>-2.3385281192782621</v>
      </c>
      <c r="BH53" s="157">
        <v>-3.4013511908628673</v>
      </c>
      <c r="BI53" s="157">
        <v>-4.5809463544536273</v>
      </c>
      <c r="BJ53" s="157">
        <v>-5.8811711362241788</v>
      </c>
      <c r="BK53" s="157">
        <v>-7.3058902486169535</v>
      </c>
      <c r="BL53" s="157">
        <v>-8.8589735213784166</v>
      </c>
      <c r="BM53" s="157">
        <v>-10.544294692001447</v>
      </c>
      <c r="BN53" s="157">
        <v>-12.365730891872834</v>
      </c>
      <c r="BO53" s="157">
        <v>-14.327162699497858</v>
      </c>
      <c r="BQ53" s="157">
        <f t="shared" si="7"/>
        <v>2.7212967763494045</v>
      </c>
    </row>
    <row r="54" spans="5:69">
      <c r="E54" s="165">
        <f t="shared" si="8"/>
        <v>11250</v>
      </c>
      <c r="F54" s="157">
        <v>0.34990260013185021</v>
      </c>
      <c r="G54" s="157">
        <v>9.7720309411548349</v>
      </c>
      <c r="H54" s="157">
        <v>295.04231899847855</v>
      </c>
      <c r="I54" s="157">
        <f t="shared" ca="1" si="9"/>
        <v>1.7438924167742234</v>
      </c>
      <c r="J54" s="157">
        <f t="shared" ca="1" si="3"/>
        <v>0.32500000000000001</v>
      </c>
      <c r="K54" s="157">
        <f t="shared" ca="1" si="4"/>
        <v>95.888753674505537</v>
      </c>
      <c r="L54" s="157">
        <f ca="1">1.2*SQRT(N54*G54/(0.5*F54*SRef*RADIANS(alpha_max_voil)*Czalpha_voil))</f>
        <v>104.37271592677364</v>
      </c>
      <c r="M54" s="134">
        <f t="shared" ca="1" si="5"/>
        <v>104.37271592677364</v>
      </c>
      <c r="N54" s="157">
        <f ca="1">N53-U54</f>
        <v>15808.701753909183</v>
      </c>
      <c r="O54" s="157">
        <f ca="1">N54*G54/((0.5*F54*SRef*M54^2))</f>
        <v>0.55879305067419982</v>
      </c>
      <c r="P54" s="157">
        <f ca="1">INDEX(Aerodynamique!$T$6:$T$546,MATCH(O54,Aerodynamique!$Y$6:$Y$546,1))</f>
        <v>2.7000000000000064</v>
      </c>
      <c r="Q54" s="220">
        <f ca="1">(0.5*SRef*F54*M54^2)*INDEX(Aerodynamique!$Z$6:$Z$546,MATCH(O54,Aerodynamique!$Y$6:$Y$546,1))</f>
        <v>4577.1010747364371</v>
      </c>
      <c r="R54" s="219">
        <f t="shared" ca="1" si="10"/>
        <v>7822.0398482242535</v>
      </c>
      <c r="S54" s="157">
        <f ca="1">R54*M54/(N54*G54)-F54*SRef*Cx0_avion*(M54^3)/(2*N54*G54)-2*(N54*G54)/(F54*SRef*PI()*all_voil*M54)</f>
        <v>2.5255991276685661</v>
      </c>
      <c r="T54" s="157">
        <f ca="1">(E54-E53)/S53</f>
        <v>92.868943969095497</v>
      </c>
      <c r="U54" s="157">
        <f ca="1">I53*R53*T54/(3600*10)</f>
        <v>36.677524094834226</v>
      </c>
      <c r="W54"/>
      <c r="X54"/>
      <c r="Y54"/>
      <c r="Z54"/>
      <c r="AA54"/>
      <c r="AB54"/>
      <c r="AC54"/>
      <c r="AD54"/>
      <c r="AE54" s="168"/>
      <c r="AG54" s="157">
        <f ca="1">$N$9+(($N$70-$N$9)/($E$70-$E$9))*(AI54-$E$9)</f>
        <v>15352.074242267112</v>
      </c>
      <c r="AI54" s="165">
        <f t="shared" si="6"/>
        <v>11250</v>
      </c>
      <c r="AJ54" s="157">
        <v>-25.335868166094802</v>
      </c>
      <c r="AK54" s="157">
        <v>-4.2494067484963836</v>
      </c>
      <c r="AL54" s="157">
        <v>-2.1477051661965989</v>
      </c>
      <c r="AM54" s="157">
        <v>-0.91888249645614817</v>
      </c>
      <c r="AN54" s="157">
        <v>-5.6918758902972044E-2</v>
      </c>
      <c r="AO54" s="157">
        <v>0.60407588196129769</v>
      </c>
      <c r="AP54" s="157">
        <v>1.1328202857430063</v>
      </c>
      <c r="AQ54" s="157">
        <v>1.5616025343026381</v>
      </c>
      <c r="AR54" s="157">
        <v>1.9065270215476866</v>
      </c>
      <c r="AS54" s="157">
        <v>2.1756136031603188</v>
      </c>
      <c r="AT54" s="157">
        <v>2.3724793022636157</v>
      </c>
      <c r="AU54" s="157">
        <v>2.4981793983699681</v>
      </c>
      <c r="AV54" s="157">
        <v>2.5521989821933855</v>
      </c>
      <c r="AW54" s="157">
        <v>2.533019720973452</v>
      </c>
      <c r="AX54" s="157">
        <v>2.4384600433161068</v>
      </c>
      <c r="AY54" s="157">
        <v>2.2658878428061993</v>
      </c>
      <c r="AZ54" s="157">
        <v>2.0123581594335604</v>
      </c>
      <c r="BA54" s="157">
        <v>1.6747049775269587</v>
      </c>
      <c r="BB54" s="157">
        <v>1.2496040048872388</v>
      </c>
      <c r="BC54" s="157">
        <v>0.73361654709223179</v>
      </c>
      <c r="BD54" s="157">
        <v>0.12322073350782264</v>
      </c>
      <c r="BE54" s="157">
        <v>-0.58516592759690522</v>
      </c>
      <c r="BF54" s="157">
        <v>-1.3951700743223927</v>
      </c>
      <c r="BG54" s="157">
        <v>-2.3104503725309993</v>
      </c>
      <c r="BH54" s="157">
        <v>-3.3346885827636172</v>
      </c>
      <c r="BI54" s="157">
        <v>-4.4715830032343957</v>
      </c>
      <c r="BJ54" s="157">
        <v>-5.7248437192240846</v>
      </c>
      <c r="BK54" s="157">
        <v>-7.0981892507824575</v>
      </c>
      <c r="BL54" s="157">
        <v>-8.5953443009034203</v>
      </c>
      <c r="BM54" s="157">
        <v>-10.220038382284073</v>
      </c>
      <c r="BN54" s="157">
        <v>-11.976005153450268</v>
      </c>
      <c r="BO54" s="157">
        <v>-13.866982331712723</v>
      </c>
      <c r="BQ54" s="157">
        <f t="shared" si="7"/>
        <v>2.5521989821933855</v>
      </c>
    </row>
    <row r="55" spans="5:69">
      <c r="E55" s="165">
        <f t="shared" si="8"/>
        <v>11500</v>
      </c>
      <c r="F55" s="157">
        <v>0.33637692453142964</v>
      </c>
      <c r="G55" s="157">
        <v>9.77126371196481</v>
      </c>
      <c r="H55" s="157">
        <v>295.04231899847855</v>
      </c>
      <c r="I55" s="157">
        <f t="shared" ca="1" si="9"/>
        <v>1.7458924167742231</v>
      </c>
      <c r="J55" s="157">
        <f t="shared" ca="1" si="3"/>
        <v>0.32500000000000001</v>
      </c>
      <c r="K55" s="157">
        <f t="shared" ca="1" si="4"/>
        <v>95.888753674505537</v>
      </c>
      <c r="L55" s="157">
        <f ca="1">1.2*SQRT(N55*G55/(0.5*F55*SRef*RADIANS(alpha_max_voil)*Czalpha_voil))</f>
        <v>106.31991382133357</v>
      </c>
      <c r="M55" s="134">
        <f t="shared" ca="1" si="5"/>
        <v>106.31991382133357</v>
      </c>
      <c r="N55" s="157">
        <f ca="1">N54-U55</f>
        <v>15771.194712990144</v>
      </c>
      <c r="O55" s="157">
        <f ca="1">N55*G55/((0.5*F55*SRef*M55^2))</f>
        <v>0.55879305067419982</v>
      </c>
      <c r="P55" s="157">
        <f ca="1">INDEX(Aerodynamique!$T$6:$T$546,MATCH(O55,Aerodynamique!$Y$6:$Y$546,1))</f>
        <v>2.7000000000000064</v>
      </c>
      <c r="Q55" s="220">
        <f ca="1">(0.5*SRef*F55*M55^2)*INDEX(Aerodynamique!$Z$6:$Z$546,MATCH(O55,Aerodynamique!$Y$6:$Y$546,1))</f>
        <v>4565.8831347480836</v>
      </c>
      <c r="R55" s="219">
        <f t="shared" ca="1" si="10"/>
        <v>7495.9964451140377</v>
      </c>
      <c r="S55" s="157">
        <f ca="1">R55*M55/(N55*G55)-F55*SRef*Cx0_avion*(M55^3)/(2*N55*G55)-2*(N55*G55)/(F55*SRef*PI()*all_voil*M55)</f>
        <v>2.3609994582570062</v>
      </c>
      <c r="T55" s="157">
        <f ca="1">(E55-E54)/S54</f>
        <v>98.986413663668102</v>
      </c>
      <c r="U55" s="157">
        <f ca="1">I54*R54*T55/(3600*10)</f>
        <v>37.507040919039774</v>
      </c>
      <c r="W55"/>
      <c r="X55"/>
      <c r="Y55"/>
      <c r="Z55"/>
      <c r="AA55"/>
      <c r="AB55"/>
      <c r="AC55"/>
      <c r="AD55"/>
      <c r="AE55" s="168"/>
      <c r="AG55" s="157">
        <f ca="1">$N$9+(($N$70-$N$9)/($E$70-$E$9))*(AI55-$E$9)</f>
        <v>15310.893805931497</v>
      </c>
      <c r="AI55" s="165">
        <f t="shared" si="6"/>
        <v>11500</v>
      </c>
      <c r="AJ55" s="157">
        <v>-26.295211378615416</v>
      </c>
      <c r="AK55" s="157">
        <v>-4.4732103585946454</v>
      </c>
      <c r="AL55" s="157">
        <v>-2.3237002031841532</v>
      </c>
      <c r="AM55" s="157">
        <v>-1.0779806175831463</v>
      </c>
      <c r="AN55" s="157">
        <v>-0.21083089001449995</v>
      </c>
      <c r="AO55" s="157">
        <v>0.45013879856010308</v>
      </c>
      <c r="AP55" s="157">
        <v>0.97651815235885886</v>
      </c>
      <c r="AQ55" s="157">
        <v>1.40210484531807</v>
      </c>
      <c r="AR55" s="157">
        <v>1.7439075590790776</v>
      </c>
      <c r="AS55" s="157">
        <v>2.0105474997456207</v>
      </c>
      <c r="AT55" s="157">
        <v>2.2060775324159865</v>
      </c>
      <c r="AU55" s="157">
        <v>2.3318919753488512</v>
      </c>
      <c r="AV55" s="157">
        <v>2.3877551421170038</v>
      </c>
      <c r="AW55" s="157">
        <v>2.3723892362097376</v>
      </c>
      <c r="AX55" s="157">
        <v>2.2838272085367568</v>
      </c>
      <c r="AY55" s="157">
        <v>2.1196333780171672</v>
      </c>
      <c r="AZ55" s="157">
        <v>1.8770462338161482</v>
      </c>
      <c r="BA55" s="157">
        <v>1.5530736467499839</v>
      </c>
      <c r="BB55" s="157">
        <v>1.1445579851221246</v>
      </c>
      <c r="BC55" s="157">
        <v>0.6482216274947149</v>
      </c>
      <c r="BD55" s="157">
        <v>6.0699363434654874E-2</v>
      </c>
      <c r="BE55" s="157">
        <v>-0.62143819098021924</v>
      </c>
      <c r="BF55" s="157">
        <v>-1.4016674748254589</v>
      </c>
      <c r="BG55" s="157">
        <v>-2.2834993717489773</v>
      </c>
      <c r="BH55" s="157">
        <v>-3.27046989217436</v>
      </c>
      <c r="BI55" s="157">
        <v>-4.3661333080836364</v>
      </c>
      <c r="BJ55" s="157">
        <v>-5.5740571490576682</v>
      </c>
      <c r="BK55" s="157">
        <v>-6.8978186360716931</v>
      </c>
      <c r="BL55" s="157">
        <v>-8.3410022441392027</v>
      </c>
      <c r="BM55" s="157">
        <v>-9.9071981639327369</v>
      </c>
      <c r="BN55" s="157">
        <v>-11.600001487420766</v>
      </c>
      <c r="BO55" s="157">
        <v>-13.423011980896426</v>
      </c>
      <c r="BQ55" s="157">
        <f t="shared" si="7"/>
        <v>2.3877551421170038</v>
      </c>
    </row>
    <row r="56" spans="5:69">
      <c r="E56" s="165">
        <f t="shared" si="8"/>
        <v>11750</v>
      </c>
      <c r="F56" s="157">
        <v>0.32337409128879346</v>
      </c>
      <c r="G56" s="157">
        <v>9.7704965731271685</v>
      </c>
      <c r="H56" s="157">
        <v>295.04231899847855</v>
      </c>
      <c r="I56" s="157">
        <f t="shared" ca="1" si="9"/>
        <v>1.7478924167742234</v>
      </c>
      <c r="J56" s="157">
        <f t="shared" ca="1" si="3"/>
        <v>0.32500000000000001</v>
      </c>
      <c r="K56" s="157">
        <f t="shared" ca="1" si="4"/>
        <v>95.888753674505537</v>
      </c>
      <c r="L56" s="157">
        <f ca="1">1.2*SQRT(N56*G56/(0.5*F56*SRef*RADIANS(alpha_max_voil)*Czalpha_voil))</f>
        <v>108.29973738144511</v>
      </c>
      <c r="M56" s="134">
        <f t="shared" ca="1" si="5"/>
        <v>108.29973738144511</v>
      </c>
      <c r="N56" s="157">
        <f ca="1">N55-U56</f>
        <v>15732.701118136814</v>
      </c>
      <c r="O56" s="157">
        <f ca="1">N56*G56/((0.5*F56*SRef*M56^2))</f>
        <v>0.55879305067419982</v>
      </c>
      <c r="P56" s="157">
        <f ca="1">INDEX(Aerodynamique!$T$6:$T$546,MATCH(O56,Aerodynamique!$Y$6:$Y$546,1))</f>
        <v>2.7000000000000064</v>
      </c>
      <c r="Q56" s="220">
        <f ca="1">(0.5*SRef*F56*M56^2)*INDEX(Aerodynamique!$Z$6:$Z$546,MATCH(O56,Aerodynamique!$Y$6:$Y$546,1))</f>
        <v>4554.3813494983106</v>
      </c>
      <c r="R56" s="219">
        <f t="shared" ca="1" si="10"/>
        <v>7183.5433973042791</v>
      </c>
      <c r="S56" s="157">
        <f ca="1">R56*M56/(N56*G56)-F56*SRef*Cx0_avion*(M56^3)/(2*N56*G56)-2*(N56*G56)/(F56*SRef*PI()*all_voil*M56)</f>
        <v>2.1981317838379812</v>
      </c>
      <c r="T56" s="157">
        <f ca="1">(E56-E55)/S55</f>
        <v>105.8873601710019</v>
      </c>
      <c r="U56" s="157">
        <f ca="1">I55*R55*T56/(3600*10)</f>
        <v>38.493594853330201</v>
      </c>
      <c r="W56"/>
      <c r="X56"/>
      <c r="Y56"/>
      <c r="Z56"/>
      <c r="AA56"/>
      <c r="AB56"/>
      <c r="AC56"/>
      <c r="AD56"/>
      <c r="AE56" s="168"/>
      <c r="AG56" s="157">
        <f ca="1">$N$9+(($N$70-$N$9)/($E$70-$E$9))*(AI56-$E$9)</f>
        <v>15269.713369595882</v>
      </c>
      <c r="AI56" s="165">
        <f t="shared" si="6"/>
        <v>11750</v>
      </c>
      <c r="AJ56" s="157">
        <v>-27.289654051402696</v>
      </c>
      <c r="AK56" s="157">
        <v>-4.7027813484158294</v>
      </c>
      <c r="AL56" s="157">
        <v>-2.502488141543743</v>
      </c>
      <c r="AM56" s="157">
        <v>-1.2381075155748076</v>
      </c>
      <c r="AN56" s="157">
        <v>-0.36451610361860887</v>
      </c>
      <c r="AO56" s="157">
        <v>0.2974062802654025</v>
      </c>
      <c r="AP56" s="157">
        <v>0.82221585632660132</v>
      </c>
      <c r="AQ56" s="157">
        <v>1.2452650577752529</v>
      </c>
      <c r="AR56" s="157">
        <v>1.5844895867504301</v>
      </c>
      <c r="AS56" s="157">
        <v>1.8491235265019594</v>
      </c>
      <c r="AT56" s="157">
        <v>2.0436610090235194</v>
      </c>
      <c r="AU56" s="157">
        <v>2.1698372669147084</v>
      </c>
      <c r="AV56" s="157">
        <v>2.2276955375926262</v>
      </c>
      <c r="AW56" s="157">
        <v>2.2161968729737147</v>
      </c>
      <c r="AX56" s="157">
        <v>2.1335861413136268</v>
      </c>
      <c r="AY56" s="157">
        <v>1.977620859702955</v>
      </c>
      <c r="AZ56" s="157">
        <v>1.7457193080277484</v>
      </c>
      <c r="BA56" s="157">
        <v>1.4350592811369089</v>
      </c>
      <c r="BB56" s="157">
        <v>1.0426456284293599</v>
      </c>
      <c r="BC56" s="157">
        <v>0.56535746591714253</v>
      </c>
      <c r="BD56" s="157">
        <v>-1.8205019706729608E-5</v>
      </c>
      <c r="BE56" s="157">
        <v>-0.65676219050071794</v>
      </c>
      <c r="BF56" s="157">
        <v>-1.4082053194146311</v>
      </c>
      <c r="BG56" s="157">
        <v>-2.2577153241384833</v>
      </c>
      <c r="BH56" s="157">
        <v>-3.208687125739405</v>
      </c>
      <c r="BI56" s="157">
        <v>-4.2645356515742971</v>
      </c>
      <c r="BJ56" s="157">
        <v>-5.4286905715341378</v>
      </c>
      <c r="BK56" s="157">
        <v>-6.7045925134520559</v>
      </c>
      <c r="BL56" s="157">
        <v>-8.0956904372849596</v>
      </c>
      <c r="BM56" s="157">
        <v>-9.6054399299064315</v>
      </c>
      <c r="BN56" s="157">
        <v>-11.237302239570976</v>
      </c>
      <c r="BO56" s="157">
        <v>-12.994743909151813</v>
      </c>
      <c r="BQ56" s="157">
        <f t="shared" si="7"/>
        <v>2.2276955375926262</v>
      </c>
    </row>
    <row r="57" spans="5:69">
      <c r="E57" s="165">
        <f t="shared" si="8"/>
        <v>12000</v>
      </c>
      <c r="F57" s="157">
        <v>0.31087388964780865</v>
      </c>
      <c r="G57" s="157">
        <v>9.7697295246277225</v>
      </c>
      <c r="H57" s="157">
        <v>295.04231899847855</v>
      </c>
      <c r="I57" s="157">
        <f t="shared" ca="1" si="9"/>
        <v>1.7498924167742231</v>
      </c>
      <c r="J57" s="157">
        <f t="shared" ca="1" si="3"/>
        <v>0.32500000000000001</v>
      </c>
      <c r="K57" s="157">
        <f t="shared" ca="1" si="4"/>
        <v>95.888753674505537</v>
      </c>
      <c r="L57" s="157">
        <f ca="1">1.2*SQRT(N57*G57/(0.5*F57*SRef*RADIANS(alpha_max_voil)*Czalpha_voil))</f>
        <v>110.31197137201832</v>
      </c>
      <c r="M57" s="134">
        <f t="shared" ca="1" si="5"/>
        <v>110.31197137201832</v>
      </c>
      <c r="N57" s="157">
        <f ca="1">N56-U57</f>
        <v>15693.033401713699</v>
      </c>
      <c r="O57" s="157">
        <f ca="1">N57*G57/((0.5*F57*SRef*M57^2))</f>
        <v>0.55879305067419971</v>
      </c>
      <c r="P57" s="157">
        <f ca="1">INDEX(Aerodynamique!$T$6:$T$546,MATCH(O57,Aerodynamique!$Y$6:$Y$546,1))</f>
        <v>2.7000000000000064</v>
      </c>
      <c r="Q57" s="220">
        <f ca="1">(0.5*SRef*F57*M57^2)*INDEX(Aerodynamique!$Z$6:$Z$546,MATCH(O57,Aerodynamique!$Y$6:$Y$546,1))</f>
        <v>4542.5414921834372</v>
      </c>
      <c r="R57" s="219">
        <f t="shared" ca="1" si="10"/>
        <v>6884.1142226780821</v>
      </c>
      <c r="S57" s="157">
        <f ca="1">R57*M57/(N57*G57)-F57*SRef*Cx0_avion*(M57^3)/(2*N57*G57)-2*(N57*G57)/(F57*SRef*PI()*all_voil*M57)</f>
        <v>2.036969679501591</v>
      </c>
      <c r="T57" s="157">
        <f ca="1">(E57-E56)/S56</f>
        <v>113.73294442041828</v>
      </c>
      <c r="U57" s="157">
        <f ca="1">I56*R56*T57/(3600*10)</f>
        <v>39.66771642311523</v>
      </c>
      <c r="W57"/>
      <c r="X57"/>
      <c r="Y57"/>
      <c r="Z57"/>
      <c r="AA57"/>
      <c r="AB57"/>
      <c r="AC57"/>
      <c r="AD57"/>
      <c r="AE57" s="168"/>
      <c r="AG57" s="157">
        <f ca="1">$N$9+(($N$70-$N$9)/($E$70-$E$9))*(AI57-$E$9)</f>
        <v>15228.532933260269</v>
      </c>
      <c r="AI57" s="165">
        <f t="shared" si="6"/>
        <v>12000</v>
      </c>
      <c r="AJ57" s="157">
        <v>-28.320511311368996</v>
      </c>
      <c r="AK57" s="157">
        <v>-4.9384320496785827</v>
      </c>
      <c r="AL57" s="157">
        <v>-2.684318659084604</v>
      </c>
      <c r="AM57" s="157">
        <v>-1.3994925150483795</v>
      </c>
      <c r="AN57" s="157">
        <v>-0.51819938397824727</v>
      </c>
      <c r="AO57" s="157">
        <v>0.14565056277493826</v>
      </c>
      <c r="AP57" s="157">
        <v>0.6696796546849153</v>
      </c>
      <c r="AQ57" s="157">
        <v>1.0908423087046035</v>
      </c>
      <c r="AR57" s="157">
        <v>1.4280252083694029</v>
      </c>
      <c r="AS57" s="157">
        <v>1.691087653926717</v>
      </c>
      <c r="AT57" s="157">
        <v>1.8849710555285979</v>
      </c>
      <c r="AU57" s="157">
        <v>2.0117538893663598</v>
      </c>
      <c r="AV57" s="157">
        <v>2.0717583893124187</v>
      </c>
      <c r="AW57" s="157">
        <v>2.06418308641903</v>
      </c>
      <c r="AX57" s="157">
        <v>1.987482444121266</v>
      </c>
      <c r="AY57" s="157">
        <v>1.8396042084109223</v>
      </c>
      <c r="AZ57" s="157">
        <v>1.6181430314460001</v>
      </c>
      <c r="BA57" s="157">
        <v>1.3204428964457149</v>
      </c>
      <c r="BB57" s="157">
        <v>0.94366717127671573</v>
      </c>
      <c r="BC57" s="157">
        <v>0.48484758287680785</v>
      </c>
      <c r="BD57" s="157">
        <v>-5.9080901097730454E-2</v>
      </c>
      <c r="BE57" s="157">
        <v>-0.69125484109829283</v>
      </c>
      <c r="BF57" s="157">
        <v>-1.4148638508885365</v>
      </c>
      <c r="BG57" s="157">
        <v>-2.2331369521598243</v>
      </c>
      <c r="BH57" s="157">
        <v>-3.1493324499118716</v>
      </c>
      <c r="BI57" s="157">
        <v>-4.1667304234704599</v>
      </c>
      <c r="BJ57" s="157">
        <v>-5.2886271961387852</v>
      </c>
      <c r="BK57" s="157">
        <v>-6.518331327436691</v>
      </c>
      <c r="BL57" s="157">
        <v>-7.8591607956259439</v>
      </c>
      <c r="BM57" s="157">
        <v>-9.3144411237493916</v>
      </c>
      <c r="BN57" s="157">
        <v>-10.887504262021354</v>
      </c>
      <c r="BO57" s="157">
        <v>-12.581688081207187</v>
      </c>
      <c r="BQ57" s="157">
        <f t="shared" si="7"/>
        <v>2.0717583893124187</v>
      </c>
    </row>
    <row r="58" spans="5:69">
      <c r="E58" s="165">
        <f t="shared" si="8"/>
        <v>12250</v>
      </c>
      <c r="F58" s="157">
        <v>0.2988568901101295</v>
      </c>
      <c r="G58" s="157">
        <v>9.7689625664522897</v>
      </c>
      <c r="H58" s="157">
        <v>295.04231899847855</v>
      </c>
      <c r="I58" s="157">
        <f t="shared" ca="1" si="9"/>
        <v>1.7518924167742234</v>
      </c>
      <c r="J58" s="157">
        <f t="shared" ca="1" si="3"/>
        <v>0.32500000000000001</v>
      </c>
      <c r="K58" s="157">
        <f t="shared" ca="1" si="4"/>
        <v>95.888753674505537</v>
      </c>
      <c r="L58" s="157">
        <f ca="1">1.2*SQRT(N58*G58/(0.5*F58*SRef*RADIANS(alpha_max_voil)*Czalpha_voil))</f>
        <v>112.35620556201135</v>
      </c>
      <c r="M58" s="134">
        <f t="shared" ca="1" si="5"/>
        <v>112.35620556201135</v>
      </c>
      <c r="N58" s="157">
        <f ca="1">N57-U58</f>
        <v>15651.964568914822</v>
      </c>
      <c r="O58" s="157">
        <f ca="1">N58*G58/((0.5*F58*SRef*M58^2))</f>
        <v>0.55879305067419982</v>
      </c>
      <c r="P58" s="157">
        <f ca="1">INDEX(Aerodynamique!$T$6:$T$546,MATCH(O58,Aerodynamique!$Y$6:$Y$546,1))</f>
        <v>2.7000000000000064</v>
      </c>
      <c r="Q58" s="220">
        <f ca="1">(0.5*SRef*F58*M58^2)*INDEX(Aerodynamique!$Z$6:$Z$546,MATCH(O58,Aerodynamique!$Y$6:$Y$546,1))</f>
        <v>4530.2979412496225</v>
      </c>
      <c r="R58" s="219">
        <f t="shared" ca="1" si="10"/>
        <v>6597.1660515982676</v>
      </c>
      <c r="S58" s="157">
        <f ca="1">R58*M58/(N58*G58)-F58*SRef*Cx0_avion*(M58^3)/(2*N58*G58)-2*(N58*G58)/(F58*SRef*PI()*all_voil*M58)</f>
        <v>1.8774972989536103</v>
      </c>
      <c r="T58" s="157">
        <f ca="1">(E58-E57)/S57</f>
        <v>122.73133101380792</v>
      </c>
      <c r="U58" s="157">
        <f ca="1">I57*R57*T58/(3600*10)</f>
        <v>41.06883279887704</v>
      </c>
      <c r="W58"/>
      <c r="X58"/>
      <c r="Y58"/>
      <c r="Z58"/>
      <c r="AA58"/>
      <c r="AB58"/>
      <c r="AC58"/>
      <c r="AD58"/>
      <c r="AE58" s="168"/>
      <c r="AG58" s="157">
        <f ca="1">$N$9+(($N$70-$N$9)/($E$70-$E$9))*(AI58-$E$9)</f>
        <v>15187.352496924654</v>
      </c>
      <c r="AI58" s="165">
        <f t="shared" si="6"/>
        <v>12250</v>
      </c>
      <c r="AJ58" s="157">
        <v>-29.389145622554921</v>
      </c>
      <c r="AK58" s="157">
        <v>-5.1804823142957215</v>
      </c>
      <c r="AL58" s="157">
        <v>-2.8694448082943804</v>
      </c>
      <c r="AM58" s="157">
        <v>-1.5623658064826687</v>
      </c>
      <c r="AN58" s="157">
        <v>-0.67210476115409667</v>
      </c>
      <c r="AO58" s="157">
        <v>-5.3537214267771471E-3</v>
      </c>
      <c r="AP58" s="157">
        <v>0.51867939575331645</v>
      </c>
      <c r="AQ58" s="157">
        <v>0.93860033402290455</v>
      </c>
      <c r="AR58" s="157">
        <v>1.274271978262064</v>
      </c>
      <c r="AS58" s="157">
        <v>1.5361920144832166</v>
      </c>
      <c r="AT58" s="157">
        <v>1.7297557361573805</v>
      </c>
      <c r="AU58" s="157">
        <v>1.8573876487417507</v>
      </c>
      <c r="AV58" s="157">
        <v>1.9196894266363935</v>
      </c>
      <c r="AW58" s="157">
        <v>1.9160960272349219</v>
      </c>
      <c r="AX58" s="157">
        <v>1.8452694665090055</v>
      </c>
      <c r="AY58" s="157">
        <v>1.7053450038713558</v>
      </c>
      <c r="AZ58" s="157">
        <v>1.4940904806290098</v>
      </c>
      <c r="BA58" s="157">
        <v>1.2090125544170727</v>
      </c>
      <c r="BB58" s="157">
        <v>0.84742936034927208</v>
      </c>
      <c r="BC58" s="157">
        <v>0.40652131319764528</v>
      </c>
      <c r="BD58" s="157">
        <v>-0.11663270151602678</v>
      </c>
      <c r="BE58" s="157">
        <v>-0.72502913866758045</v>
      </c>
      <c r="BF58" s="157">
        <v>-1.4217206040850234</v>
      </c>
      <c r="BG58" s="157">
        <v>-2.2098016649568297</v>
      </c>
      <c r="BH58" s="157">
        <v>-3.0923983020239545</v>
      </c>
      <c r="BI58" s="157">
        <v>-4.0726600641771329</v>
      </c>
      <c r="BJ58" s="157">
        <v>-5.1537542643563334</v>
      </c>
      <c r="BK58" s="157">
        <v>-6.3388617435332177</v>
      </c>
      <c r="BL58" s="157">
        <v>-7.631173858119416</v>
      </c>
      <c r="BM58" s="157">
        <v>-9.033890435087951</v>
      </c>
      <c r="BN58" s="157">
        <v>-10.550218501171042</v>
      </c>
      <c r="BO58" s="157">
        <v>-12.183371636111101</v>
      </c>
      <c r="BQ58" s="157">
        <f t="shared" si="7"/>
        <v>1.9196894266363935</v>
      </c>
    </row>
    <row r="59" spans="5:69">
      <c r="E59" s="165">
        <f t="shared" si="8"/>
        <v>12500</v>
      </c>
      <c r="F59" s="157">
        <v>0.28730441423525188</v>
      </c>
      <c r="G59" s="157">
        <v>9.7681956985866893</v>
      </c>
      <c r="H59" s="157">
        <v>295.04231899847855</v>
      </c>
      <c r="I59" s="157">
        <f t="shared" ca="1" si="9"/>
        <v>1.7741953685847371</v>
      </c>
      <c r="J59" s="157">
        <f t="shared" ca="1" si="3"/>
        <v>0.35000000000000003</v>
      </c>
      <c r="K59" s="157">
        <f t="shared" ca="1" si="4"/>
        <v>103.2648116494675</v>
      </c>
      <c r="L59" s="157">
        <f ca="1">1.2*SQRT(N59*G59/(0.5*F59*SRef*RADIANS(alpha_max_voil)*Czalpha_voil))</f>
        <v>114.43177102586937</v>
      </c>
      <c r="M59" s="134">
        <f t="shared" ca="1" si="5"/>
        <v>114.43177102586937</v>
      </c>
      <c r="N59" s="157">
        <f ca="1">N58-U59</f>
        <v>15609.215856808238</v>
      </c>
      <c r="O59" s="157">
        <f ca="1">N59*G59/((0.5*F59*SRef*M59^2))</f>
        <v>0.55879305067419993</v>
      </c>
      <c r="P59" s="157">
        <f ca="1">INDEX(Aerodynamique!$T$6:$T$546,MATCH(O59,Aerodynamique!$Y$6:$Y$546,1))</f>
        <v>2.7000000000000064</v>
      </c>
      <c r="Q59" s="220">
        <f ca="1">(0.5*SRef*F59*M59^2)*INDEX(Aerodynamique!$Z$6:$Z$546,MATCH(O59,Aerodynamique!$Y$6:$Y$546,1))</f>
        <v>4517.5701131865189</v>
      </c>
      <c r="R59" s="219">
        <f t="shared" ca="1" si="10"/>
        <v>6322.1786426764638</v>
      </c>
      <c r="S59" s="157">
        <f ca="1">R59*M59/(N59*G59)-F59*SRef*Cx0_avion*(M59^3)/(2*N59*G59)-2*(N59*G59)/(F59*SRef*PI()*all_voil*M59)</f>
        <v>1.7197124692257102</v>
      </c>
      <c r="T59" s="157">
        <f ca="1">(E59-E58)/S58</f>
        <v>133.15598384047374</v>
      </c>
      <c r="U59" s="157">
        <f ca="1">I58*R58*T59/(3600*10)</f>
        <v>42.748712106583817</v>
      </c>
      <c r="W59"/>
      <c r="X59"/>
      <c r="Y59"/>
      <c r="Z59"/>
      <c r="AA59"/>
      <c r="AB59"/>
      <c r="AC59"/>
      <c r="AD59"/>
      <c r="AE59" s="168"/>
      <c r="AG59" s="157">
        <f ca="1">$N$9+(($N$70-$N$9)/($E$70-$E$9))*(AI59-$E$9)</f>
        <v>15146.17206058904</v>
      </c>
      <c r="AI59" s="165">
        <f t="shared" si="6"/>
        <v>12500</v>
      </c>
      <c r="AJ59" s="157">
        <v>-30.496968534256808</v>
      </c>
      <c r="AK59" s="157">
        <v>-5.4292599411181879</v>
      </c>
      <c r="AL59" s="157">
        <v>-3.0581233657944074</v>
      </c>
      <c r="AM59" s="157">
        <v>-1.7269587743961521</v>
      </c>
      <c r="AN59" s="157">
        <v>-0.82645563902484742</v>
      </c>
      <c r="AO59" s="157">
        <v>-0.15582988024829847</v>
      </c>
      <c r="AP59" s="157">
        <v>0.36898816867928219</v>
      </c>
      <c r="AQ59" s="157">
        <v>0.78830710342277088</v>
      </c>
      <c r="AR59" s="157">
        <v>1.1229925217481596</v>
      </c>
      <c r="AS59" s="157">
        <v>1.3841945099822837</v>
      </c>
      <c r="AT59" s="157">
        <v>1.5777694523039585</v>
      </c>
      <c r="AU59" s="157">
        <v>1.7064911289004496</v>
      </c>
      <c r="AV59" s="157">
        <v>1.7712414705593635</v>
      </c>
      <c r="AW59" s="157">
        <v>1.7716911231033943</v>
      </c>
      <c r="AX59" s="157">
        <v>1.7067078890261032</v>
      </c>
      <c r="AY59" s="157">
        <v>1.5746120757070163</v>
      </c>
      <c r="AZ59" s="157">
        <v>1.3733417614404395</v>
      </c>
      <c r="BA59" s="157">
        <v>1.1005629812430637</v>
      </c>
      <c r="BB59" s="157">
        <v>0.75374509257328415</v>
      </c>
      <c r="BC59" s="157">
        <v>0.33021347307352344</v>
      </c>
      <c r="BD59" s="157">
        <v>-0.17281293061385294</v>
      </c>
      <c r="BE59" s="157">
        <v>-0.75819442141197924</v>
      </c>
      <c r="BF59" s="157">
        <v>-1.4288506221824875</v>
      </c>
      <c r="BG59" s="157">
        <v>-2.1877457231000954</v>
      </c>
      <c r="BH59" s="157">
        <v>-3.0378774967236257</v>
      </c>
      <c r="BI59" s="157">
        <v>-3.9822691058823771</v>
      </c>
      <c r="BJ59" s="157">
        <v>-5.0239630182937614</v>
      </c>
      <c r="BK59" s="157">
        <v>-6.1660165368885149</v>
      </c>
      <c r="BL59" s="157">
        <v>-7.4114985883706908</v>
      </c>
      <c r="BM59" s="157">
        <v>-8.7634875050172649</v>
      </c>
      <c r="BN59" s="157">
        <v>-10.225069599346186</v>
      </c>
      <c r="BO59" s="157">
        <v>-11.799338376765974</v>
      </c>
      <c r="BQ59" s="157">
        <f t="shared" si="7"/>
        <v>1.7716911231033943</v>
      </c>
    </row>
    <row r="60" spans="5:69">
      <c r="E60" s="165">
        <f t="shared" si="8"/>
        <v>12750</v>
      </c>
      <c r="F60" s="157">
        <v>0.27619850560796372</v>
      </c>
      <c r="G60" s="157">
        <v>9.7674289210167444</v>
      </c>
      <c r="H60" s="157">
        <v>295.04231899847855</v>
      </c>
      <c r="I60" s="157">
        <f t="shared" ca="1" si="9"/>
        <v>1.7761953685847371</v>
      </c>
      <c r="J60" s="157">
        <f t="shared" ca="1" si="3"/>
        <v>0.35000000000000003</v>
      </c>
      <c r="K60" s="157">
        <f t="shared" ca="1" si="4"/>
        <v>103.2648116494675</v>
      </c>
      <c r="L60" s="157">
        <f ca="1">1.2*SQRT(N60*G60/(0.5*F60*SRef*RADIANS(alpha_max_voil)*Czalpha_voil))</f>
        <v>116.53570949945687</v>
      </c>
      <c r="M60" s="134">
        <f t="shared" ca="1" si="5"/>
        <v>116.53570949945687</v>
      </c>
      <c r="N60" s="157">
        <f ca="1">N59-U60</f>
        <v>15563.920897670501</v>
      </c>
      <c r="O60" s="157">
        <f ca="1">N60*G60/((0.5*F60*SRef*M60^2))</f>
        <v>0.55879305067419982</v>
      </c>
      <c r="P60" s="157">
        <f ca="1">INDEX(Aerodynamique!$T$6:$T$546,MATCH(O60,Aerodynamique!$Y$6:$Y$546,1))</f>
        <v>2.7000000000000064</v>
      </c>
      <c r="Q60" s="220">
        <f ca="1">(0.5*SRef*F60*M60^2)*INDEX(Aerodynamique!$Z$6:$Z$546,MATCH(O60,Aerodynamique!$Y$6:$Y$546,1))</f>
        <v>4504.1074004141947</v>
      </c>
      <c r="R60" s="219">
        <f t="shared" ca="1" si="10"/>
        <v>6058.6534395675953</v>
      </c>
      <c r="S60" s="157">
        <f ca="1">R60*M60/(N60*G60)-F60*SRef*Cx0_avion*(M60^3)/(2*N60*G60)-2*(N60*G60)/(F60*SRef*PI()*all_voil*M60)</f>
        <v>1.563759730303675</v>
      </c>
      <c r="T60" s="157">
        <f ca="1">(E60-E59)/S59</f>
        <v>145.37313909956177</v>
      </c>
      <c r="U60" s="157">
        <f ca="1">I59*R59*T60/(3600*10)</f>
        <v>45.294959137737138</v>
      </c>
      <c r="W60"/>
      <c r="X60"/>
      <c r="Y60"/>
      <c r="Z60"/>
      <c r="AA60"/>
      <c r="AB60"/>
      <c r="AC60"/>
      <c r="AD60"/>
      <c r="AE60" s="168"/>
      <c r="AG60" s="157">
        <f ca="1">$N$9+(($N$70-$N$9)/($E$70-$E$9))*(AI60-$E$9)</f>
        <v>15104.991624253425</v>
      </c>
      <c r="AI60" s="165">
        <f t="shared" si="6"/>
        <v>12750</v>
      </c>
      <c r="AJ60" s="157">
        <v>-31.645442490585364</v>
      </c>
      <c r="AK60" s="157">
        <v>-5.6851011119033616</v>
      </c>
      <c r="AL60" s="157">
        <v>-3.2506151853633494</v>
      </c>
      <c r="AM60" s="157">
        <v>-1.8935043255723709</v>
      </c>
      <c r="AN60" s="157">
        <v>-0.98147512073633214</v>
      </c>
      <c r="AO60" s="157">
        <v>-0.30599949447962538</v>
      </c>
      <c r="AP60" s="157">
        <v>0.22038195946705952</v>
      </c>
      <c r="AQ60" s="157">
        <v>0.6397344632833204</v>
      </c>
      <c r="AR60" s="157">
        <v>0.97395416496646425</v>
      </c>
      <c r="AS60" s="157">
        <v>1.2348584294524925</v>
      </c>
      <c r="AT60" s="157">
        <v>1.4287725503611897</v>
      </c>
      <c r="AU60" s="157">
        <v>1.55882329183369</v>
      </c>
      <c r="AV60" s="157">
        <v>1.6261740295088174</v>
      </c>
      <c r="AW60" s="157">
        <v>1.6307306734104727</v>
      </c>
      <c r="AX60" s="157">
        <v>1.571565320639535</v>
      </c>
      <c r="AY60" s="157">
        <v>1.4471811076839147</v>
      </c>
      <c r="AZ60" s="157">
        <v>1.2556836245682623</v>
      </c>
      <c r="BA60" s="157">
        <v>0.99489519907915658</v>
      </c>
      <c r="BB60" s="157">
        <v>0.66243306762295118</v>
      </c>
      <c r="BC60" s="157">
        <v>0.25576403883695586</v>
      </c>
      <c r="BD60" s="157">
        <v>-0.22775654979839333</v>
      </c>
      <c r="BE60" s="157">
        <v>-0.79085662172884907</v>
      </c>
      <c r="BF60" s="157">
        <v>-1.4363266650067166</v>
      </c>
      <c r="BG60" s="157">
        <v>-2.1670043970578607</v>
      </c>
      <c r="BH60" s="157">
        <v>-2.9857633281165752</v>
      </c>
      <c r="BI60" s="157">
        <v>-3.895504211645517</v>
      </c>
      <c r="BJ60" s="157">
        <v>-4.899148669761213</v>
      </c>
      <c r="BK60" s="157">
        <v>-5.9996344841824287</v>
      </c>
      <c r="BL60" s="157">
        <v>-7.1999121819358125</v>
      </c>
      <c r="BM60" s="157">
        <v>-8.5029426411868645</v>
      </c>
      <c r="BN60" s="157">
        <v>-9.9116955098216994</v>
      </c>
      <c r="BO60" s="157">
        <v>-11.429148276820001</v>
      </c>
      <c r="BQ60" s="157">
        <f t="shared" si="7"/>
        <v>1.6307306734104727</v>
      </c>
    </row>
    <row r="61" spans="5:69">
      <c r="E61" s="165">
        <f t="shared" si="8"/>
        <v>13000</v>
      </c>
      <c r="F61" s="157">
        <v>0.26552190192806385</v>
      </c>
      <c r="G61" s="157">
        <v>9.766662233728276</v>
      </c>
      <c r="H61" s="157">
        <v>295.04231899847855</v>
      </c>
      <c r="I61" s="157">
        <f t="shared" ca="1" si="9"/>
        <v>1.7781953685847371</v>
      </c>
      <c r="J61" s="157">
        <f t="shared" ca="1" si="3"/>
        <v>0.35000000000000003</v>
      </c>
      <c r="K61" s="157">
        <f t="shared" ca="1" si="4"/>
        <v>103.2648116494675</v>
      </c>
      <c r="L61" s="157">
        <f ca="1">1.2*SQRT(N61*G61/(0.5*F61*SRef*RADIANS(alpha_max_voil)*Czalpha_voil))</f>
        <v>118.66828892605685</v>
      </c>
      <c r="M61" s="134">
        <f t="shared" ca="1" si="5"/>
        <v>118.66828892605685</v>
      </c>
      <c r="N61" s="157">
        <f ca="1">N60-U61</f>
        <v>15516.131195130212</v>
      </c>
      <c r="O61" s="157">
        <f ca="1">N61*G61/((0.5*F61*SRef*M61^2))</f>
        <v>0.55879305067419971</v>
      </c>
      <c r="P61" s="157">
        <f ca="1">INDEX(Aerodynamique!$T$6:$T$546,MATCH(O61,Aerodynamique!$Y$6:$Y$546,1))</f>
        <v>2.7000000000000064</v>
      </c>
      <c r="Q61" s="220">
        <f ca="1">(0.5*SRef*F61*M61^2)*INDEX(Aerodynamique!$Z$6:$Z$546,MATCH(O61,Aerodynamique!$Y$6:$Y$546,1))</f>
        <v>4489.9248797810387</v>
      </c>
      <c r="R61" s="219">
        <f t="shared" ca="1" si="10"/>
        <v>5806.112667079653</v>
      </c>
      <c r="S61" s="157">
        <f ca="1">R61*M61/(N61*G61)-F61*SRef*Cx0_avion*(M61^3)/(2*N61*G61)-2*(N61*G61)/(F61*SRef*PI()*all_voil*M61)</f>
        <v>1.4095562159188493</v>
      </c>
      <c r="T61" s="157">
        <f ca="1">(E61-E60)/S60</f>
        <v>159.87110753354108</v>
      </c>
      <c r="U61" s="157">
        <f ca="1">I60*R60*T61/(3600*10)</f>
        <v>47.78970254028831</v>
      </c>
      <c r="W61"/>
      <c r="X61"/>
      <c r="Y61"/>
      <c r="Z61"/>
      <c r="AA61"/>
      <c r="AB61"/>
      <c r="AC61"/>
      <c r="AD61"/>
      <c r="AE61" s="168"/>
      <c r="AG61" s="157">
        <f ca="1">$N$9+(($N$70-$N$9)/($E$70-$E$9))*(AI61-$E$9)</f>
        <v>15063.81118791781</v>
      </c>
      <c r="AI61" s="165">
        <f t="shared" si="6"/>
        <v>13000</v>
      </c>
      <c r="AJ61" s="157">
        <v>-32.836082703675679</v>
      </c>
      <c r="AK61" s="157">
        <v>-5.9483508370736011</v>
      </c>
      <c r="AL61" s="157">
        <v>-3.4471855550093018</v>
      </c>
      <c r="AM61" s="157">
        <v>-2.0622372177974748</v>
      </c>
      <c r="AN61" s="157">
        <v>-1.1373863320555491</v>
      </c>
      <c r="AO61" s="157">
        <v>-0.45608274608778498</v>
      </c>
      <c r="AP61" s="157">
        <v>7.2639312962039515E-2</v>
      </c>
      <c r="AQ61" s="157">
        <v>0.49265778704716245</v>
      </c>
      <c r="AR61" s="157">
        <v>0.82692857346726045</v>
      </c>
      <c r="AS61" s="157">
        <v>1.0879520768901878</v>
      </c>
      <c r="AT61" s="157">
        <v>1.2825309403664622</v>
      </c>
      <c r="AU61" s="157">
        <v>1.4141490895512463</v>
      </c>
      <c r="AV61" s="157">
        <v>1.4842529073086053</v>
      </c>
      <c r="AW61" s="157">
        <v>1.4929834565370574</v>
      </c>
      <c r="AX61" s="157">
        <v>1.439615908966174</v>
      </c>
      <c r="AY61" s="157">
        <v>1.3228342548272303</v>
      </c>
      <c r="AZ61" s="157">
        <v>1.140909093769654</v>
      </c>
      <c r="BA61" s="157">
        <v>0.89181616994724655</v>
      </c>
      <c r="BB61" s="157">
        <v>0.57331745228048325</v>
      </c>
      <c r="BC61" s="157">
        <v>0.18301783683366957</v>
      </c>
      <c r="BD61" s="157">
        <v>-0.28159443684842311</v>
      </c>
      <c r="BE61" s="157">
        <v>-0.82311850914143159</v>
      </c>
      <c r="BF61" s="157">
        <v>-1.4442194098042529</v>
      </c>
      <c r="BG61" s="157">
        <v>-2.147612119791984</v>
      </c>
      <c r="BH61" s="157">
        <v>-2.936049667938188</v>
      </c>
      <c r="BI61" s="157">
        <v>-3.8123142126741434</v>
      </c>
      <c r="BJ61" s="157">
        <v>-4.7792103699617519</v>
      </c>
      <c r="BK61" s="157">
        <v>-5.8395602588193078</v>
      </c>
      <c r="BL61" s="157">
        <v>-6.9961998798873273</v>
      </c>
      <c r="BM61" s="157">
        <v>-8.2519765423984879</v>
      </c>
      <c r="BN61" s="157">
        <v>-9.6097471248958382</v>
      </c>
      <c r="BO61" s="157">
        <v>-11.072377004451413</v>
      </c>
      <c r="BQ61" s="157">
        <f t="shared" si="7"/>
        <v>1.4929834565370574</v>
      </c>
    </row>
    <row r="62" spans="5:69">
      <c r="E62" s="165">
        <f t="shared" si="8"/>
        <v>13250</v>
      </c>
      <c r="F62" s="157">
        <v>0.25525800817896804</v>
      </c>
      <c r="G62" s="157">
        <v>9.7658956367071141</v>
      </c>
      <c r="H62" s="157">
        <v>295.04231899847855</v>
      </c>
      <c r="I62" s="157">
        <f t="shared" ca="1" si="9"/>
        <v>1.7801953685847371</v>
      </c>
      <c r="J62" s="157">
        <f t="shared" ca="1" si="3"/>
        <v>0.35000000000000003</v>
      </c>
      <c r="K62" s="157">
        <f t="shared" ca="1" si="4"/>
        <v>103.2648116494675</v>
      </c>
      <c r="L62" s="157">
        <f ca="1">1.2*SQRT(N62*G62/(0.5*F62*SRef*RADIANS(alpha_max_voil)*Czalpha_voil))</f>
        <v>120.82730790637493</v>
      </c>
      <c r="M62" s="134">
        <f t="shared" ca="1" si="5"/>
        <v>120.82730790637493</v>
      </c>
      <c r="N62" s="157">
        <f ca="1">N61-U62</f>
        <v>15465.266078972634</v>
      </c>
      <c r="O62" s="157">
        <f ca="1">N62*G62/((0.5*F62*SRef*M62^2))</f>
        <v>0.55879305067419982</v>
      </c>
      <c r="P62" s="157">
        <f ca="1">INDEX(Aerodynamique!$T$6:$T$546,MATCH(O62,Aerodynamique!$Y$6:$Y$546,1))</f>
        <v>2.7000000000000064</v>
      </c>
      <c r="Q62" s="220">
        <f ca="1">(0.5*SRef*F62*M62^2)*INDEX(Aerodynamique!$Z$6:$Z$546,MATCH(O62,Aerodynamique!$Y$6:$Y$546,1))</f>
        <v>4474.8547047328357</v>
      </c>
      <c r="R62" s="219">
        <f t="shared" ca="1" si="10"/>
        <v>5564.0984649600186</v>
      </c>
      <c r="S62" s="157">
        <f ca="1">R62*M62/(N62*G62)-F62*SRef*Cx0_avion*(M62^3)/(2*N62*G62)-2*(N62*G62)/(F62*SRef*PI()*all_voil*M62)</f>
        <v>1.2571779378325472</v>
      </c>
      <c r="T62" s="157">
        <f ca="1">(E62-E61)/S61</f>
        <v>177.36078715883792</v>
      </c>
      <c r="U62" s="157">
        <f ca="1">I61*R61*T62/(3600*10)</f>
        <v>50.86511615757825</v>
      </c>
      <c r="W62"/>
      <c r="X62"/>
      <c r="Y62"/>
      <c r="Z62"/>
      <c r="AA62"/>
      <c r="AB62"/>
      <c r="AC62"/>
      <c r="AD62"/>
      <c r="AE62" s="168"/>
      <c r="AG62" s="157">
        <f ca="1">$N$9+(($N$70-$N$9)/($E$70-$E$9))*(AI62-$E$9)</f>
        <v>15022.630751582197</v>
      </c>
      <c r="AI62" s="165">
        <f t="shared" si="6"/>
        <v>13250</v>
      </c>
      <c r="AJ62" s="157">
        <v>-34.070459092843926</v>
      </c>
      <c r="AK62" s="157">
        <v>-6.2193634118410737</v>
      </c>
      <c r="AL62" s="157">
        <v>-3.648104558573003</v>
      </c>
      <c r="AM62" s="157">
        <v>-2.2333943895725561</v>
      </c>
      <c r="AN62" s="157">
        <v>-1.2944127430996915</v>
      </c>
      <c r="AO62" s="157">
        <v>-0.60629874280926188</v>
      </c>
      <c r="AP62" s="157">
        <v>-7.4458999723691077E-2</v>
      </c>
      <c r="AQ62" s="157">
        <v>0.34685563252286045</v>
      </c>
      <c r="AR62" s="157">
        <v>0.68169139900513875</v>
      </c>
      <c r="AS62" s="157">
        <v>0.94324840829835099</v>
      </c>
      <c r="AT62" s="157">
        <v>1.1388157248502118</v>
      </c>
      <c r="AU62" s="157">
        <v>1.2722390869153541</v>
      </c>
      <c r="AV62" s="157">
        <v>1.3452498226652834</v>
      </c>
      <c r="AW62" s="157">
        <v>1.3582243490777239</v>
      </c>
      <c r="AX62" s="157">
        <v>1.3106399626644476</v>
      </c>
      <c r="AY62" s="157">
        <v>1.2013597727499863</v>
      </c>
      <c r="AZ62" s="157">
        <v>1.0288171061982618</v>
      </c>
      <c r="BA62" s="157">
        <v>0.79113845140118222</v>
      </c>
      <c r="BB62" s="157">
        <v>0.48622755604288692</v>
      </c>
      <c r="BC62" s="157">
        <v>0.11182424382565959</v>
      </c>
      <c r="BD62" s="157">
        <v>-0.33445365561693652</v>
      </c>
      <c r="BE62" s="157">
        <v>-0.85507992477339545</v>
      </c>
      <c r="BF62" s="157">
        <v>-1.4525976449252442</v>
      </c>
      <c r="BG62" s="157">
        <v>-2.1296026338606668</v>
      </c>
      <c r="BH62" s="157">
        <v>-2.8887310600669962</v>
      </c>
      <c r="BI62" s="157">
        <v>-3.7326501440220632</v>
      </c>
      <c r="BJ62" s="157">
        <v>-4.6640511799334217</v>
      </c>
      <c r="BK62" s="157">
        <v>-5.6856443294623302</v>
      </c>
      <c r="BL62" s="157">
        <v>-6.8001547885797127</v>
      </c>
      <c r="BM62" s="157">
        <v>-8.0103200325340271</v>
      </c>
      <c r="BN62" s="157">
        <v>-9.3188879167063057</v>
      </c>
      <c r="BO62" s="157">
        <v>-10.728615462593636</v>
      </c>
      <c r="BQ62" s="157">
        <f t="shared" si="7"/>
        <v>1.3582243490777239</v>
      </c>
    </row>
    <row r="63" spans="5:69">
      <c r="E63" s="165">
        <f t="shared" si="8"/>
        <v>13500</v>
      </c>
      <c r="F63" s="157">
        <v>0.24539087083349753</v>
      </c>
      <c r="G63" s="157">
        <v>9.765129129939087</v>
      </c>
      <c r="H63" s="157">
        <v>295.04231899847855</v>
      </c>
      <c r="I63" s="157">
        <f t="shared" ca="1" si="9"/>
        <v>1.7821953685847371</v>
      </c>
      <c r="J63" s="157">
        <f t="shared" ca="1" si="3"/>
        <v>0.35000000000000003</v>
      </c>
      <c r="K63" s="157">
        <f t="shared" ca="1" si="4"/>
        <v>103.2648116494675</v>
      </c>
      <c r="L63" s="157">
        <f ca="1">1.2*SQRT(N63*G63/(0.5*F63*SRef*RADIANS(alpha_max_voil)*Czalpha_voil))</f>
        <v>123.00957962246561</v>
      </c>
      <c r="M63" s="134">
        <f t="shared" ca="1" si="5"/>
        <v>123.00957962246561</v>
      </c>
      <c r="N63" s="157">
        <f ca="1">N62-U63</f>
        <v>15410.551478718233</v>
      </c>
      <c r="O63" s="157">
        <f ca="1">N63*G63/((0.5*F63*SRef*M63^2))</f>
        <v>0.55879305067419993</v>
      </c>
      <c r="P63" s="157">
        <f ca="1">INDEX(Aerodynamique!$T$6:$T$546,MATCH(O63,Aerodynamique!$Y$6:$Y$546,1))</f>
        <v>2.7000000000000064</v>
      </c>
      <c r="Q63" s="220">
        <f ca="1">(0.5*SRef*F63*M63^2)*INDEX(Aerodynamique!$Z$6:$Z$546,MATCH(O63,Aerodynamique!$Y$6:$Y$546,1))</f>
        <v>4458.6731257006495</v>
      </c>
      <c r="R63" s="219">
        <f t="shared" ca="1" si="10"/>
        <v>5332.1720577878878</v>
      </c>
      <c r="S63" s="157">
        <f ca="1">R63*M63/(N63*G63)-F63*SRef*Cx0_avion*(M63^3)/(2*N63*G63)-2*(N63*G63)/(F63*SRef*PI()*all_voil*M63)</f>
        <v>1.1067504642925288</v>
      </c>
      <c r="T63" s="157">
        <f ca="1">(E63-E62)/S62</f>
        <v>198.85808721000586</v>
      </c>
      <c r="U63" s="157">
        <f ca="1">I62*R62*T63/(3600*10)</f>
        <v>54.714600254402271</v>
      </c>
      <c r="W63"/>
      <c r="X63"/>
      <c r="Y63"/>
      <c r="Z63"/>
      <c r="AA63"/>
      <c r="AB63"/>
      <c r="AC63"/>
      <c r="AD63"/>
      <c r="AE63" s="168"/>
      <c r="AG63" s="157">
        <f ca="1">$N$9+(($N$70-$N$9)/($E$70-$E$9))*(AI63-$E$9)</f>
        <v>14981.450315246582</v>
      </c>
      <c r="AI63" s="165">
        <f t="shared" si="6"/>
        <v>13500</v>
      </c>
      <c r="AJ63" s="157">
        <v>-35.350198292063226</v>
      </c>
      <c r="AK63" s="157">
        <v>-6.4985028832856813</v>
      </c>
      <c r="AL63" s="157">
        <v>-3.8536474423481786</v>
      </c>
      <c r="AM63" s="157">
        <v>-2.4072152912618394</v>
      </c>
      <c r="AN63" s="157">
        <v>-1.4527784889050224</v>
      </c>
      <c r="AO63" s="157">
        <v>-0.75686583952057385</v>
      </c>
      <c r="AP63" s="157">
        <v>-0.22113030884809026</v>
      </c>
      <c r="AQ63" s="157">
        <v>0.20210940558526569</v>
      </c>
      <c r="AR63" s="157">
        <v>0.53802193398051434</v>
      </c>
      <c r="AS63" s="157">
        <v>0.80052467744034295</v>
      </c>
      <c r="AT63" s="157">
        <v>0.99740283729346357</v>
      </c>
      <c r="AU63" s="157">
        <v>1.1328690948116318</v>
      </c>
      <c r="AV63" s="157">
        <v>1.2089420395547776</v>
      </c>
      <c r="AW63" s="157">
        <v>1.2262339563574067</v>
      </c>
      <c r="AX63" s="157">
        <v>1.1844235853527509</v>
      </c>
      <c r="AY63" s="157">
        <v>1.0825516585645456</v>
      </c>
      <c r="AZ63" s="157">
        <v>0.91921216419263052</v>
      </c>
      <c r="BA63" s="157">
        <v>0.69267986334844001</v>
      </c>
      <c r="BB63" s="157">
        <v>0.40099751739065692</v>
      </c>
      <c r="BC63" s="157">
        <v>4.2036897366383497E-2</v>
      </c>
      <c r="BD63" s="157">
        <v>-0.38645771665341744</v>
      </c>
      <c r="BE63" s="157">
        <v>-0.8868380078433904</v>
      </c>
      <c r="BF63" s="157">
        <v>-1.4615284568420446</v>
      </c>
      <c r="BG63" s="157">
        <v>-2.1130091333948293</v>
      </c>
      <c r="BH63" s="157">
        <v>-2.8438028116787279</v>
      </c>
      <c r="BI63" s="157">
        <v>-3.6564652789306904</v>
      </c>
      <c r="BJ63" s="157">
        <v>-4.5535780418805167</v>
      </c>
      <c r="BK63" s="157">
        <v>-5.5377428619525482</v>
      </c>
      <c r="BL63" s="157">
        <v>-6.6115777055517926</v>
      </c>
      <c r="BM63" s="157">
        <v>-7.7777138036364795</v>
      </c>
      <c r="BN63" s="157">
        <v>-9.0387935904858789</v>
      </c>
      <c r="BO63" s="157">
        <v>-10.397469345164327</v>
      </c>
      <c r="BQ63" s="157">
        <f t="shared" si="7"/>
        <v>1.2262339563574067</v>
      </c>
    </row>
    <row r="64" spans="5:69">
      <c r="E64" s="165">
        <f t="shared" si="8"/>
        <v>13750</v>
      </c>
      <c r="F64" s="157">
        <v>0.23590515305675655</v>
      </c>
      <c r="G64" s="157">
        <v>9.7643627134100299</v>
      </c>
      <c r="H64" s="157">
        <v>295.04231899847855</v>
      </c>
      <c r="I64" s="157">
        <f t="shared" ca="1" si="9"/>
        <v>1.7841953685847372</v>
      </c>
      <c r="J64" s="157">
        <f t="shared" ca="1" si="3"/>
        <v>0.35000000000000003</v>
      </c>
      <c r="K64" s="157">
        <f t="shared" ca="1" si="4"/>
        <v>103.2648116494675</v>
      </c>
      <c r="L64" s="157">
        <f ca="1">1.2*SQRT(N64*G64/(0.5*F64*SRef*RADIANS(alpha_max_voil)*Czalpha_voil))</f>
        <v>125.210441493491</v>
      </c>
      <c r="M64" s="134">
        <f t="shared" ca="1" si="5"/>
        <v>125.210441493491</v>
      </c>
      <c r="N64" s="157">
        <f ca="1">N63-U64</f>
        <v>15350.923888179759</v>
      </c>
      <c r="O64" s="157">
        <f ca="1">N64*G64/((0.5*F64*SRef*M64^2))</f>
        <v>0.55879305067419982</v>
      </c>
      <c r="P64" s="157">
        <f ca="1">INDEX(Aerodynamique!$T$6:$T$546,MATCH(O64,Aerodynamique!$Y$6:$Y$546,1))</f>
        <v>2.7000000000000064</v>
      </c>
      <c r="Q64" s="220">
        <f ca="1">(0.5*SRef*F64*M64^2)*INDEX(Aerodynamique!$Z$6:$Z$546,MATCH(O64,Aerodynamique!$Y$6:$Y$546,1))</f>
        <v>4441.0727286745105</v>
      </c>
      <c r="R64" s="219">
        <f t="shared" ca="1" si="10"/>
        <v>5109.9129594677706</v>
      </c>
      <c r="S64" s="157">
        <f ca="1">R64*M64/(N64*G64)-F64*SRef*Cx0_avion*(M64^3)/(2*N64*G64)-2*(N64*G64)/(F64*SRef*PI()*all_voil*M64)</f>
        <v>0.95847339224394923</v>
      </c>
      <c r="T64" s="157">
        <f ca="1">(E64-E63)/S63</f>
        <v>225.88651016271152</v>
      </c>
      <c r="U64" s="157">
        <f ca="1">I63*R63*T64/(3600*10)</f>
        <v>59.627590538473939</v>
      </c>
      <c r="W64"/>
      <c r="X64"/>
      <c r="Y64"/>
      <c r="Z64"/>
      <c r="AA64"/>
      <c r="AB64"/>
      <c r="AC64"/>
      <c r="AD64"/>
      <c r="AE64" s="168"/>
      <c r="AG64" s="157">
        <f ca="1">$N$9+(($N$70-$N$9)/($E$70-$E$9))*(AI64-$E$9)</f>
        <v>14940.269878910967</v>
      </c>
      <c r="AI64" s="165">
        <f t="shared" si="6"/>
        <v>13750</v>
      </c>
      <c r="AJ64" s="157">
        <v>-36.676985728212536</v>
      </c>
      <c r="AK64" s="157">
        <v>-6.7861435289846952</v>
      </c>
      <c r="AL64" s="157">
        <v>-4.0640949872090228</v>
      </c>
      <c r="AM64" s="157">
        <v>-2.5839422181370089</v>
      </c>
      <c r="AN64" s="157">
        <v>-1.6127086892959859</v>
      </c>
      <c r="AO64" s="157">
        <v>-0.90800195686086549</v>
      </c>
      <c r="AP64" s="157">
        <v>-0.36759036923161448</v>
      </c>
      <c r="AQ64" s="157">
        <v>5.8203029758385982E-2</v>
      </c>
      <c r="AR64" s="157">
        <v>0.39570277299255263</v>
      </c>
      <c r="AS64" s="157">
        <v>0.65956208975055786</v>
      </c>
      <c r="AT64" s="157">
        <v>0.85807268961820071</v>
      </c>
      <c r="AU64" s="157">
        <v>0.9958198130656839</v>
      </c>
      <c r="AV64" s="157">
        <v>1.0751120079067946</v>
      </c>
      <c r="AW64" s="157">
        <v>1.096798253636436</v>
      </c>
      <c r="AX64" s="157">
        <v>1.0607583204430115</v>
      </c>
      <c r="AY64" s="157">
        <v>0.96620930276844663</v>
      </c>
      <c r="AZ64" s="157">
        <v>0.8119039979260152</v>
      </c>
      <c r="BA64" s="157">
        <v>0.596263165442944</v>
      </c>
      <c r="BB64" s="157">
        <v>0.31746600015439874</v>
      </c>
      <c r="BC64" s="157">
        <v>-2.648658438815521E-2</v>
      </c>
      <c r="BD64" s="157">
        <v>-0.43772682924730544</v>
      </c>
      <c r="BE64" s="157">
        <v>-0.91848741463921868</v>
      </c>
      <c r="BF64" s="157">
        <v>-1.4710774109136524</v>
      </c>
      <c r="BG64" s="157">
        <v>-2.0978644013008028</v>
      </c>
      <c r="BH64" s="157">
        <v>-2.8012610813280627</v>
      </c>
      <c r="BI64" s="157">
        <v>-3.5837151620270129</v>
      </c>
      <c r="BJ64" s="157">
        <v>-4.4477017515243844</v>
      </c>
      <c r="BK64" s="157">
        <v>-5.3957176246513034</v>
      </c>
      <c r="BL64" s="157">
        <v>-6.4302769515038625</v>
      </c>
      <c r="BM64" s="157">
        <v>-7.5539081679710378</v>
      </c>
      <c r="BN64" s="157">
        <v>-8.7691517499646743</v>
      </c>
      <c r="BO64" s="157">
        <v>-10.078558708874894</v>
      </c>
      <c r="BQ64" s="157">
        <f t="shared" si="7"/>
        <v>1.096798253636436</v>
      </c>
    </row>
    <row r="65" spans="5:69">
      <c r="E65" s="165">
        <f t="shared" si="8"/>
        <v>14000</v>
      </c>
      <c r="F65" s="157">
        <v>0.22678611086755618</v>
      </c>
      <c r="G65" s="157">
        <v>9.7635963871057765</v>
      </c>
      <c r="H65" s="157">
        <v>295.04231899847855</v>
      </c>
      <c r="I65" s="157">
        <f t="shared" ca="1" si="9"/>
        <v>1.7861953685847372</v>
      </c>
      <c r="J65" s="157">
        <f t="shared" ca="1" si="3"/>
        <v>0.35000000000000003</v>
      </c>
      <c r="K65" s="157">
        <f t="shared" ca="1" si="4"/>
        <v>103.2648116494675</v>
      </c>
      <c r="L65" s="157">
        <f ca="1">1.2*SQRT(N65*G65/(0.5*F65*SRef*RADIANS(alpha_max_voil)*Czalpha_voil))</f>
        <v>127.42292622606061</v>
      </c>
      <c r="M65" s="134">
        <f t="shared" ca="1" si="5"/>
        <v>127.42292622606061</v>
      </c>
      <c r="N65" s="157">
        <f ca="1">N64-U65</f>
        <v>15284.867723081918</v>
      </c>
      <c r="O65" s="157">
        <f ca="1">N65*G65/((0.5*F65*SRef*M65^2))</f>
        <v>0.55879305067419993</v>
      </c>
      <c r="P65" s="157">
        <f ca="1">INDEX(Aerodynamique!$T$6:$T$546,MATCH(O65,Aerodynamique!$Y$6:$Y$546,1))</f>
        <v>2.7000000000000064</v>
      </c>
      <c r="Q65" s="220">
        <f ca="1">(0.5*SRef*F65*M65^2)*INDEX(Aerodynamique!$Z$6:$Z$546,MATCH(O65,Aerodynamique!$Y$6:$Y$546,1))</f>
        <v>4421.6154187587235</v>
      </c>
      <c r="R65" s="219">
        <f t="shared" ca="1" si="10"/>
        <v>4896.9182108818131</v>
      </c>
      <c r="S65" s="157">
        <f ca="1">R65*M65/(N65*G65)-F65*SRef*Cx0_avion*(M65^3)/(2*N65*G65)-2*(N65*G65)/(F65*SRef*PI()*all_voil*M65)</f>
        <v>0.81266193127514974</v>
      </c>
      <c r="T65" s="157">
        <f ca="1">(E65-E64)/S64</f>
        <v>260.83144511159298</v>
      </c>
      <c r="U65" s="157">
        <f ca="1">I64*R64*T65/(3600*10)</f>
        <v>66.05616509784204</v>
      </c>
      <c r="W65"/>
      <c r="X65"/>
      <c r="Y65"/>
      <c r="Z65"/>
      <c r="AA65"/>
      <c r="AB65"/>
      <c r="AC65"/>
      <c r="AD65"/>
      <c r="AE65" s="168"/>
      <c r="AG65" s="157">
        <f ca="1">$N$9+(($N$70-$N$9)/($E$70-$E$9))*(AI65-$E$9)</f>
        <v>14899.089442575354</v>
      </c>
      <c r="AI65" s="165">
        <f t="shared" si="6"/>
        <v>14000</v>
      </c>
      <c r="AJ65" s="157">
        <v>-38.052567772634795</v>
      </c>
      <c r="AK65" s="157">
        <v>-7.0826703478048891</v>
      </c>
      <c r="AL65" s="157">
        <v>-4.2797338867393675</v>
      </c>
      <c r="AM65" s="157">
        <v>-2.7638206457776073</v>
      </c>
      <c r="AN65" s="157">
        <v>-1.7744297685109607</v>
      </c>
      <c r="AO65" s="157">
        <v>-1.0599248975734152</v>
      </c>
      <c r="AP65" s="157">
        <v>-0.51405367948934644</v>
      </c>
      <c r="AQ65" s="157">
        <v>-8.5077378822878469E-2</v>
      </c>
      <c r="AR65" s="157">
        <v>0.25451948097971844</v>
      </c>
      <c r="AS65" s="157">
        <v>0.52014546385923999</v>
      </c>
      <c r="AT65" s="157">
        <v>0.72060982815095742</v>
      </c>
      <c r="AU65" s="157">
        <v>0.86087648253195148</v>
      </c>
      <c r="AV65" s="157">
        <v>0.94354701400324936</v>
      </c>
      <c r="AW65" s="157">
        <v>0.96970823741410106</v>
      </c>
      <c r="AX65" s="157">
        <v>0.93944080629791094</v>
      </c>
      <c r="AY65" s="157">
        <v>0.85213715151653013</v>
      </c>
      <c r="AZ65" s="157">
        <v>0.70670723833832549</v>
      </c>
      <c r="BA65" s="157">
        <v>0.5017157444842627</v>
      </c>
      <c r="BB65" s="157">
        <v>0.23547589943524239</v>
      </c>
      <c r="BC65" s="157">
        <v>-9.3884873949655057E-2</v>
      </c>
      <c r="BD65" s="157">
        <v>-0.48837814537618562</v>
      </c>
      <c r="BE65" s="157">
        <v>-0.9501205304145266</v>
      </c>
      <c r="BF65" s="157">
        <v>-1.4813087262908886</v>
      </c>
      <c r="BG65" s="157">
        <v>-2.0842009420287759</v>
      </c>
      <c r="BH65" s="157">
        <v>-2.7611029642341385</v>
      </c>
      <c r="BI65" s="157">
        <v>-3.5143576415827349</v>
      </c>
      <c r="BJ65" s="157">
        <v>-4.3463369315986</v>
      </c>
      <c r="BK65" s="157">
        <v>-5.2594358972423247</v>
      </c>
      <c r="BL65" s="157">
        <v>-6.2560682082883377</v>
      </c>
      <c r="BM65" s="157">
        <v>-7.338662818898654</v>
      </c>
      <c r="BN65" s="157">
        <v>-8.5096615746350963</v>
      </c>
      <c r="BO65" s="157">
        <v>-9.7715175602110467</v>
      </c>
      <c r="BQ65" s="157">
        <f t="shared" si="7"/>
        <v>0.96970823741410106</v>
      </c>
    </row>
    <row r="66" spans="5:69">
      <c r="E66" s="165">
        <f t="shared" si="8"/>
        <v>14250</v>
      </c>
      <c r="F66" s="157">
        <v>0.21801957022133145</v>
      </c>
      <c r="G66" s="157">
        <v>9.7628301510121673</v>
      </c>
      <c r="H66" s="157">
        <v>295.04231899847855</v>
      </c>
      <c r="I66" s="157">
        <f t="shared" ca="1" si="9"/>
        <v>1.7881953685847369</v>
      </c>
      <c r="J66" s="157">
        <f t="shared" ca="1" si="3"/>
        <v>0.35000000000000003</v>
      </c>
      <c r="K66" s="157">
        <f t="shared" ca="1" si="4"/>
        <v>103.2648116494675</v>
      </c>
      <c r="L66" s="157">
        <f ca="1">1.2*SQRT(N66*G66/(0.5*F66*SRef*RADIANS(alpha_max_voil)*Czalpha_voil))</f>
        <v>129.63627480627508</v>
      </c>
      <c r="M66" s="134">
        <f t="shared" ca="1" si="5"/>
        <v>129.63627480627508</v>
      </c>
      <c r="N66" s="157">
        <f ca="1">N65-U66</f>
        <v>15210.123195492381</v>
      </c>
      <c r="O66" s="157">
        <f ca="1">N66*G66/((0.5*F66*SRef*M66^2))</f>
        <v>0.55879305067419982</v>
      </c>
      <c r="P66" s="157">
        <f ca="1">INDEX(Aerodynamique!$T$6:$T$546,MATCH(O66,Aerodynamique!$Y$6:$Y$546,1))</f>
        <v>2.7000000000000064</v>
      </c>
      <c r="Q66" s="220">
        <f ca="1">(0.5*SRef*F66*M66^2)*INDEX(Aerodynamique!$Z$6:$Z$546,MATCH(O66,Aerodynamique!$Y$6:$Y$546,1))</f>
        <v>4399.6479718373766</v>
      </c>
      <c r="R66" s="219">
        <f t="shared" ca="1" si="10"/>
        <v>4692.8016493188125</v>
      </c>
      <c r="S66" s="157">
        <f ca="1">R66*M66/(N66*G66)-F66*SRef*Cx0_avion*(M66^3)/(2*N66*G66)-2*(N66*G66)/(F66*SRef*PI()*all_voil*M66)</f>
        <v>0.66982188469300952</v>
      </c>
      <c r="T66" s="157">
        <f ca="1">(E66-E65)/S65</f>
        <v>307.63099682511819</v>
      </c>
      <c r="U66" s="157">
        <f ca="1">I65*R65*T66/(3600*10)</f>
        <v>74.744527589537384</v>
      </c>
      <c r="W66"/>
      <c r="X66"/>
      <c r="Y66"/>
      <c r="Z66"/>
      <c r="AA66"/>
      <c r="AB66"/>
      <c r="AC66"/>
      <c r="AD66"/>
      <c r="AE66" s="168"/>
      <c r="AG66" s="157">
        <f ca="1">$N$9+(($N$70-$N$9)/($E$70-$E$9))*(AI66-$E$9)</f>
        <v>14857.909006239739</v>
      </c>
      <c r="AI66" s="165">
        <f t="shared" si="6"/>
        <v>14250</v>
      </c>
      <c r="AJ66" s="157">
        <v>-39.478753968626876</v>
      </c>
      <c r="AK66" s="157">
        <v>-7.3884795634810834</v>
      </c>
      <c r="AL66" s="157">
        <v>-4.5008571318633317</v>
      </c>
      <c r="AM66" s="157">
        <v>-2.9470995682878343</v>
      </c>
      <c r="AN66" s="157">
        <v>-1.9381697750378613</v>
      </c>
      <c r="AO66" s="157">
        <v>-1.212852661026848</v>
      </c>
      <c r="AP66" s="157">
        <v>-0.66073379777814978</v>
      </c>
      <c r="AQ66" s="157">
        <v>-0.22794383156504239</v>
      </c>
      <c r="AR66" s="157">
        <v>0.11426026743684803</v>
      </c>
      <c r="AS66" s="157">
        <v>0.38206290020299205</v>
      </c>
      <c r="AT66" s="157">
        <v>0.58480259751579178</v>
      </c>
      <c r="AU66" s="157">
        <v>0.72782854579825917</v>
      </c>
      <c r="AV66" s="157">
        <v>0.81403884002484617</v>
      </c>
      <c r="AW66" s="157">
        <v>0.84475958625938086</v>
      </c>
      <c r="AX66" s="157">
        <v>0.82027244113943976</v>
      </c>
      <c r="AY66" s="157">
        <v>0.74014437871068472</v>
      </c>
      <c r="AZ66" s="157">
        <v>0.60344109979039329</v>
      </c>
      <c r="BA66" s="157">
        <v>0.40886931127773574</v>
      </c>
      <c r="BB66" s="157">
        <v>0.15487405655370212</v>
      </c>
      <c r="BC66" s="157">
        <v>-0.16029319734809644</v>
      </c>
      <c r="BD66" s="157">
        <v>-0.53852599602504836</v>
      </c>
      <c r="BE66" s="157">
        <v>-0.98182767463485088</v>
      </c>
      <c r="BF66" s="157">
        <v>-1.4922854453428172</v>
      </c>
      <c r="BG66" s="157">
        <v>-2.0720511102337595</v>
      </c>
      <c r="BH66" s="157">
        <v>-2.7233265750353528</v>
      </c>
      <c r="BI66" s="157">
        <v>-3.448352901031039</v>
      </c>
      <c r="BJ66" s="157">
        <v>-4.2494020066077871</v>
      </c>
      <c r="BK66" s="157">
        <v>-5.1287703830273212</v>
      </c>
      <c r="BL66" s="157">
        <v>-6.0887743628538074</v>
      </c>
      <c r="BM66" s="157">
        <v>-7.1317466003990084</v>
      </c>
      <c r="BN66" s="157">
        <v>-8.2600335086047068</v>
      </c>
      <c r="BO66" s="157">
        <v>-9.4759934571881477</v>
      </c>
      <c r="BQ66" s="157">
        <f t="shared" si="7"/>
        <v>0.84475958625938086</v>
      </c>
    </row>
    <row r="67" spans="5:69">
      <c r="E67" s="165">
        <f t="shared" si="8"/>
        <v>14500</v>
      </c>
      <c r="F67" s="157">
        <v>0.20959190497893074</v>
      </c>
      <c r="G67" s="157">
        <v>9.7620640051150431</v>
      </c>
      <c r="H67" s="157">
        <v>295.04231899847855</v>
      </c>
      <c r="I67" s="157">
        <f t="shared" ca="1" si="9"/>
        <v>1.7901953685847372</v>
      </c>
      <c r="J67" s="157">
        <f t="shared" ca="1" si="3"/>
        <v>0.35000000000000003</v>
      </c>
      <c r="K67" s="157">
        <f t="shared" ca="1" si="4"/>
        <v>103.2648116494675</v>
      </c>
      <c r="L67" s="157">
        <f ca="1">1.2*SQRT(N67*G67/(0.5*F67*SRef*RADIANS(alpha_max_voil)*Czalpha_voil))</f>
        <v>131.83306527778731</v>
      </c>
      <c r="M67" s="134">
        <f t="shared" ca="1" si="5"/>
        <v>131.83306527778731</v>
      </c>
      <c r="N67" s="157">
        <f ca="1">N66-U67</f>
        <v>15123.121976225826</v>
      </c>
      <c r="O67" s="157">
        <f ca="1">N67*G67/((0.5*F67*SRef*M67^2))</f>
        <v>0.55879305067419993</v>
      </c>
      <c r="P67" s="157">
        <f ca="1">INDEX(Aerodynamique!$T$6:$T$546,MATCH(O67,Aerodynamique!$Y$6:$Y$546,1))</f>
        <v>2.7000000000000064</v>
      </c>
      <c r="Q67" s="220">
        <f ca="1">(0.5*SRef*F67*M67^2)*INDEX(Aerodynamique!$Z$6:$Z$546,MATCH(O67,Aerodynamique!$Y$6:$Y$546,1))</f>
        <v>4374.138892714378</v>
      </c>
      <c r="R67" s="219">
        <f t="shared" ca="1" si="10"/>
        <v>4497.193208355362</v>
      </c>
      <c r="S67" s="157">
        <f ca="1">R67*M67/(N67*G67)-F67*SRef*Cx0_avion*(M67^3)/(2*N67*G67)-2*(N67*G67)/(F67*SRef*PI()*all_voil*M67)</f>
        <v>0.53079519145879939</v>
      </c>
      <c r="T67" s="157">
        <f ca="1">(E67-E66)/S66</f>
        <v>373.2335501617406</v>
      </c>
      <c r="U67" s="157">
        <f ca="1">I66*R66*T67/(3600*10)</f>
        <v>87.0012192665545</v>
      </c>
      <c r="W67"/>
      <c r="X67"/>
      <c r="Y67"/>
      <c r="Z67"/>
      <c r="AA67"/>
      <c r="AB67"/>
      <c r="AC67"/>
      <c r="AD67"/>
      <c r="AE67" s="168"/>
      <c r="AG67" s="157">
        <f ca="1">$N$9+(($N$70-$N$9)/($E$70-$E$9))*(AI67-$E$9)</f>
        <v>14816.728569904126</v>
      </c>
      <c r="AI67" s="165">
        <f t="shared" si="6"/>
        <v>14500</v>
      </c>
      <c r="AJ67" s="157">
        <v>-40.957419337572972</v>
      </c>
      <c r="AK67" s="157">
        <v>-7.7039791416189045</v>
      </c>
      <c r="AL67" s="157">
        <v>-4.7277644024831655</v>
      </c>
      <c r="AM67" s="157">
        <v>-3.134031839791104</v>
      </c>
      <c r="AN67" s="157">
        <v>-2.1041587021102077</v>
      </c>
      <c r="AO67" s="157">
        <v>-1.3670037563713389</v>
      </c>
      <c r="AP67" s="157">
        <v>-0.80784365452626017</v>
      </c>
      <c r="AQ67" s="157">
        <v>-0.37060678316525664</v>
      </c>
      <c r="AR67" s="157">
        <v>-2.5284333790523528E-2</v>
      </c>
      <c r="AS67" s="157">
        <v>0.24510545620598467</v>
      </c>
      <c r="AT67" s="157">
        <v>0.45044281192755142</v>
      </c>
      <c r="AU67" s="157">
        <v>0.5964693159654646</v>
      </c>
      <c r="AV67" s="157">
        <v>0.68638343219683517</v>
      </c>
      <c r="AW67" s="157">
        <v>0.72175233061523403</v>
      </c>
      <c r="AX67" s="157">
        <v>0.70305905715455808</v>
      </c>
      <c r="AY67" s="157">
        <v>0.63004456735702785</v>
      </c>
      <c r="AZ67" s="157">
        <v>0.50192907189927582</v>
      </c>
      <c r="BA67" s="157">
        <v>0.31755960642837855</v>
      </c>
      <c r="BB67" s="157">
        <v>7.5510982519617076E-2</v>
      </c>
      <c r="BC67" s="157">
        <v>-0.22584358904446</v>
      </c>
      <c r="BD67" s="157">
        <v>-0.58828212032658089</v>
      </c>
      <c r="BE67" s="157">
        <v>-1.0136972999848566</v>
      </c>
      <c r="BF67" s="157">
        <v>-1.5040695979711556</v>
      </c>
      <c r="BG67" s="157">
        <v>-2.0614472356438642</v>
      </c>
      <c r="BH67" s="157">
        <v>-2.6879311282690725</v>
      </c>
      <c r="BI67" s="157">
        <v>-3.3856634899298652</v>
      </c>
      <c r="BJ67" s="157">
        <v>-4.1568191789644864</v>
      </c>
      <c r="BK67" s="157">
        <v>-5.0035991247470433</v>
      </c>
      <c r="BL67" s="157">
        <v>-5.9282253570836403</v>
      </c>
      <c r="BM67" s="157">
        <v>-6.9329372850848463</v>
      </c>
      <c r="BN67" s="157">
        <v>-8.0199889607708403</v>
      </c>
      <c r="BO67" s="157">
        <v>-9.1916471254984131</v>
      </c>
      <c r="BQ67" s="157">
        <f t="shared" si="7"/>
        <v>0.72175233061523403</v>
      </c>
    </row>
    <row r="68" spans="5:69">
      <c r="E68" s="165">
        <f t="shared" si="8"/>
        <v>14750</v>
      </c>
      <c r="F68" s="157">
        <v>0.20149001572703334</v>
      </c>
      <c r="G68" s="157">
        <v>9.7612979494002463</v>
      </c>
      <c r="H68" s="157">
        <v>295.04231899847855</v>
      </c>
      <c r="I68" s="157">
        <f t="shared" ca="1" si="9"/>
        <v>1.7921953685847369</v>
      </c>
      <c r="J68" s="157">
        <f t="shared" ca="1" si="3"/>
        <v>0.35000000000000003</v>
      </c>
      <c r="K68" s="157">
        <f t="shared" ca="1" si="4"/>
        <v>103.2648116494675</v>
      </c>
      <c r="L68" s="157">
        <f ca="1">1.2*SQRT(N68*G68/(0.5*F68*SRef*RADIANS(alpha_max_voil)*Czalpha_voil))</f>
        <v>133.98312702045382</v>
      </c>
      <c r="M68" s="134">
        <f t="shared" ca="1" si="5"/>
        <v>133.98312702045382</v>
      </c>
      <c r="N68" s="157">
        <f ca="1">N67-U68</f>
        <v>15017.791874558745</v>
      </c>
      <c r="O68" s="157">
        <f ca="1">N68*G68/((0.5*F68*SRef*M68^2))</f>
        <v>0.55879305067419982</v>
      </c>
      <c r="P68" s="157">
        <f ca="1">INDEX(Aerodynamique!$T$6:$T$546,MATCH(O68,Aerodynamique!$Y$6:$Y$546,1))</f>
        <v>2.7000000000000064</v>
      </c>
      <c r="Q68" s="220">
        <f ca="1">(0.5*SRef*F68*M68^2)*INDEX(Aerodynamique!$Z$6:$Z$546,MATCH(O68,Aerodynamique!$Y$6:$Y$546,1))</f>
        <v>4343.3328620069424</v>
      </c>
      <c r="R68" s="219">
        <f t="shared" ca="1" si="10"/>
        <v>4309.7382469197964</v>
      </c>
      <c r="S68" s="157">
        <f ca="1">R68*M68/(N68*G68)-F68*SRef*Cx0_avion*(M68^3)/(2*N68*G68)-2*(N68*G68)/(F68*SRef*PI()*all_voil*M68)</f>
        <v>0.39707009607574173</v>
      </c>
      <c r="T68" s="157">
        <f ca="1">(E68-E67)/S67</f>
        <v>470.9914558813503</v>
      </c>
      <c r="U68" s="157">
        <f ca="1">I67*R67*T68/(3600*10)</f>
        <v>105.33010166708182</v>
      </c>
      <c r="W68"/>
      <c r="X68"/>
      <c r="Y68"/>
      <c r="Z68"/>
      <c r="AA68"/>
      <c r="AB68"/>
      <c r="AC68"/>
      <c r="AD68"/>
      <c r="AE68" s="168"/>
      <c r="AG68" s="157">
        <f ca="1">$N$9+(($N$70-$N$9)/($E$70-$E$9))*(AI68-$E$9)</f>
        <v>14775.548133568511</v>
      </c>
      <c r="AI68" s="165">
        <f t="shared" si="6"/>
        <v>14750</v>
      </c>
      <c r="AJ68" s="157">
        <v>-42.490506766525286</v>
      </c>
      <c r="AK68" s="157">
        <v>-8.0295893207741482</v>
      </c>
      <c r="AL68" s="157">
        <v>-4.9607624666365249</v>
      </c>
      <c r="AM68" s="157">
        <v>-3.3248745196653244</v>
      </c>
      <c r="AN68" s="157">
        <v>-2.2726288093123141</v>
      </c>
      <c r="AO68" s="157">
        <v>-1.5225975147802813</v>
      </c>
      <c r="AP68" s="157">
        <v>-0.95559586260550144</v>
      </c>
      <c r="AQ68" s="157">
        <v>-0.51327544343101605</v>
      </c>
      <c r="AR68" s="157">
        <v>-0.16432177962271655</v>
      </c>
      <c r="AS68" s="157">
        <v>0.10906682752950947</v>
      </c>
      <c r="AT68" s="157">
        <v>0.31732543337041919</v>
      </c>
      <c r="AU68" s="157">
        <v>0.46659565297675276</v>
      </c>
      <c r="AV68" s="157">
        <v>0.56038057700104615</v>
      </c>
      <c r="AW68" s="157">
        <v>0.60049053103952565</v>
      </c>
      <c r="AX68" s="157">
        <v>0.58761060326101311</v>
      </c>
      <c r="AY68" s="157">
        <v>0.52165539965781393</v>
      </c>
      <c r="AZ68" s="157">
        <v>0.40199862003084741</v>
      </c>
      <c r="BA68" s="157">
        <v>0.22762611455883808</v>
      </c>
      <c r="BB68" s="157">
        <v>-2.759410467264467E-3</v>
      </c>
      <c r="BC68" s="157">
        <v>-0.2906651393709907</v>
      </c>
      <c r="BD68" s="157">
        <v>-0.6377558879570524</v>
      </c>
      <c r="BE68" s="157">
        <v>-1.0458161855341079</v>
      </c>
      <c r="BF68" s="157">
        <v>-1.5167223611665845</v>
      </c>
      <c r="BG68" s="157">
        <v>-2.0524217444395374</v>
      </c>
      <c r="BH68" s="157">
        <v>-2.6549170168225551</v>
      </c>
      <c r="BI68" s="157">
        <v>-3.3262543545535888</v>
      </c>
      <c r="BJ68" s="157">
        <v>-4.0685144066140433</v>
      </c>
      <c r="BK68" s="157">
        <v>-4.8838054239580089</v>
      </c>
      <c r="BL68" s="157">
        <v>-5.7742580434718107</v>
      </c>
      <c r="BM68" s="157">
        <v>-6.742021360554558</v>
      </c>
      <c r="BN68" s="157">
        <v>-7.7892600160596901</v>
      </c>
      <c r="BO68" s="157">
        <v>-8.9181520886797454</v>
      </c>
      <c r="BQ68" s="157">
        <f t="shared" si="7"/>
        <v>0.60049053103952565</v>
      </c>
    </row>
    <row r="69" spans="5:69">
      <c r="E69" s="165">
        <f t="shared" si="8"/>
        <v>15000</v>
      </c>
      <c r="F69" s="157">
        <v>0.19370130941727587</v>
      </c>
      <c r="G69" s="157">
        <v>9.7605319838536264</v>
      </c>
      <c r="H69" s="157">
        <v>295.04231899847855</v>
      </c>
      <c r="I69" s="157">
        <f t="shared" ca="1" si="9"/>
        <v>1.7941953685847372</v>
      </c>
      <c r="J69" s="157">
        <f t="shared" ca="1" si="3"/>
        <v>0.35000000000000003</v>
      </c>
      <c r="K69" s="157">
        <f t="shared" ca="1" si="4"/>
        <v>103.2648116494675</v>
      </c>
      <c r="L69" s="157">
        <f ca="1">1.2*SQRT(N69*G69/(0.5*F69*SRef*RADIANS(alpha_max_voil)*Czalpha_voil))</f>
        <v>136.02899279817001</v>
      </c>
      <c r="M69" s="134">
        <f t="shared" ca="1" si="5"/>
        <v>136.02899279817001</v>
      </c>
      <c r="N69" s="157">
        <f ca="1">N68-U69</f>
        <v>14882.707047347754</v>
      </c>
      <c r="O69" s="157">
        <f ca="1">N69*G69/((0.5*F69*SRef*M69^2))</f>
        <v>0.55879305067419982</v>
      </c>
      <c r="P69" s="157">
        <f ca="1">INDEX(Aerodynamique!$T$6:$T$546,MATCH(O69,Aerodynamique!$Y$6:$Y$546,1))</f>
        <v>2.7000000000000064</v>
      </c>
      <c r="Q69" s="220">
        <f ca="1">(0.5*SRef*F69*M69^2)*INDEX(Aerodynamique!$Z$6:$Z$546,MATCH(O69,Aerodynamique!$Y$6:$Y$546,1))</f>
        <v>4303.9268897487127</v>
      </c>
      <c r="R69" s="219">
        <f t="shared" ca="1" si="10"/>
        <v>4130.0969063225648</v>
      </c>
      <c r="S69" s="157">
        <f ca="1">R69*M69/(N69*G69)-F69*SRef*Cx0_avion*(M69^3)/(2*N69*G69)-2*(N69*G69)/(F69*SRef*PI()*all_voil*M69)</f>
        <v>0.27152693833584118</v>
      </c>
      <c r="T69" s="157">
        <f ca="1">(E69-E68)/S68</f>
        <v>629.61175487844378</v>
      </c>
      <c r="U69" s="157">
        <f ca="1">I68*R68*T69/(3600*10)</f>
        <v>135.08482721099008</v>
      </c>
      <c r="W69"/>
      <c r="X69"/>
      <c r="Y69"/>
      <c r="Z69"/>
      <c r="AA69"/>
      <c r="AB69"/>
      <c r="AC69"/>
      <c r="AD69"/>
      <c r="AE69" s="168"/>
      <c r="AG69" s="157">
        <f ca="1">$N$9+(($N$70-$N$9)/($E$70-$E$9))*(AI69-$E$9)</f>
        <v>14734.367697232898</v>
      </c>
      <c r="AI69" s="165">
        <f t="shared" si="6"/>
        <v>15000</v>
      </c>
      <c r="AJ69" s="157">
        <v>-44.080029480130626</v>
      </c>
      <c r="AK69" s="157">
        <v>-8.3657431582764961</v>
      </c>
      <c r="AL69" s="157">
        <v>-5.2001655876925472</v>
      </c>
      <c r="AM69" s="157">
        <v>-3.5198892219840818</v>
      </c>
      <c r="AN69" s="157">
        <v>-2.443814945740892</v>
      </c>
      <c r="AO69" s="157">
        <v>-1.6798544012236674</v>
      </c>
      <c r="AP69" s="157">
        <v>-1.1042030253997146</v>
      </c>
      <c r="AQ69" s="157">
        <v>-0.65615808563527622</v>
      </c>
      <c r="AR69" s="157">
        <v>-0.30305782825109673</v>
      </c>
      <c r="AS69" s="157">
        <v>-2.6256965100541763E-2</v>
      </c>
      <c r="AT69" s="157">
        <v>0.18524825615987117</v>
      </c>
      <c r="AU69" s="157">
        <v>0.33800764698544472</v>
      </c>
      <c r="AV69" s="157">
        <v>0.43583358493647939</v>
      </c>
      <c r="AW69" s="157">
        <v>0.48078196436160625</v>
      </c>
      <c r="AX69" s="157">
        <v>0.47374083601275285</v>
      </c>
      <c r="AY69" s="157">
        <v>0.41479835532208353</v>
      </c>
      <c r="AZ69" s="157">
        <v>0.30348089394274069</v>
      </c>
      <c r="BA69" s="157">
        <v>0.13891178645828695</v>
      </c>
      <c r="BB69" s="157">
        <v>-8.0080069960176803E-2</v>
      </c>
      <c r="BC69" s="157">
        <v>-0.35488423494882737</v>
      </c>
      <c r="BD69" s="157">
        <v>-0.68705451520751482</v>
      </c>
      <c r="BE69" s="157">
        <v>-1.0782696244452143</v>
      </c>
      <c r="BF69" s="157">
        <v>-1.530304214148497</v>
      </c>
      <c r="BG69" s="157">
        <v>-2.0450072774365982</v>
      </c>
      <c r="BH69" s="157">
        <v>-2.6242858885926457</v>
      </c>
      <c r="BI69" s="157">
        <v>-3.2700928682882324</v>
      </c>
      <c r="BJ69" s="157">
        <v>-3.9844173822531284</v>
      </c>
      <c r="BK69" s="157">
        <v>-4.7692777639937534</v>
      </c>
      <c r="BL69" s="157">
        <v>-5.6267160465801398</v>
      </c>
      <c r="BM69" s="157">
        <v>-6.5587938239347618</v>
      </c>
      <c r="BN69" s="157">
        <v>-7.5675891574811693</v>
      </c>
      <c r="BO69" s="157">
        <v>-8.6551943119487174</v>
      </c>
      <c r="BQ69" s="157">
        <f t="shared" si="7"/>
        <v>0.48078196436160625</v>
      </c>
    </row>
    <row r="70" spans="5:69">
      <c r="E70" s="189">
        <f t="shared" si="8"/>
        <v>15250</v>
      </c>
      <c r="F70" s="213">
        <v>0.18621367979243877</v>
      </c>
      <c r="G70" s="213">
        <v>9.7597661084610312</v>
      </c>
      <c r="H70" s="213">
        <v>295.04231899847855</v>
      </c>
      <c r="I70" s="213">
        <f t="shared" ca="1" si="9"/>
        <v>1.7961953685847369</v>
      </c>
      <c r="J70" s="213">
        <f t="shared" ca="1" si="3"/>
        <v>0.35000000000000003</v>
      </c>
      <c r="K70" s="157">
        <f t="shared" ca="1" si="4"/>
        <v>103.2648116494675</v>
      </c>
      <c r="L70" s="213">
        <f ca="1">1.2*SQRT(N70*G70/(0.5*F70*SRef*RADIANS(alpha_max_voil)*Czalpha_voil))</f>
        <v>137.84530234260149</v>
      </c>
      <c r="M70" s="213">
        <f t="shared" ca="1" si="5"/>
        <v>137.84530234260149</v>
      </c>
      <c r="N70" s="213">
        <f ca="1">N69-U70</f>
        <v>14693.187260897283</v>
      </c>
      <c r="O70" s="213">
        <f ca="1">N70*G70/((0.5*F70*SRef*M70^2))</f>
        <v>0.55879305067419982</v>
      </c>
      <c r="P70" s="157">
        <f ca="1">INDEX(Aerodynamique!$T$6:$T$546,MATCH(O70,Aerodynamique!$Y$6:$Y$546,1))</f>
        <v>2.7000000000000064</v>
      </c>
      <c r="Q70" s="220">
        <f ca="1">(0.5*SRef*F70*M70^2)*INDEX(Aerodynamique!$Z$6:$Z$546,MATCH(O70,Aerodynamique!$Y$6:$Y$546,1))</f>
        <v>4248.7862891448904</v>
      </c>
      <c r="R70" s="219">
        <f t="shared" ca="1" si="10"/>
        <v>3957.943494087252</v>
      </c>
      <c r="S70" s="213">
        <f ca="1">R70*M70/(N70*G70)-F70*SRef*Cx0_avion*(M70^3)/(2*N70*G70)-2*(N70*G70)/(F70*SRef*PI()*all_voil*M70)</f>
        <v>0.16053309197308707</v>
      </c>
      <c r="T70" s="213">
        <f ca="1">(E70-E69)/S69</f>
        <v>920.71895898146454</v>
      </c>
      <c r="U70" s="213">
        <f ca="1">I69*R69*T70/(3600*10)</f>
        <v>189.51978645047166</v>
      </c>
      <c r="W70"/>
      <c r="X70"/>
      <c r="Y70"/>
      <c r="Z70"/>
      <c r="AA70"/>
      <c r="AB70"/>
      <c r="AC70"/>
      <c r="AD70"/>
      <c r="AE70" s="168"/>
      <c r="AG70" s="157">
        <f ca="1">$N$9+(($N$70-$N$9)/($E$70-$E$9))*(AI70-$E$9)</f>
        <v>14693.187260897283</v>
      </c>
      <c r="AI70" s="214">
        <f t="shared" si="6"/>
        <v>15250</v>
      </c>
      <c r="AJ70" s="213">
        <v>-45.728073599900647</v>
      </c>
      <c r="AK70" s="213">
        <v>-8.7128870914815746</v>
      </c>
      <c r="AL70" s="213">
        <v>-5.4462959401139948</v>
      </c>
      <c r="AM70" s="213">
        <v>-3.7193424696318083</v>
      </c>
      <c r="AN70" s="213">
        <v>-2.6179548751696702</v>
      </c>
      <c r="AO70" s="213">
        <v>-1.8389963262159348</v>
      </c>
      <c r="AP70" s="213">
        <v>-1.2538780432171532</v>
      </c>
      <c r="AQ70" s="213">
        <v>-0.79946235186409553</v>
      </c>
      <c r="AR70" s="213">
        <v>-0.44169684550010335</v>
      </c>
      <c r="AS70" s="213">
        <v>-0.1610678839676416</v>
      </c>
      <c r="AT70" s="213">
        <v>5.4011597398586186E-2</v>
      </c>
      <c r="AU70" s="213">
        <v>0.21050830826359057</v>
      </c>
      <c r="AV70" s="213">
        <v>0.31254898132505438</v>
      </c>
      <c r="AW70" s="213">
        <v>0.36243781724850344</v>
      </c>
      <c r="AX70" s="213">
        <v>0.36126701813981121</v>
      </c>
      <c r="AY70" s="213">
        <v>0.30929841759473775</v>
      </c>
      <c r="AZ70" s="213">
        <v>0.2062104440864001</v>
      </c>
      <c r="BA70" s="157">
        <v>5.1262768684703808E-2</v>
      </c>
      <c r="BB70" s="157">
        <v>-0.15659105711069166</v>
      </c>
      <c r="BC70" s="157">
        <v>-0.41862479251815365</v>
      </c>
      <c r="BD70" s="157">
        <v>-0.73628327513630587</v>
      </c>
      <c r="BE70" s="157">
        <v>-1.1111416065953033</v>
      </c>
      <c r="BF70" s="157">
        <v>-1.5448750894182846</v>
      </c>
      <c r="BG70" s="157">
        <v>-2.0392368053561074</v>
      </c>
      <c r="BH70" s="157">
        <v>-2.5960407215836563</v>
      </c>
      <c r="BI70" s="157">
        <v>-3.2171488619995272</v>
      </c>
      <c r="BJ70" s="157">
        <v>-3.9044615142440491</v>
      </c>
      <c r="BK70" s="157">
        <v>-4.6599097365383173</v>
      </c>
      <c r="BL70" s="157">
        <v>-5.4854496302232114</v>
      </c>
      <c r="BM70" s="157">
        <v>-6.3830579844699331</v>
      </c>
      <c r="BN70" s="157">
        <v>-7.354728998759497</v>
      </c>
      <c r="BO70" s="157">
        <v>-8.4024718593526444</v>
      </c>
      <c r="BQ70" s="157">
        <f t="shared" si="7"/>
        <v>0.36243781724850344</v>
      </c>
    </row>
    <row r="71" spans="5:69">
      <c r="E71" s="165">
        <f t="shared" si="8"/>
        <v>15500</v>
      </c>
      <c r="F71" s="157">
        <v>0.17901548856926977</v>
      </c>
      <c r="G71" s="157">
        <v>9.7590003232083138</v>
      </c>
      <c r="H71" s="157">
        <v>295.04231899847855</v>
      </c>
      <c r="I71" s="157">
        <f t="shared" ca="1" si="9"/>
        <v>1.8185208975305716</v>
      </c>
      <c r="J71" s="157">
        <f t="shared" ca="1" si="3"/>
        <v>0.37500000000000006</v>
      </c>
      <c r="K71" s="157">
        <f t="shared" ca="1" si="4"/>
        <v>110.64086962442947</v>
      </c>
      <c r="L71" s="157">
        <f ca="1">1.2*SQRT(N71*G71/(0.5*F71*SRef*RADIANS(alpha_max_voil)*Czalpha_voil))</f>
        <v>139.10481860257289</v>
      </c>
      <c r="M71" s="134">
        <f t="shared" ca="1" si="5"/>
        <v>139.10481860257289</v>
      </c>
      <c r="N71" s="157">
        <f ca="1">N70-U71</f>
        <v>14385.651163258945</v>
      </c>
      <c r="O71" s="157">
        <f ca="1">N71*G71/((0.5*F71*SRef*M71^2))</f>
        <v>0.55879305067419993</v>
      </c>
      <c r="P71" s="157">
        <f ca="1">INDEX(Aerodynamique!$T$6:$T$546,MATCH(O71,Aerodynamique!$Y$6:$Y$546,1))</f>
        <v>2.7000000000000064</v>
      </c>
      <c r="Q71" s="220">
        <f ca="1">(0.5*SRef*F71*M71^2)*INDEX(Aerodynamique!$Z$6:$Z$546,MATCH(O71,Aerodynamique!$Y$6:$Y$546,1))</f>
        <v>4159.5305720479537</v>
      </c>
      <c r="R71" s="219">
        <f t="shared" ca="1" si="10"/>
        <v>3792.9658934651984</v>
      </c>
      <c r="S71" s="157">
        <f ca="1">R71*M71/(N71*G71)-F71*SRef*Cx0_avion*(M71^3)/(2*N71*G71)-2*(N71*G71)/(F71*SRef*PI()*all_voil*M71)</f>
        <v>8.0917063807913636E-2</v>
      </c>
      <c r="T71" s="157">
        <f ca="1">(E71-E70)/S70</f>
        <v>1557.3113115015053</v>
      </c>
      <c r="U71" s="157">
        <f ca="1">I70*R70*T71/(3600*10)</f>
        <v>307.53609763833759</v>
      </c>
      <c r="W71"/>
      <c r="X71"/>
      <c r="Y71"/>
      <c r="Z71"/>
      <c r="AA71"/>
      <c r="AB71"/>
      <c r="AC71"/>
      <c r="AD71"/>
      <c r="AE71" s="168"/>
      <c r="AG71" s="157">
        <f ca="1">$N$9+(($N$70-$N$9)/($E$70-$E$9))*(AI71-$E$9)</f>
        <v>14652.006824561668</v>
      </c>
      <c r="AI71" s="165">
        <f t="shared" si="6"/>
        <v>15500</v>
      </c>
      <c r="AJ71" s="157">
        <v>-47.436800793924689</v>
      </c>
      <c r="AK71" s="157">
        <v>-9.0714815151523425</v>
      </c>
      <c r="AL71" s="157">
        <v>-5.6994840343211894</v>
      </c>
      <c r="AM71" s="157">
        <v>-3.9235060535644415</v>
      </c>
      <c r="AN71" s="157">
        <v>-2.7952896036635084</v>
      </c>
      <c r="AO71" s="157">
        <v>-2.0002469579780859</v>
      </c>
      <c r="AP71" s="157">
        <v>-1.4048344184892974</v>
      </c>
      <c r="AQ71" s="157">
        <v>-0.94339555580661139</v>
      </c>
      <c r="AR71" s="157">
        <v>-0.58044210750531544</v>
      </c>
      <c r="AS71" s="157">
        <v>-0.29556617780896954</v>
      </c>
      <c r="AT71" s="157">
        <v>-7.6582007151521969E-2</v>
      </c>
      <c r="AU71" s="157">
        <v>8.3903263166358988E-2</v>
      </c>
      <c r="AV71" s="157">
        <v>0.19033620367268411</v>
      </c>
      <c r="AW71" s="157">
        <v>0.24527238668895945</v>
      </c>
      <c r="AX71" s="157">
        <v>0.25000962423226536</v>
      </c>
      <c r="AY71" s="157">
        <v>0.20498378651875737</v>
      </c>
      <c r="AZ71" s="157">
        <v>0.11002494509216065</v>
      </c>
      <c r="BA71" s="157">
        <v>-3.5471859841956777E-2</v>
      </c>
      <c r="BB71" s="157">
        <v>-0.23242979386077756</v>
      </c>
      <c r="BC71" s="157">
        <v>-0.48200848660193907</v>
      </c>
      <c r="BD71" s="157">
        <v>-0.78554570219543929</v>
      </c>
      <c r="BE71" s="157">
        <v>-1.144514996469556</v>
      </c>
      <c r="BF71" s="157">
        <v>-1.5604945200452329</v>
      </c>
      <c r="BG71" s="157">
        <v>-2.0351437414544744</v>
      </c>
      <c r="BH71" s="157">
        <v>-2.5701858976650724</v>
      </c>
      <c r="BI71" s="157">
        <v>-3.1673946545370679</v>
      </c>
      <c r="BJ71" s="157">
        <v>-3.8285839093232772</v>
      </c>
      <c r="BK71" s="157">
        <v>-4.5555999718388023</v>
      </c>
      <c r="BL71" s="157">
        <v>-5.3503155703287604</v>
      </c>
      <c r="BM71" s="157">
        <v>-6.2146252740208396</v>
      </c>
      <c r="BN71" s="157">
        <v>-7.1504420273077454</v>
      </c>
      <c r="BO71" s="157">
        <v>-8.1596945639076779</v>
      </c>
      <c r="BQ71" s="157">
        <f t="shared" si="7"/>
        <v>0.25000962423226536</v>
      </c>
    </row>
    <row r="72" spans="5:69">
      <c r="E72" s="165">
        <f t="shared" si="8"/>
        <v>15750</v>
      </c>
      <c r="F72" s="157">
        <v>0.17209554734869484</v>
      </c>
      <c r="G72" s="157">
        <v>9.7582346280813272</v>
      </c>
      <c r="H72" s="157">
        <v>295.04231899847855</v>
      </c>
      <c r="I72" s="157">
        <f t="shared" ca="1" si="9"/>
        <v>1.8205208975305713</v>
      </c>
      <c r="J72" s="157">
        <f t="shared" ca="1" si="3"/>
        <v>0.37500000000000006</v>
      </c>
      <c r="K72" s="157">
        <f t="shared" ca="1" si="4"/>
        <v>110.64086962442947</v>
      </c>
      <c r="L72" s="157">
        <f ca="1">1.2*SQRT(N72*G72/(0.5*F72*SRef*RADIANS(alpha_max_voil)*Czalpha_voil))</f>
        <v>138.91881216639877</v>
      </c>
      <c r="M72" s="134">
        <f t="shared" ca="1" si="5"/>
        <v>138.91881216639877</v>
      </c>
      <c r="N72" s="157">
        <f ca="1">N71-U72</f>
        <v>13793.688076449713</v>
      </c>
      <c r="O72" s="157">
        <f ca="1">N72*G72/((0.5*F72*SRef*M72^2))</f>
        <v>0.55879305067419982</v>
      </c>
      <c r="P72" s="157">
        <f ca="1">INDEX(Aerodynamique!$T$6:$T$546,MATCH(O72,Aerodynamique!$Y$6:$Y$546,1))</f>
        <v>2.7000000000000064</v>
      </c>
      <c r="Q72" s="220">
        <f ca="1">(0.5*SRef*F72*M72^2)*INDEX(Aerodynamique!$Z$6:$Z$546,MATCH(O72,Aerodynamique!$Y$6:$Y$546,1))</f>
        <v>3988.0548275111219</v>
      </c>
      <c r="R72" s="219">
        <f t="shared" ca="1" si="10"/>
        <v>3634.8649975630733</v>
      </c>
      <c r="S72" s="157">
        <f ca="1">R72*M72/(N72*G72)-F72*SRef*Cx0_avion*(M72^3)/(2*N72*G72)-2*(N72*G72)/(F72*SRef*PI()*all_voil*M72)</f>
        <v>7.9016466487038417E-2</v>
      </c>
      <c r="T72" s="157">
        <f ca="1">(E72-E71)/S71</f>
        <v>3089.583188454129</v>
      </c>
      <c r="U72" s="157">
        <f ca="1">I71*R71*T72/(3600*10)</f>
        <v>591.96308680923119</v>
      </c>
      <c r="W72"/>
      <c r="X72"/>
      <c r="Y72"/>
      <c r="Z72"/>
      <c r="AA72"/>
      <c r="AB72"/>
      <c r="AC72"/>
      <c r="AD72"/>
      <c r="AE72" s="168"/>
      <c r="AG72" s="157">
        <f ca="1">$N$9+(($N$70-$N$9)/($E$70-$E$9))*(AI72-$E$9)</f>
        <v>14610.826388226054</v>
      </c>
      <c r="AI72" s="165">
        <f t="shared" si="6"/>
        <v>15750</v>
      </c>
      <c r="AJ72" s="157">
        <v>-49.208451020230108</v>
      </c>
      <c r="AK72" s="157">
        <v>-9.4420013756885979</v>
      </c>
      <c r="AL72" s="157">
        <v>-5.9600691512026387</v>
      </c>
      <c r="AM72" s="157">
        <v>-4.1326573976912231</v>
      </c>
      <c r="AN72" s="157">
        <v>-2.9760637100890128</v>
      </c>
      <c r="AO72" s="157">
        <v>-2.1638320354516125</v>
      </c>
      <c r="AP72" s="157">
        <v>-1.5572865601940296</v>
      </c>
      <c r="AQ72" s="157">
        <v>-1.0881649834307132</v>
      </c>
      <c r="AR72" s="157">
        <v>-0.71949610015863752</v>
      </c>
      <c r="AS72" s="157">
        <v>-0.42995068108946843</v>
      </c>
      <c r="AT72" s="157">
        <v>-0.2067281022481231</v>
      </c>
      <c r="AU72" s="157">
        <v>-4.1999544320913795E-2</v>
      </c>
      <c r="AV72" s="157">
        <v>6.9007305108541361E-2</v>
      </c>
      <c r="AW72" s="157">
        <v>0.12910278691687505</v>
      </c>
      <c r="AX72" s="157">
        <v>0.13979205309168097</v>
      </c>
      <c r="AY72" s="157">
        <v>0.10168559895933349</v>
      </c>
      <c r="AZ72" s="157">
        <v>1.4764925975347065E-2</v>
      </c>
      <c r="BA72" s="157">
        <v>-0.12144034470431553</v>
      </c>
      <c r="BB72" s="157">
        <v>-0.30773130391224446</v>
      </c>
      <c r="BC72" s="157">
        <v>-0.54515497141127001</v>
      </c>
      <c r="BD72" s="157">
        <v>-0.8349437917112047</v>
      </c>
      <c r="BE72" s="157">
        <v>-1.1784717066741386</v>
      </c>
      <c r="BF72" s="157">
        <v>-1.5772217834939186</v>
      </c>
      <c r="BG72" s="157">
        <v>-2.0327620517785725</v>
      </c>
      <c r="BH72" s="157">
        <v>-2.5467272752036716</v>
      </c>
      <c r="BI72" s="157">
        <v>-3.120805083533019</v>
      </c>
      <c r="BJ72" s="157">
        <v>-3.7567253571998696</v>
      </c>
      <c r="BK72" s="157">
        <v>-4.4562520725832924</v>
      </c>
      <c r="BL72" s="157">
        <v>-5.2211770334239462</v>
      </c>
      <c r="BM72" s="157">
        <v>-6.0533150653389924</v>
      </c>
      <c r="BN72" s="157">
        <v>-6.9545003573232025</v>
      </c>
      <c r="BO72" s="157">
        <v>-7.926583710402018</v>
      </c>
      <c r="BQ72" s="157">
        <f t="shared" si="7"/>
        <v>0.13979205309168097</v>
      </c>
    </row>
    <row r="73" spans="5:69">
      <c r="E73" s="165">
        <f t="shared" si="8"/>
        <v>16000</v>
      </c>
      <c r="F73" s="157">
        <v>0.16544310022530068</v>
      </c>
      <c r="G73" s="157">
        <v>9.7574690230659336</v>
      </c>
      <c r="H73" s="157">
        <v>295.04231899847855</v>
      </c>
      <c r="I73" s="157">
        <f t="shared" ref="I73:I84" ca="1" si="11">N*(Cs+4*10^-6*E73+0.4*J73*e^(-0.1*J73))</f>
        <v>1.8225208975305716</v>
      </c>
      <c r="J73" s="157">
        <f t="shared" ca="1" si="3"/>
        <v>0.37500000000000006</v>
      </c>
      <c r="K73" s="157">
        <f t="shared" ca="1" si="4"/>
        <v>110.64086962442947</v>
      </c>
      <c r="L73" s="157">
        <f ca="1">1.2*SQRT(N73*G73/(0.5*F73*SRef*RADIANS(alpha_max_voil)*Czalpha_voil))</f>
        <v>138.65977546658837</v>
      </c>
      <c r="M73" s="134">
        <f t="shared" ca="1" si="5"/>
        <v>138.65977546658837</v>
      </c>
      <c r="N73" s="157">
        <f ca="1">N72-U73</f>
        <v>13212.115583647825</v>
      </c>
      <c r="O73" s="157">
        <f ca="1">N73*G73/((0.5*F73*SRef*M73^2))</f>
        <v>0.5587930506741996</v>
      </c>
      <c r="P73" s="157">
        <f ca="1">INDEX(Aerodynamique!$T$6:$T$546,MATCH(O73,Aerodynamique!$Y$6:$Y$546,1))</f>
        <v>2.7000000000000064</v>
      </c>
      <c r="Q73" s="220">
        <f ca="1">(0.5*SRef*F73*M73^2)*INDEX(Aerodynamique!$Z$6:$Z$546,MATCH(O73,Aerodynamique!$Y$6:$Y$546,1))</f>
        <v>3819.6098879473889</v>
      </c>
      <c r="R73" s="219">
        <f t="shared" ref="R73:R84" ca="1" si="12">N*F0*(F73/1.225)^1.08*(1-M_montee_maximale+0.5*M_montee_maximale^2)^0.45</f>
        <v>3483.354167057561</v>
      </c>
      <c r="S73" s="157">
        <f ca="1">R73*M73/(N73*G73)-F73*SRef*Cx0_avion*(M73^3)/(2*N73*G73)-2*(N73*G73)/(F73*SRef*PI()*all_voil*M73)</f>
        <v>8.1037810789758025E-2</v>
      </c>
      <c r="T73" s="157">
        <f ca="1">(E73-E72)/S72</f>
        <v>3163.8974901643965</v>
      </c>
      <c r="U73" s="157">
        <f ca="1">I72*R72*T73/(3600*10)</f>
        <v>581.57249280188807</v>
      </c>
      <c r="W73"/>
      <c r="X73"/>
      <c r="Y73"/>
      <c r="Z73"/>
      <c r="AA73"/>
      <c r="AB73"/>
      <c r="AC73"/>
      <c r="AD73"/>
      <c r="AE73" s="168"/>
      <c r="AG73" s="157">
        <f ca="1">$N$9+(($N$70-$N$9)/($E$70-$E$9))*(AI73-$E$9)</f>
        <v>14569.645951890439</v>
      </c>
      <c r="AI73" s="165">
        <f t="shared" si="6"/>
        <v>16000</v>
      </c>
      <c r="AJ73" s="157">
        <v>-51.045345367103337</v>
      </c>
      <c r="AK73" s="157">
        <v>-9.8249367829420784</v>
      </c>
      <c r="AL73" s="157">
        <v>-6.2283997868270777</v>
      </c>
      <c r="AM73" s="157">
        <v>-4.3470799298579159</v>
      </c>
      <c r="AN73" s="157">
        <v>-3.1605256799697101</v>
      </c>
      <c r="AO73" s="157">
        <v>-2.3299796826000598</v>
      </c>
      <c r="AP73" s="157">
        <v>-1.7114500879370345</v>
      </c>
      <c r="AQ73" s="157">
        <v>-1.2339781919817812</v>
      </c>
      <c r="AR73" s="157">
        <v>-0.85906081576403892</v>
      </c>
      <c r="AS73" s="157">
        <v>-0.56441910955592944</v>
      </c>
      <c r="AT73" s="157">
        <v>-0.33662060785489101</v>
      </c>
      <c r="AU73" s="157">
        <v>-0.16739014591490631</v>
      </c>
      <c r="AV73" s="157">
        <v>-5.1623336562531597E-2</v>
      </c>
      <c r="AW73" s="157">
        <v>1.3748662308446846E-2</v>
      </c>
      <c r="AX73" s="157">
        <v>3.0440346286610076E-2</v>
      </c>
      <c r="AY73" s="157">
        <v>-7.6234506786998502E-4</v>
      </c>
      <c r="AZ73" s="157">
        <v>-7.9726493385051E-2</v>
      </c>
      <c r="BA73" s="157">
        <v>-0.206788506744914</v>
      </c>
      <c r="BB73" s="157">
        <v>-0.38262844789105932</v>
      </c>
      <c r="BC73" s="157">
        <v>-0.60818209738758067</v>
      </c>
      <c r="BD73" s="157">
        <v>-0.88457819458734011</v>
      </c>
      <c r="BE73" s="157">
        <v>-1.2130928674048922</v>
      </c>
      <c r="BF73" s="157">
        <v>-1.5951160422921773</v>
      </c>
      <c r="BG73" s="157">
        <v>-2.0321263633020803</v>
      </c>
      <c r="BH73" s="157">
        <v>-2.5256722607778306</v>
      </c>
      <c r="BI73" s="157">
        <v>-3.0773575366485533</v>
      </c>
      <c r="BJ73" s="157">
        <v>-3.6888303171364631</v>
      </c>
      <c r="BK73" s="157">
        <v>-4.361774551469928</v>
      </c>
      <c r="BL73" s="157">
        <v>-5.0979034606996256</v>
      </c>
      <c r="BM73" s="157">
        <v>-5.8989544979890844</v>
      </c>
      <c r="BN73" s="157">
        <v>-6.7666854927883451</v>
      </c>
      <c r="BO73" s="157">
        <v>-7.7028717305547589</v>
      </c>
      <c r="BQ73" s="157">
        <f t="shared" si="7"/>
        <v>3.0440346286610076E-2</v>
      </c>
    </row>
    <row r="74" spans="5:69">
      <c r="E74" s="165">
        <f t="shared" si="8"/>
        <v>16250</v>
      </c>
      <c r="F74" s="157">
        <v>0.15904780706905644</v>
      </c>
      <c r="G74" s="157">
        <v>9.7567035081479894</v>
      </c>
      <c r="H74" s="157">
        <v>295.04231899847855</v>
      </c>
      <c r="I74" s="157">
        <f t="shared" ca="1" si="11"/>
        <v>1.8245208975305713</v>
      </c>
      <c r="J74" s="157">
        <f t="shared" ref="J74:J84" ca="1" si="13">INDIRECT(ADDRESS(ROW($AJ$8),COLUMN($AJ$8)-1+MATCH(MAX(AJ74:BO74),AJ74:BO74,0)))</f>
        <v>0.37500000000000006</v>
      </c>
      <c r="K74" s="157">
        <f t="shared" ref="K74:K84" ca="1" si="14">J74*H74</f>
        <v>110.64086962442947</v>
      </c>
      <c r="L74" s="157">
        <f ca="1">1.2*SQRT(N74*G74/(0.5*F74*SRef*RADIANS(alpha_max_voil)*Czalpha_voil))</f>
        <v>138.47243116208523</v>
      </c>
      <c r="M74" s="134">
        <f t="shared" ref="M74:M84" ca="1" si="15">IF((J74*H74)&lt;L74,L74,(J74*H74))</f>
        <v>138.47243116208523</v>
      </c>
      <c r="N74" s="157">
        <f ca="1">N73-U74</f>
        <v>12668.089205620197</v>
      </c>
      <c r="O74" s="157">
        <f ca="1">N74*G74/((0.5*F74*SRef*M74^2))</f>
        <v>0.55879305067419971</v>
      </c>
      <c r="P74" s="157">
        <f ca="1">INDEX(Aerodynamique!$T$6:$T$546,MATCH(O74,Aerodynamique!$Y$6:$Y$546,1))</f>
        <v>2.7000000000000064</v>
      </c>
      <c r="Q74" s="220">
        <f ca="1">(0.5*SRef*F74*M74^2)*INDEX(Aerodynamique!$Z$6:$Z$546,MATCH(O74,Aerodynamique!$Y$6:$Y$546,1))</f>
        <v>3662.0450605803994</v>
      </c>
      <c r="R74" s="219">
        <f t="shared" ca="1" si="12"/>
        <v>3338.1587105139029</v>
      </c>
      <c r="S74" s="157">
        <f ca="1">R74*M74/(N74*G74)-F74*SRef*Cx0_avion*(M74^3)/(2*N74*G74)-2*(N74*G74)/(F74*SRef*PI()*all_voil*M74)</f>
        <v>7.9245909647780666E-2</v>
      </c>
      <c r="T74" s="157">
        <f ca="1">(E74-E73)/S73</f>
        <v>3084.9796849595582</v>
      </c>
      <c r="U74" s="157">
        <f ca="1">I73*R73*T74/(3600*10)</f>
        <v>544.02637802762808</v>
      </c>
      <c r="W74"/>
      <c r="X74"/>
      <c r="Y74"/>
      <c r="Z74"/>
      <c r="AA74"/>
      <c r="AB74"/>
      <c r="AC74"/>
      <c r="AD74"/>
      <c r="AE74" s="168"/>
      <c r="AG74" s="157">
        <f ca="1">$N$9+(($N$70-$N$9)/($E$70-$E$9))*(AI74-$E$9)</f>
        <v>14528.465515554824</v>
      </c>
      <c r="AI74" s="165">
        <f t="shared" ref="AI74:AI83" si="16">AI73+$AI$5</f>
        <v>16250</v>
      </c>
      <c r="AJ74" s="157">
        <v>-52.949888993797806</v>
      </c>
      <c r="AK74" s="157">
        <v>-10.220793640374193</v>
      </c>
      <c r="AL74" s="157">
        <v>-6.5048341079221332</v>
      </c>
      <c r="AM74" s="157">
        <v>-4.5670634594171107</v>
      </c>
      <c r="AN74" s="157">
        <v>-3.3489282431356013</v>
      </c>
      <c r="AO74" s="157">
        <v>-2.4989207244329825</v>
      </c>
      <c r="AP74" s="157">
        <v>-1.8675421361220497</v>
      </c>
      <c r="AQ74" s="157">
        <v>-1.3810433077366842</v>
      </c>
      <c r="AR74" s="157">
        <v>-0.99933804734049581</v>
      </c>
      <c r="AS74" s="157">
        <v>-0.69916835251320442</v>
      </c>
      <c r="AT74" s="157">
        <v>-0.46645210978289176</v>
      </c>
      <c r="AU74" s="157">
        <v>-0.29245683769723674</v>
      </c>
      <c r="AV74" s="157">
        <v>-0.17173930464835663</v>
      </c>
      <c r="AW74" s="157">
        <v>-0.10096809420092812</v>
      </c>
      <c r="AX74" s="157">
        <v>-7.8217087539023566E-2</v>
      </c>
      <c r="AY74" s="157">
        <v>-0.10252385020959021</v>
      </c>
      <c r="AZ74" s="157">
        <v>-0.17360385993098304</v>
      </c>
      <c r="BA74" s="157">
        <v>-0.29165998713902774</v>
      </c>
      <c r="BB74" s="157">
        <v>-0.45725215311187717</v>
      </c>
      <c r="BC74" s="157">
        <v>-0.6712061227654722</v>
      </c>
      <c r="BD74" s="157">
        <v>-0.93454840758818514</v>
      </c>
      <c r="BE74" s="157">
        <v>-1.248458992198076</v>
      </c>
      <c r="BF74" s="157">
        <v>-1.6142364818297534</v>
      </c>
      <c r="BG74" s="157">
        <v>-2.0332720701917704</v>
      </c>
      <c r="BH74" s="157">
        <v>-2.5070298801757036</v>
      </c>
      <c r="BI74" s="157">
        <v>-3.0370319834171355</v>
      </c>
      <c r="BJ74" s="157">
        <v>-3.6248469066033291</v>
      </c>
      <c r="BK74" s="157">
        <v>-4.2720807724929202</v>
      </c>
      <c r="BL74" s="157">
        <v>-4.9803704576076164</v>
      </c>
      <c r="BM74" s="157">
        <v>-5.7513783117968718</v>
      </c>
      <c r="BN74" s="157">
        <v>-6.5867881001707493</v>
      </c>
      <c r="BO74" s="157">
        <v>-7.4883019102326633</v>
      </c>
      <c r="BQ74" s="157">
        <f t="shared" ref="BQ74:BQ83" si="17">MAX(AJ74:BO74)</f>
        <v>-7.8217087539023566E-2</v>
      </c>
    </row>
    <row r="75" spans="5:69">
      <c r="E75" s="165">
        <f t="shared" ref="E75:E84" si="18">E74+$E$6</f>
        <v>16500</v>
      </c>
      <c r="F75" s="157">
        <v>0.15289972745328997</v>
      </c>
      <c r="G75" s="157">
        <v>9.755938083313362</v>
      </c>
      <c r="H75" s="157">
        <v>295.04231899847855</v>
      </c>
      <c r="I75" s="157">
        <f t="shared" ca="1" si="11"/>
        <v>1.8265208975305716</v>
      </c>
      <c r="J75" s="157">
        <f t="shared" ca="1" si="13"/>
        <v>0.37500000000000006</v>
      </c>
      <c r="K75" s="157">
        <f t="shared" ca="1" si="14"/>
        <v>110.64086962442947</v>
      </c>
      <c r="L75" s="157">
        <f ca="1">1.2*SQRT(N75*G75/(0.5*F75*SRef*RADIANS(alpha_max_voil)*Czalpha_voil))</f>
        <v>138.21645445012555</v>
      </c>
      <c r="M75" s="134">
        <f t="shared" ca="1" si="15"/>
        <v>138.21645445012555</v>
      </c>
      <c r="N75" s="157">
        <f ca="1">N74-U75</f>
        <v>12134.365520413556</v>
      </c>
      <c r="O75" s="157">
        <f ca="1">N75*G75/((0.5*F75*SRef*M75^2))</f>
        <v>0.55879305067419971</v>
      </c>
      <c r="P75" s="157">
        <f ca="1">INDEX(Aerodynamique!$T$6:$T$546,MATCH(O75,Aerodynamique!$Y$6:$Y$546,1))</f>
        <v>2.7000000000000064</v>
      </c>
      <c r="Q75" s="220">
        <f ca="1">(0.5*SRef*F75*M75^2)*INDEX(Aerodynamique!$Z$6:$Z$546,MATCH(O75,Aerodynamique!$Y$6:$Y$546,1))</f>
        <v>3507.482974995618</v>
      </c>
      <c r="R75" s="219">
        <f t="shared" ca="1" si="12"/>
        <v>3199.0153863661708</v>
      </c>
      <c r="S75" s="157">
        <f ca="1">R75*M75/(N75*G75)-F75*SRef*Cx0_avion*(M75^3)/(2*N75*G75)-2*(N75*G75)/(F75*SRef*PI()*all_voil*M75)</f>
        <v>8.1141049798794773E-2</v>
      </c>
      <c r="T75" s="157">
        <f ca="1">(E75-E74)/S74</f>
        <v>3154.7369588053107</v>
      </c>
      <c r="U75" s="157">
        <f ca="1">I74*R74*T75/(3600*10)</f>
        <v>533.72368520664236</v>
      </c>
      <c r="W75"/>
      <c r="X75"/>
      <c r="Y75"/>
      <c r="Z75"/>
      <c r="AA75"/>
      <c r="AB75"/>
      <c r="AC75"/>
      <c r="AD75"/>
      <c r="AE75" s="168"/>
      <c r="AG75" s="157">
        <f ca="1">$N$9+(($N$70-$N$9)/($E$70-$E$9))*(AI75-$E$9)</f>
        <v>14487.285079219211</v>
      </c>
      <c r="AI75" s="165">
        <f t="shared" si="16"/>
        <v>16500</v>
      </c>
      <c r="AJ75" s="157">
        <v>-54.924574175171088</v>
      </c>
      <c r="AK75" s="157">
        <v>-10.630094294333794</v>
      </c>
      <c r="AL75" s="157">
        <v>-6.7897404186961019</v>
      </c>
      <c r="AM75" s="157">
        <v>-4.7929045618771626</v>
      </c>
      <c r="AN75" s="157">
        <v>-3.5415287156191755</v>
      </c>
      <c r="AO75" s="157">
        <v>-2.6708890051865803</v>
      </c>
      <c r="AP75" s="157">
        <v>-2.025781658637773</v>
      </c>
      <c r="AQ75" s="157">
        <v>-1.5295693229405665</v>
      </c>
      <c r="AR75" s="157">
        <v>-1.1405296810024874</v>
      </c>
      <c r="AS75" s="157">
        <v>-0.83439476225701248</v>
      </c>
      <c r="AT75" s="157">
        <v>-0.5964141467254791</v>
      </c>
      <c r="AU75" s="157">
        <v>-0.41738646454984218</v>
      </c>
      <c r="AV75" s="157">
        <v>-0.29152242464177447</v>
      </c>
      <c r="AW75" s="157">
        <v>-0.21522361762265363</v>
      </c>
      <c r="AX75" s="157">
        <v>-0.18634974304414964</v>
      </c>
      <c r="AY75" s="157">
        <v>-0.20376058816228948</v>
      </c>
      <c r="AZ75" s="157">
        <v>-0.2670196396970439</v>
      </c>
      <c r="BA75" s="157">
        <v>-0.37619648719360455</v>
      </c>
      <c r="BB75" s="157">
        <v>-0.53173163833640658</v>
      </c>
      <c r="BC75" s="157">
        <v>-0.73434192052854086</v>
      </c>
      <c r="BD75" s="157">
        <v>-0.98495295954859285</v>
      </c>
      <c r="BE75" s="157">
        <v>-1.2846501402797057</v>
      </c>
      <c r="BF75" s="157">
        <v>-1.6346424455690785</v>
      </c>
      <c r="BG75" s="157">
        <v>-2.0362354384449226</v>
      </c>
      <c r="BH75" s="157">
        <v>-2.490810848873064</v>
      </c>
      <c r="BI75" s="157">
        <v>-2.9998110078294511</v>
      </c>
      <c r="BJ75" s="157">
        <v>-3.5647268920937041</v>
      </c>
      <c r="BK75" s="157">
        <v>-4.1870888959712671</v>
      </c>
      <c r="BL75" s="157">
        <v>-4.8684596889480201</v>
      </c>
      <c r="BM75" s="157">
        <v>-5.610428687704835</v>
      </c>
      <c r="BN75" s="157">
        <v>-6.414607790623065</v>
      </c>
      <c r="BO75" s="157">
        <v>-7.2826281084381792</v>
      </c>
      <c r="BQ75" s="157">
        <f t="shared" si="17"/>
        <v>-0.18634974304414964</v>
      </c>
    </row>
    <row r="76" spans="5:69">
      <c r="E76" s="165">
        <f t="shared" si="18"/>
        <v>16750</v>
      </c>
      <c r="F76" s="157">
        <v>0.14698930520393647</v>
      </c>
      <c r="G76" s="157">
        <v>9.7551727485479152</v>
      </c>
      <c r="H76" s="157">
        <v>295.04231899847855</v>
      </c>
      <c r="I76" s="157">
        <f t="shared" ca="1" si="11"/>
        <v>1.8285208975305713</v>
      </c>
      <c r="J76" s="157">
        <f t="shared" ca="1" si="13"/>
        <v>0.37500000000000006</v>
      </c>
      <c r="K76" s="157">
        <f t="shared" ca="1" si="14"/>
        <v>110.64086962442947</v>
      </c>
      <c r="L76" s="157">
        <f ca="1">1.2*SQRT(N76*G76/(0.5*F76*SRef*RADIANS(alpha_max_voil)*Czalpha_voil))</f>
        <v>138.02716158836165</v>
      </c>
      <c r="M76" s="134">
        <f t="shared" ca="1" si="15"/>
        <v>138.02716158836165</v>
      </c>
      <c r="N76" s="157">
        <f ca="1">N75-U76</f>
        <v>11634.287392640934</v>
      </c>
      <c r="O76" s="157">
        <f ca="1">N76*G76/((0.5*F76*SRef*M76^2))</f>
        <v>0.55879305067419993</v>
      </c>
      <c r="P76" s="157">
        <f ca="1">INDEX(Aerodynamique!$T$6:$T$546,MATCH(O76,Aerodynamique!$Y$6:$Y$546,1))</f>
        <v>2.7000000000000064</v>
      </c>
      <c r="Q76" s="220">
        <f ca="1">(0.5*SRef*F76*M76^2)*INDEX(Aerodynamique!$Z$6:$Z$546,MATCH(O76,Aerodynamique!$Y$6:$Y$546,1))</f>
        <v>3362.6697375078174</v>
      </c>
      <c r="R76" s="219">
        <f t="shared" ca="1" si="12"/>
        <v>3065.6719256562951</v>
      </c>
      <c r="S76" s="157">
        <f ca="1">R76*M76/(N76*G76)-F76*SRef*Cx0_avion*(M76^3)/(2*N76*G76)-2*(N76*G76)/(F76*SRef*PI()*all_voil*M76)</f>
        <v>7.9490383051201929E-2</v>
      </c>
      <c r="T76" s="157">
        <f ca="1">(E76-E75)/S75</f>
        <v>3081.0545416891237</v>
      </c>
      <c r="U76" s="157">
        <f ca="1">I75*R75*T76/(3600*10)</f>
        <v>500.07812777262262</v>
      </c>
      <c r="W76"/>
      <c r="X76"/>
      <c r="Y76"/>
      <c r="Z76"/>
      <c r="AA76"/>
      <c r="AB76"/>
      <c r="AC76"/>
      <c r="AD76"/>
      <c r="AE76" s="168"/>
      <c r="AG76" s="157">
        <f ca="1">$N$9+(($N$70-$N$9)/($E$70-$E$9))*(AI76-$E$9)</f>
        <v>14446.104642883596</v>
      </c>
      <c r="AI76" s="165">
        <f t="shared" si="16"/>
        <v>16750</v>
      </c>
      <c r="AJ76" s="157">
        <v>-56.971983453913964</v>
      </c>
      <c r="AK76" s="157">
        <v>-11.053378203253743</v>
      </c>
      <c r="AL76" s="157">
        <v>-7.0834976395910791</v>
      </c>
      <c r="AM76" s="157">
        <v>-5.0249069711279084</v>
      </c>
      <c r="AN76" s="157">
        <v>-3.7385893462528692</v>
      </c>
      <c r="AO76" s="157">
        <v>-2.8461217090953848</v>
      </c>
      <c r="AP76" s="157">
        <v>-2.1863897344871432</v>
      </c>
      <c r="AQ76" s="157">
        <v>-1.6797663923499495</v>
      </c>
      <c r="AR76" s="157">
        <v>-1.2828379868428335</v>
      </c>
      <c r="AS76" s="157">
        <v>-0.97029444109085516</v>
      </c>
      <c r="AT76" s="157">
        <v>-0.726697494117164</v>
      </c>
      <c r="AU76" s="157">
        <v>-0.54236470079549703</v>
      </c>
      <c r="AV76" s="157">
        <v>-0.41115304101047068</v>
      </c>
      <c r="AW76" s="157">
        <v>-0.32919234277612142</v>
      </c>
      <c r="AX76" s="157">
        <v>-0.2941252836840258</v>
      </c>
      <c r="AY76" s="157">
        <v>-0.30463235505612851</v>
      </c>
      <c r="AZ76" s="157">
        <v>-0.36012446508186224</v>
      </c>
      <c r="BA76" s="157">
        <v>-0.4605380032718871</v>
      </c>
      <c r="BB76" s="157">
        <v>-0.60619463390839035</v>
      </c>
      <c r="BC76" s="157">
        <v>-0.79770318112021377</v>
      </c>
      <c r="BD76" s="157">
        <v>-1.0358895938476751</v>
      </c>
      <c r="BE76" s="157">
        <v>-1.3217460758210986</v>
      </c>
      <c r="BF76" s="157">
        <v>-1.6563935679416824</v>
      </c>
      <c r="BG76" s="157">
        <v>-2.0410537091324983</v>
      </c>
      <c r="BH76" s="157">
        <v>-2.4770276421813473</v>
      </c>
      <c r="BI76" s="157">
        <v>-2.9656798418012715</v>
      </c>
      <c r="BJ76" s="157">
        <v>-3.5084256821869069</v>
      </c>
      <c r="BK76" s="157">
        <v>-4.106721827346254</v>
      </c>
      <c r="BL76" s="157">
        <v>-4.7620587794065745</v>
      </c>
      <c r="BM76" s="157">
        <v>-5.4759550959233714</v>
      </c>
      <c r="BN76" s="157">
        <v>-6.249952911492346</v>
      </c>
      <c r="BO76" s="157">
        <v>-7.0856144877932019</v>
      </c>
      <c r="BQ76" s="157">
        <f t="shared" si="17"/>
        <v>-0.2941252836840258</v>
      </c>
    </row>
    <row r="77" spans="5:69">
      <c r="E77" s="165">
        <f t="shared" si="18"/>
        <v>17000</v>
      </c>
      <c r="F77" s="157">
        <v>0.14130735354604515</v>
      </c>
      <c r="G77" s="157">
        <v>9.7544075038375162</v>
      </c>
      <c r="H77" s="157">
        <v>295.04231899847855</v>
      </c>
      <c r="I77" s="157">
        <f t="shared" ca="1" si="11"/>
        <v>1.8305208975305713</v>
      </c>
      <c r="J77" s="157">
        <f t="shared" ca="1" si="13"/>
        <v>0.37500000000000006</v>
      </c>
      <c r="K77" s="157">
        <f t="shared" ca="1" si="14"/>
        <v>110.64086962442947</v>
      </c>
      <c r="L77" s="157">
        <f ca="1">1.2*SQRT(N77*G77/(0.5*F77*SRef*RADIANS(alpha_max_voil)*Czalpha_voil))</f>
        <v>137.7747742514122</v>
      </c>
      <c r="M77" s="134">
        <f t="shared" ca="1" si="15"/>
        <v>137.7747742514122</v>
      </c>
      <c r="N77" s="157">
        <f ca="1">N76-U77</f>
        <v>11144.566623401555</v>
      </c>
      <c r="O77" s="157">
        <f ca="1">N77*G77/((0.5*F77*SRef*M77^2))</f>
        <v>0.55879305067419982</v>
      </c>
      <c r="P77" s="157">
        <f ca="1">INDEX(Aerodynamique!$T$6:$T$546,MATCH(O77,Aerodynamique!$Y$6:$Y$546,1))</f>
        <v>2.7000000000000064</v>
      </c>
      <c r="Q77" s="220">
        <f ca="1">(0.5*SRef*F77*M77^2)*INDEX(Aerodynamique!$Z$6:$Z$546,MATCH(O77,Aerodynamique!$Y$6:$Y$546,1))</f>
        <v>3220.8725718595592</v>
      </c>
      <c r="R77" s="219">
        <f t="shared" ca="1" si="12"/>
        <v>2937.8865746666374</v>
      </c>
      <c r="S77" s="157">
        <f ca="1">R77*M77/(N77*G77)-F77*SRef*Cx0_avion*(M77^3)/(2*N77*G77)-2*(N77*G77)/(F77*SRef*PI()*all_voil*M77)</f>
        <v>8.1230890076670392E-2</v>
      </c>
      <c r="T77" s="157">
        <f ca="1">(E77-E76)/S76</f>
        <v>3145.0345363031925</v>
      </c>
      <c r="U77" s="157">
        <f ca="1">I76*R76*T77/(3600*10)</f>
        <v>489.72076923937931</v>
      </c>
      <c r="W77"/>
      <c r="X77"/>
      <c r="Y77"/>
      <c r="Z77"/>
      <c r="AA77"/>
      <c r="AB77"/>
      <c r="AC77"/>
      <c r="AD77"/>
      <c r="AE77" s="168"/>
      <c r="AG77" s="157">
        <f ca="1">$N$9+(($N$70-$N$9)/($E$70-$E$9))*(AI77-$E$9)</f>
        <v>14404.924206547983</v>
      </c>
      <c r="AI77" s="165">
        <f t="shared" si="16"/>
        <v>17000</v>
      </c>
      <c r="AJ77" s="157">
        <v>-59.09479290415846</v>
      </c>
      <c r="AK77" s="157">
        <v>-11.491202627587189</v>
      </c>
      <c r="AL77" s="157">
        <v>-7.3864957985683937</v>
      </c>
      <c r="AM77" s="157">
        <v>-5.2633819797484129</v>
      </c>
      <c r="AN77" s="157">
        <v>-3.9403776684264225</v>
      </c>
      <c r="AO77" s="157">
        <v>-3.0248596841900635</v>
      </c>
      <c r="AP77" s="157">
        <v>-2.3495898747831134</v>
      </c>
      <c r="AQ77" s="157">
        <v>-1.8318461298022364</v>
      </c>
      <c r="AR77" s="157">
        <v>-1.4264659087376332</v>
      </c>
      <c r="AS77" s="157">
        <v>-1.107063526348212</v>
      </c>
      <c r="AT77" s="157">
        <v>-0.85749244523943458</v>
      </c>
      <c r="AU77" s="157">
        <v>-0.66757632746769424</v>
      </c>
      <c r="AV77" s="157">
        <v>-0.53081029012852698</v>
      </c>
      <c r="AW77" s="157">
        <v>-0.44304727192750715</v>
      </c>
      <c r="AX77" s="157">
        <v>-0.40170980273733492</v>
      </c>
      <c r="AY77" s="157">
        <v>-0.40529732424724307</v>
      </c>
      <c r="AZ77" s="157">
        <v>-0.4530673775211429</v>
      </c>
      <c r="BA77" s="157">
        <v>-0.54482305723268065</v>
      </c>
      <c r="BB77" s="157">
        <v>-0.68076759763763373</v>
      </c>
      <c r="BC77" s="157">
        <v>-0.86140261126170081</v>
      </c>
      <c r="BD77" s="157">
        <v>-1.0874554474740592</v>
      </c>
      <c r="BE77" s="157">
        <v>-1.3598264243997202</v>
      </c>
      <c r="BF77" s="157">
        <v>-1.6795499051962508</v>
      </c>
      <c r="BG77" s="157">
        <v>-2.047765200476233</v>
      </c>
      <c r="BH77" s="157">
        <v>-2.4656945652514706</v>
      </c>
      <c r="BI77" s="157">
        <v>-2.9346263996620836</v>
      </c>
      <c r="BJ77" s="157">
        <v>-3.4559023229441617</v>
      </c>
      <c r="BK77" s="157">
        <v>-4.0309071697743377</v>
      </c>
      <c r="BL77" s="157">
        <v>-4.6610612195046226</v>
      </c>
      <c r="BM77" s="157">
        <v>-5.3478141512702688</v>
      </c>
      <c r="BN77" s="157">
        <v>-6.0926403469559203</v>
      </c>
      <c r="BO77" s="157">
        <v>-6.8970352562539858</v>
      </c>
      <c r="BQ77" s="157">
        <f t="shared" si="17"/>
        <v>-0.40170980273733492</v>
      </c>
    </row>
    <row r="78" spans="5:69">
      <c r="E78" s="165">
        <f t="shared" si="18"/>
        <v>17250</v>
      </c>
      <c r="F78" s="157">
        <v>0.13584504082445481</v>
      </c>
      <c r="G78" s="157">
        <v>9.7536423491680431</v>
      </c>
      <c r="H78" s="157">
        <v>295.04231899847855</v>
      </c>
      <c r="I78" s="157">
        <f t="shared" ca="1" si="11"/>
        <v>1.8528690224865274</v>
      </c>
      <c r="J78" s="157">
        <f t="shared" ca="1" si="13"/>
        <v>0.40000000000000008</v>
      </c>
      <c r="K78" s="157">
        <f t="shared" ca="1" si="14"/>
        <v>118.01692759939144</v>
      </c>
      <c r="L78" s="157">
        <f ca="1">1.2*SQRT(N78*G78/(0.5*F78*SRef*RADIANS(alpha_max_voil)*Czalpha_voil))</f>
        <v>137.58307546988598</v>
      </c>
      <c r="M78" s="134">
        <f t="shared" ca="1" si="15"/>
        <v>137.58307546988598</v>
      </c>
      <c r="N78" s="157">
        <f ca="1">N77-U78</f>
        <v>10684.812099015551</v>
      </c>
      <c r="O78" s="157">
        <f ca="1">N78*G78/((0.5*F78*SRef*M78^2))</f>
        <v>0.55879305067419993</v>
      </c>
      <c r="P78" s="157">
        <f ca="1">INDEX(Aerodynamique!$T$6:$T$546,MATCH(O78,Aerodynamique!$Y$6:$Y$546,1))</f>
        <v>2.7000000000000064</v>
      </c>
      <c r="Q78" s="220">
        <f ca="1">(0.5*SRef*F78*M78^2)*INDEX(Aerodynamique!$Z$6:$Z$546,MATCH(O78,Aerodynamique!$Y$6:$Y$546,1))</f>
        <v>3087.7574565465147</v>
      </c>
      <c r="R78" s="219">
        <f t="shared" ca="1" si="12"/>
        <v>2815.4276566168164</v>
      </c>
      <c r="S78" s="157">
        <f ca="1">R78*M78/(N78*G78)-F78*SRef*Cx0_avion*(M78^3)/(2*N78*G78)-2*(N78*G78)/(F78*SRef*PI()*all_voil*M78)</f>
        <v>7.9745805813361881E-2</v>
      </c>
      <c r="T78" s="157">
        <f ca="1">(E78-E77)/S77</f>
        <v>3077.6469365783828</v>
      </c>
      <c r="U78" s="157">
        <f ca="1">I77*R77*T78/(3600*10)</f>
        <v>459.75452438600331</v>
      </c>
      <c r="W78"/>
      <c r="X78"/>
      <c r="Y78"/>
      <c r="Z78"/>
      <c r="AA78"/>
      <c r="AB78"/>
      <c r="AC78"/>
      <c r="AD78"/>
      <c r="AE78" s="168"/>
      <c r="AG78" s="157">
        <f ca="1">$N$9+(($N$70-$N$9)/($E$70-$E$9))*(AI78-$E$9)</f>
        <v>14363.743770212368</v>
      </c>
      <c r="AI78" s="165">
        <f t="shared" si="16"/>
        <v>17250</v>
      </c>
      <c r="AJ78" s="157">
        <v>-61.295775510380444</v>
      </c>
      <c r="AK78" s="157">
        <v>-11.944143341327827</v>
      </c>
      <c r="AL78" s="157">
        <v>-7.6991365355406272</v>
      </c>
      <c r="AM78" s="157">
        <v>-5.5086488479099316</v>
      </c>
      <c r="AN78" s="157">
        <v>-4.1471668574667255</v>
      </c>
      <c r="AO78" s="157">
        <v>-3.2073477695577268</v>
      </c>
      <c r="AP78" s="157">
        <v>-2.515608331534156</v>
      </c>
      <c r="AQ78" s="157">
        <v>-1.9860219052289783</v>
      </c>
      <c r="AR78" s="157">
        <v>-1.5716173534887747</v>
      </c>
      <c r="AS78" s="157">
        <v>-1.2448984738355628</v>
      </c>
      <c r="AT78" s="157">
        <v>-0.98898908998973978</v>
      </c>
      <c r="AU78" s="157">
        <v>-0.79320550662643408</v>
      </c>
      <c r="AV78" s="157">
        <v>-0.65067236976547638</v>
      </c>
      <c r="AW78" s="157">
        <v>-0.55696023861958577</v>
      </c>
      <c r="AX78" s="157">
        <v>-0.50926808027578918</v>
      </c>
      <c r="AY78" s="157">
        <v>-0.50591229492021572</v>
      </c>
      <c r="AZ78" s="157">
        <v>-0.54599606595444361</v>
      </c>
      <c r="BA78" s="157">
        <v>-0.62918892276344085</v>
      </c>
      <c r="BB78" s="157">
        <v>-0.75557592679593277</v>
      </c>
      <c r="BC78" s="157">
        <v>-0.92555212921997732</v>
      </c>
      <c r="BD78" s="157">
        <v>-1.1397472270017981</v>
      </c>
      <c r="BE78" s="157">
        <v>-1.3989708269565369</v>
      </c>
      <c r="BF78" s="157">
        <v>-1.7041720644573426</v>
      </c>
      <c r="BG78" s="157">
        <v>-2.0564094089820779</v>
      </c>
      <c r="BH78" s="157">
        <v>-2.4568278231145042</v>
      </c>
      <c r="BI78" s="157">
        <v>-2.9066413137994029</v>
      </c>
      <c r="BJ78" s="157">
        <v>-3.4071194957208228</v>
      </c>
      <c r="BK78" s="157">
        <v>-3.9595771805426381</v>
      </c>
      <c r="BL78" s="157">
        <v>-4.5653662769270955</v>
      </c>
      <c r="BM78" s="157">
        <v>-5.2258694755966602</v>
      </c>
      <c r="BN78" s="157">
        <v>-5.9424953276087242</v>
      </c>
      <c r="BO78" s="157">
        <v>-6.7166744198031498</v>
      </c>
      <c r="BQ78" s="157">
        <f t="shared" si="17"/>
        <v>-0.50591229492021572</v>
      </c>
    </row>
    <row r="79" spans="5:69">
      <c r="E79" s="165">
        <f t="shared" si="18"/>
        <v>17500</v>
      </c>
      <c r="F79" s="157">
        <v>0.13059387677644518</v>
      </c>
      <c r="G79" s="157">
        <v>9.7528772845253631</v>
      </c>
      <c r="H79" s="157">
        <v>295.04231899847855</v>
      </c>
      <c r="I79" s="157">
        <f t="shared" ca="1" si="11"/>
        <v>1.8548690224865272</v>
      </c>
      <c r="J79" s="157">
        <f t="shared" ca="1" si="13"/>
        <v>0.40000000000000008</v>
      </c>
      <c r="K79" s="157">
        <f t="shared" ca="1" si="14"/>
        <v>118.01692759939144</v>
      </c>
      <c r="L79" s="157">
        <f ca="1">1.2*SQRT(N79*G79/(0.5*F79*SRef*RADIANS(alpha_max_voil)*Czalpha_voil))</f>
        <v>137.30117110555759</v>
      </c>
      <c r="M79" s="134">
        <f t="shared" ca="1" si="15"/>
        <v>137.30117110555759</v>
      </c>
      <c r="N79" s="157">
        <f ca="1">N78-U79</f>
        <v>10230.537189996252</v>
      </c>
      <c r="O79" s="157">
        <f ca="1">N79*G79/((0.5*F79*SRef*M79^2))</f>
        <v>0.55879305067419971</v>
      </c>
      <c r="P79" s="157">
        <f ca="1">INDEX(Aerodynamique!$T$6:$T$546,MATCH(O79,Aerodynamique!$Y$6:$Y$546,1))</f>
        <v>2.7000000000000064</v>
      </c>
      <c r="Q79" s="220">
        <f ca="1">(0.5*SRef*F79*M79^2)*INDEX(Aerodynamique!$Z$6:$Z$546,MATCH(O79,Aerodynamique!$Y$6:$Y$546,1))</f>
        <v>2956.2466201647276</v>
      </c>
      <c r="R79" s="219">
        <f t="shared" ca="1" si="12"/>
        <v>2698.0731516301985</v>
      </c>
      <c r="S79" s="157">
        <f ca="1">R79*M79/(N79*G79)-F79*SRef*Cx0_avion*(M79^3)/(2*N79*G79)-2*(N79*G79)/(F79*SRef*PI()*all_voil*M79)</f>
        <v>8.3101754032767317E-2</v>
      </c>
      <c r="T79" s="157">
        <f ca="1">(E79-E78)/S78</f>
        <v>3134.9611111222985</v>
      </c>
      <c r="U79" s="157">
        <f ca="1">I78*R78*T79/(3600*10)</f>
        <v>454.27490901929912</v>
      </c>
      <c r="W79"/>
      <c r="X79"/>
      <c r="Y79"/>
      <c r="Z79"/>
      <c r="AA79"/>
      <c r="AB79"/>
      <c r="AC79"/>
      <c r="AD79"/>
      <c r="AE79" s="168"/>
      <c r="AG79" s="157">
        <f ca="1">$N$9+(($N$70-$N$9)/($E$70-$E$9))*(AI79-$E$9)</f>
        <v>14322.563333876755</v>
      </c>
      <c r="AI79" s="165">
        <f t="shared" si="16"/>
        <v>17500</v>
      </c>
      <c r="AJ79" s="157">
        <v>-63.577804665644805</v>
      </c>
      <c r="AK79" s="157">
        <v>-12.412795365982218</v>
      </c>
      <c r="AL79" s="157">
        <v>-8.0218336205783203</v>
      </c>
      <c r="AM79" s="157">
        <v>-5.7610352213955265</v>
      </c>
      <c r="AN79" s="157">
        <v>-4.3592360941072918</v>
      </c>
      <c r="AO79" s="157">
        <v>-3.3938351265028799</v>
      </c>
      <c r="AP79" s="157">
        <v>-2.6846744086422301</v>
      </c>
      <c r="AQ79" s="157">
        <v>-2.1425091425278984</v>
      </c>
      <c r="AR79" s="157">
        <v>-1.7184974797155816</v>
      </c>
      <c r="AS79" s="157">
        <v>-1.3839963401065671</v>
      </c>
      <c r="AT79" s="157">
        <v>-1.1213775917235695</v>
      </c>
      <c r="AU79" s="157">
        <v>-0.91943605312925492</v>
      </c>
      <c r="AV79" s="157">
        <v>-0.77091680554067943</v>
      </c>
      <c r="AW79" s="157">
        <v>-0.6711021680973599</v>
      </c>
      <c r="AX79" s="157">
        <v>-0.61696383647612896</v>
      </c>
      <c r="AY79" s="157">
        <v>-0.6066329368933876</v>
      </c>
      <c r="AZ79" s="157">
        <v>-0.63905710146839567</v>
      </c>
      <c r="BA79" s="157">
        <v>-0.71377184797700566</v>
      </c>
      <c r="BB79" s="157">
        <v>-0.83074416657863615</v>
      </c>
      <c r="BC79" s="157">
        <v>-0.99026305685995175</v>
      </c>
      <c r="BD79" s="157">
        <v>-1.1928613817878331</v>
      </c>
      <c r="BE79" s="157">
        <v>-1.4392590915336747</v>
      </c>
      <c r="BF79" s="157">
        <v>-1.7303213312473356</v>
      </c>
      <c r="BG79" s="157">
        <v>-2.0670271098469657</v>
      </c>
      <c r="BH79" s="157">
        <v>-2.4504455909361385</v>
      </c>
      <c r="BI79" s="157">
        <v>-2.8817179715910393</v>
      </c>
      <c r="BJ79" s="157">
        <v>-3.3620435174777077</v>
      </c>
      <c r="BK79" s="157">
        <v>-3.892668731335216</v>
      </c>
      <c r="BL79" s="157">
        <v>-4.4748789131970312</v>
      </c>
      <c r="BM79" s="157">
        <v>-5.1099915672027159</v>
      </c>
      <c r="BN79" s="157">
        <v>-5.7993512488350012</v>
      </c>
      <c r="BO79" s="157">
        <v>-6.5443255458754104</v>
      </c>
      <c r="BQ79" s="157">
        <f t="shared" si="17"/>
        <v>-0.6066329368933876</v>
      </c>
    </row>
    <row r="80" spans="5:69">
      <c r="E80" s="165">
        <f t="shared" si="18"/>
        <v>17750</v>
      </c>
      <c r="F80" s="157">
        <v>0.12554569933502607</v>
      </c>
      <c r="G80" s="157">
        <v>9.7521123098953577</v>
      </c>
      <c r="H80" s="157">
        <v>295.04231899847855</v>
      </c>
      <c r="I80" s="157">
        <f t="shared" ca="1" si="11"/>
        <v>1.8568690224865274</v>
      </c>
      <c r="J80" s="157">
        <f t="shared" ca="1" si="13"/>
        <v>0.40000000000000008</v>
      </c>
      <c r="K80" s="157">
        <f t="shared" ca="1" si="14"/>
        <v>118.01692759939144</v>
      </c>
      <c r="L80" s="157">
        <f ca="1">1.2*SQRT(N80*G80/(0.5*F80*SRef*RADIANS(alpha_max_voil)*Czalpha_voil))</f>
        <v>137.13695116334875</v>
      </c>
      <c r="M80" s="134">
        <f t="shared" ca="1" si="15"/>
        <v>137.13695116334875</v>
      </c>
      <c r="N80" s="157">
        <f ca="1">N79-U80</f>
        <v>9812.3273125385276</v>
      </c>
      <c r="O80" s="157">
        <f ca="1">N80*G80/((0.5*F80*SRef*M80^2))</f>
        <v>0.55879305067420004</v>
      </c>
      <c r="P80" s="157">
        <f ca="1">INDEX(Aerodynamique!$T$6:$T$546,MATCH(O80,Aerodynamique!$Y$6:$Y$546,1))</f>
        <v>2.7000000000000064</v>
      </c>
      <c r="Q80" s="220">
        <f ca="1">(0.5*SRef*F80*M80^2)*INDEX(Aerodynamique!$Z$6:$Z$546,MATCH(O80,Aerodynamique!$Y$6:$Y$546,1))</f>
        <v>2835.1770465516488</v>
      </c>
      <c r="R80" s="219">
        <f t="shared" ca="1" si="12"/>
        <v>2585.6102942084831</v>
      </c>
      <c r="S80" s="157">
        <f ca="1">R80*M80/(N80*G80)-F80*SRef*Cx0_avion*(M80^3)/(2*N80*G80)-2*(N80*G80)/(F80*SRef*PI()*all_voil*M80)</f>
        <v>8.0184161479282201E-2</v>
      </c>
      <c r="T80" s="157">
        <f ca="1">(E80-E79)/S79</f>
        <v>3008.3600870978503</v>
      </c>
      <c r="U80" s="157">
        <f ca="1">I79*R79*T80/(3600*10)</f>
        <v>418.20987745772504</v>
      </c>
      <c r="W80"/>
      <c r="X80"/>
      <c r="Y80"/>
      <c r="Z80"/>
      <c r="AA80"/>
      <c r="AB80"/>
      <c r="AC80"/>
      <c r="AD80"/>
      <c r="AE80" s="168"/>
      <c r="AG80" s="157">
        <f ca="1">$N$9+(($N$70-$N$9)/($E$70-$E$9))*(AI80-$E$9)</f>
        <v>14281.38289754114</v>
      </c>
      <c r="AI80" s="165">
        <f t="shared" si="16"/>
        <v>17750</v>
      </c>
      <c r="AJ80" s="157">
        <v>-65.943857793379394</v>
      </c>
      <c r="AK80" s="157">
        <v>-12.897773727887747</v>
      </c>
      <c r="AL80" s="157">
        <v>-8.355013486534606</v>
      </c>
      <c r="AM80" s="157">
        <v>-6.0208775592670474</v>
      </c>
      <c r="AN80" s="157">
        <v>-4.5768709345199241</v>
      </c>
      <c r="AO80" s="157">
        <v>-3.5845755740497349</v>
      </c>
      <c r="AP80" s="157">
        <v>-2.8570207755362858</v>
      </c>
      <c r="AQ80" s="157">
        <v>-2.3015256187071755</v>
      </c>
      <c r="AR80" s="157">
        <v>-1.8673129869041181</v>
      </c>
      <c r="AS80" s="157">
        <v>-1.5245550639733876</v>
      </c>
      <c r="AT80" s="157">
        <v>-1.2548484625740624</v>
      </c>
      <c r="AU80" s="157">
        <v>-1.0464517042604071</v>
      </c>
      <c r="AV80" s="157">
        <v>-0.89172071474366454</v>
      </c>
      <c r="AW80" s="157">
        <v>-0.78564333472659231</v>
      </c>
      <c r="AX80" s="157">
        <v>-0.72495998166622888</v>
      </c>
      <c r="AY80" s="157">
        <v>-0.70761403201115036</v>
      </c>
      <c r="AZ80" s="157">
        <v>-0.73239616849048272</v>
      </c>
      <c r="BA80" s="157">
        <v>-0.79870727463324132</v>
      </c>
      <c r="BB80" s="157">
        <v>-0.90639621537720605</v>
      </c>
      <c r="BC80" s="157">
        <v>-1.055646308806993</v>
      </c>
      <c r="BD80" s="157">
        <v>-1.2468942746944391</v>
      </c>
      <c r="BE80" s="157">
        <v>-1.4807713430693041</v>
      </c>
      <c r="BF80" s="157">
        <v>-1.758059795718101</v>
      </c>
      <c r="BG80" s="157">
        <v>-2.0796604568508985</v>
      </c>
      <c r="BH80" s="157">
        <v>-2.4465680846581286</v>
      </c>
      <c r="BI80" s="157">
        <v>-2.8598525537551431</v>
      </c>
      <c r="BJ80" s="157">
        <v>-3.3206443436734574</v>
      </c>
      <c r="BK80" s="157">
        <v>-3.8301232723793119</v>
      </c>
      <c r="BL80" s="157">
        <v>-4.3895097056679617</v>
      </c>
      <c r="BM80" s="157">
        <v>-5.0000576771517231</v>
      </c>
      <c r="BN80" s="157">
        <v>-5.6630494978046402</v>
      </c>
      <c r="BO80" s="157">
        <v>-6.3797915372837286</v>
      </c>
      <c r="BQ80" s="157">
        <f t="shared" si="17"/>
        <v>-0.70761403201115036</v>
      </c>
    </row>
    <row r="81" spans="5:69">
      <c r="E81" s="165">
        <f t="shared" si="18"/>
        <v>18000</v>
      </c>
      <c r="F81" s="157">
        <v>0.12069266194235277</v>
      </c>
      <c r="G81" s="157">
        <v>9.7513474252639085</v>
      </c>
      <c r="H81" s="157">
        <v>295.04231899847855</v>
      </c>
      <c r="I81" s="157">
        <f t="shared" ca="1" si="11"/>
        <v>1.8588690224865272</v>
      </c>
      <c r="J81" s="157">
        <f t="shared" ca="1" si="13"/>
        <v>0.40000000000000008</v>
      </c>
      <c r="K81" s="157">
        <f t="shared" ca="1" si="14"/>
        <v>118.01692759939144</v>
      </c>
      <c r="L81" s="157">
        <f ca="1">1.2*SQRT(N81*G81/(0.5*F81*SRef*RADIANS(alpha_max_voil)*Czalpha_voil))</f>
        <v>136.86595364847787</v>
      </c>
      <c r="M81" s="134">
        <f t="shared" ca="1" si="15"/>
        <v>136.86595364847787</v>
      </c>
      <c r="N81" s="157">
        <f ca="1">N80-U81</f>
        <v>9396.5189157107416</v>
      </c>
      <c r="O81" s="157">
        <f ca="1">N81*G81/((0.5*F81*SRef*M81^2))</f>
        <v>0.55879305067420004</v>
      </c>
      <c r="P81" s="157">
        <f ca="1">INDEX(Aerodynamique!$T$6:$T$546,MATCH(O81,Aerodynamique!$Y$6:$Y$546,1))</f>
        <v>2.7000000000000064</v>
      </c>
      <c r="Q81" s="220">
        <f ca="1">(0.5*SRef*F81*M81^2)*INDEX(Aerodynamique!$Z$6:$Z$546,MATCH(O81,Aerodynamique!$Y$6:$Y$546,1))</f>
        <v>2714.8202856470234</v>
      </c>
      <c r="R81" s="219">
        <f t="shared" ca="1" si="12"/>
        <v>2477.8351874846394</v>
      </c>
      <c r="S81" s="157">
        <f ca="1">R81*M81/(N81*G81)-F81*SRef*Cx0_avion*(M81^3)/(2*N81*G81)-2*(N81*G81)/(F81*SRef*PI()*all_voil*M81)</f>
        <v>8.2994048974792012E-2</v>
      </c>
      <c r="T81" s="157">
        <f ca="1">(E81-E80)/S80</f>
        <v>3117.8227144595685</v>
      </c>
      <c r="U81" s="157">
        <f ca="1">I80*R80*T81/(3600*10)</f>
        <v>415.8083968277856</v>
      </c>
      <c r="W81"/>
      <c r="X81"/>
      <c r="Y81"/>
      <c r="Z81"/>
      <c r="AA81"/>
      <c r="AB81"/>
      <c r="AC81"/>
      <c r="AD81"/>
      <c r="AE81" s="168"/>
      <c r="AG81" s="157">
        <f ca="1">$N$9+(($N$70-$N$9)/($E$70-$E$9))*(AI81-$E$9)</f>
        <v>14240.202461205525</v>
      </c>
      <c r="AI81" s="165">
        <f t="shared" si="16"/>
        <v>18000</v>
      </c>
      <c r="AJ81" s="157">
        <v>-68.397020097004429</v>
      </c>
      <c r="AK81" s="157">
        <v>-13.399714239795566</v>
      </c>
      <c r="AL81" s="157">
        <v>-8.6991157767461562</v>
      </c>
      <c r="AM81" s="157">
        <v>-6.2885215717197154</v>
      </c>
      <c r="AN81" s="157">
        <v>-4.8003636873868176</v>
      </c>
      <c r="AO81" s="157">
        <v>-3.7798279292294223</v>
      </c>
      <c r="AP81" s="157">
        <v>-3.0328837838649658</v>
      </c>
      <c r="AQ81" s="157">
        <v>-2.4632917647142469</v>
      </c>
      <c r="AR81" s="157">
        <v>-2.0182724050198999</v>
      </c>
      <c r="AS81" s="157">
        <v>-1.6667737476570761</v>
      </c>
      <c r="AT81" s="157">
        <v>-1.3895928376484634</v>
      </c>
      <c r="AU81" s="157">
        <v>-1.1744363876150703</v>
      </c>
      <c r="AV81" s="157">
        <v>-1.0132610679143417</v>
      </c>
      <c r="AW81" s="157">
        <v>-0.90075361679496124</v>
      </c>
      <c r="AX81" s="157">
        <v>-0.83341886348922301</v>
      </c>
      <c r="AY81" s="157">
        <v>-0.80900971249935338</v>
      </c>
      <c r="AZ81" s="157">
        <v>-0.82615829289932896</v>
      </c>
      <c r="BA81" s="157">
        <v>-0.88413005433873382</v>
      </c>
      <c r="BB81" s="157">
        <v>-0.9826555272001789</v>
      </c>
      <c r="BC81" s="157">
        <v>-1.1218125790383395</v>
      </c>
      <c r="BD81" s="157">
        <v>-1.3019423506329566</v>
      </c>
      <c r="BE81" s="157">
        <v>-1.5235881715202744</v>
      </c>
      <c r="BF81" s="157">
        <v>-1.7874504778333777</v>
      </c>
      <c r="BG81" s="157">
        <v>-2.094353081941803</v>
      </c>
      <c r="BH81" s="157">
        <v>-2.4452176321965311</v>
      </c>
      <c r="BI81" s="157">
        <v>-2.8410440742459602</v>
      </c>
      <c r="BJ81" s="157">
        <v>-3.2828955738194177</v>
      </c>
      <c r="BK81" s="157">
        <v>-3.7718868005019792</v>
      </c>
      <c r="BL81" s="157">
        <v>-4.3091747748089073</v>
      </c>
      <c r="BM81" s="157">
        <v>-4.8959516923963937</v>
      </c>
      <c r="BN81" s="157">
        <v>-5.5334392889423372</v>
      </c>
      <c r="BO81" s="157">
        <v>-6.2228844164230122</v>
      </c>
      <c r="BQ81" s="157">
        <f t="shared" si="17"/>
        <v>-0.80900971249935338</v>
      </c>
    </row>
    <row r="82" spans="5:69">
      <c r="E82" s="165">
        <f t="shared" si="18"/>
        <v>18250</v>
      </c>
      <c r="F82" s="157">
        <v>0.1160272213535479</v>
      </c>
      <c r="G82" s="157">
        <v>9.7505826306168935</v>
      </c>
      <c r="H82" s="157">
        <v>295.04231899847855</v>
      </c>
      <c r="I82" s="157">
        <f t="shared" ca="1" si="11"/>
        <v>1.8608690224865274</v>
      </c>
      <c r="J82" s="157">
        <f t="shared" ca="1" si="13"/>
        <v>0.40000000000000008</v>
      </c>
      <c r="K82" s="157">
        <f t="shared" ca="1" si="14"/>
        <v>118.01692759939144</v>
      </c>
      <c r="L82" s="157">
        <f ca="1">1.2*SQRT(N82*G82/(0.5*F82*SRef*RADIANS(alpha_max_voil)*Czalpha_voil))</f>
        <v>136.69251893980856</v>
      </c>
      <c r="M82" s="134">
        <f t="shared" ca="1" si="15"/>
        <v>136.69251893980856</v>
      </c>
      <c r="N82" s="157">
        <f ca="1">N81-U82</f>
        <v>9011.1188704883825</v>
      </c>
      <c r="O82" s="157">
        <f ca="1">N82*G82/((0.5*F82*SRef*M82^2))</f>
        <v>0.55879305067419982</v>
      </c>
      <c r="P82" s="157">
        <f ca="1">INDEX(Aerodynamique!$T$6:$T$546,MATCH(O82,Aerodynamique!$Y$6:$Y$546,1))</f>
        <v>2.7000000000000064</v>
      </c>
      <c r="Q82" s="220">
        <f ca="1">(0.5*SRef*F82*M82^2)*INDEX(Aerodynamique!$Z$6:$Z$546,MATCH(O82,Aerodynamique!$Y$6:$Y$546,1))</f>
        <v>2603.2672159342751</v>
      </c>
      <c r="R82" s="219">
        <f t="shared" ca="1" si="12"/>
        <v>2374.5524335547748</v>
      </c>
      <c r="S82" s="157">
        <f ca="1">R82*M82/(N82*G82)-F82*SRef*Cx0_avion*(M82^3)/(2*N82*G82)-2*(N82*G82)/(F82*SRef*PI()*all_voil*M82)</f>
        <v>8.0605842424646301E-2</v>
      </c>
      <c r="T82" s="157">
        <f ca="1">(E82-E81)/S81</f>
        <v>3012.2641693976529</v>
      </c>
      <c r="U82" s="157">
        <f ca="1">I81*R81*T82/(3600*10)</f>
        <v>385.40004522235847</v>
      </c>
      <c r="W82"/>
      <c r="X82"/>
      <c r="Y82"/>
      <c r="Z82"/>
      <c r="AA82"/>
      <c r="AB82"/>
      <c r="AC82"/>
      <c r="AD82"/>
      <c r="AE82" s="168"/>
      <c r="AG82" s="157">
        <f ca="1">$N$9+(($N$70-$N$9)/($E$70-$E$9))*(AI82-$E$9)</f>
        <v>14199.022024869912</v>
      </c>
      <c r="AI82" s="165">
        <f t="shared" si="16"/>
        <v>18250</v>
      </c>
      <c r="AJ82" s="157">
        <v>-70.940488441891773</v>
      </c>
      <c r="AK82" s="157">
        <v>-13.919274307665328</v>
      </c>
      <c r="AL82" s="157">
        <v>-9.0545939084853782</v>
      </c>
      <c r="AM82" s="157">
        <v>-6.564322668675084</v>
      </c>
      <c r="AN82" s="157">
        <v>-5.0300137984979605</v>
      </c>
      <c r="AO82" s="157">
        <v>-3.9798563525994135</v>
      </c>
      <c r="AP82" s="157">
        <v>-3.2125037876736591</v>
      </c>
      <c r="AQ82" s="157">
        <v>-2.6280309683610343</v>
      </c>
      <c r="AR82" s="157">
        <v>-2.1715863850878749</v>
      </c>
      <c r="AS82" s="157">
        <v>-1.8108529379757567</v>
      </c>
      <c r="AT82" s="157">
        <v>-1.5258027484964629</v>
      </c>
      <c r="AU82" s="157">
        <v>-1.3035744876302988</v>
      </c>
      <c r="AV82" s="157">
        <v>-1.1357149485710001</v>
      </c>
      <c r="AW82" s="157">
        <v>-1.0166027490790224</v>
      </c>
      <c r="AX82" s="157">
        <v>-0.94250251156262632</v>
      </c>
      <c r="AY82" s="157">
        <v>-0.91097369665267158</v>
      </c>
      <c r="AZ82" s="157">
        <v>-0.92048806741002909</v>
      </c>
      <c r="BA82" s="157">
        <v>-0.97017466207026137</v>
      </c>
      <c r="BB82" s="157">
        <v>-1.0596453115727025</v>
      </c>
      <c r="BC82" s="157">
        <v>-1.188872525215013</v>
      </c>
      <c r="BD82" s="157">
        <v>-1.3581023032186497</v>
      </c>
      <c r="BE82" s="157">
        <v>-1.5677907785771648</v>
      </c>
      <c r="BF82" s="157">
        <v>-1.8185574517377245</v>
      </c>
      <c r="BG82" s="157">
        <v>-2.1111501947164815</v>
      </c>
      <c r="BH82" s="157">
        <v>-2.4464187453635189</v>
      </c>
      <c r="BI82" s="157">
        <v>-2.8252944218214147</v>
      </c>
      <c r="BJ82" s="157">
        <v>-3.2487744597782657</v>
      </c>
      <c r="BK82" s="157">
        <v>-3.7179098311290062</v>
      </c>
      <c r="BL82" s="157">
        <v>-4.2337957167598343</v>
      </c>
      <c r="BM82" s="157">
        <v>-4.7975640256366567</v>
      </c>
      <c r="BN82" s="157">
        <v>-5.4103775077251237</v>
      </c>
      <c r="BO82" s="157">
        <v>-6.0734251195382143</v>
      </c>
      <c r="BQ82" s="157">
        <f t="shared" si="17"/>
        <v>-0.91097369665267158</v>
      </c>
    </row>
    <row r="83" spans="5:69">
      <c r="E83" s="165">
        <f t="shared" si="18"/>
        <v>18500</v>
      </c>
      <c r="F83" s="157">
        <v>0.11154212591197382</v>
      </c>
      <c r="G83" s="157">
        <v>9.7498179259402029</v>
      </c>
      <c r="H83" s="157">
        <v>295.04231899847855</v>
      </c>
      <c r="I83" s="157">
        <f t="shared" ca="1" si="11"/>
        <v>1.8628690224865272</v>
      </c>
      <c r="J83" s="157">
        <f t="shared" ca="1" si="13"/>
        <v>0.40000000000000008</v>
      </c>
      <c r="K83" s="157">
        <f t="shared" ca="1" si="14"/>
        <v>118.01692759939144</v>
      </c>
      <c r="L83" s="157">
        <f ca="1">1.2*SQRT(N83*G83/(0.5*F83*SRef*RADIANS(alpha_max_voil)*Czalpha_voil))</f>
        <v>136.43163904555038</v>
      </c>
      <c r="M83" s="134">
        <f t="shared" ca="1" si="15"/>
        <v>136.43163904555038</v>
      </c>
      <c r="N83" s="157">
        <f ca="1">N82-U83</f>
        <v>8630.4314230421805</v>
      </c>
      <c r="O83" s="157">
        <f ca="1">N83*G83/((0.5*F83*SRef*M83^2))</f>
        <v>0.55879305067419982</v>
      </c>
      <c r="P83" s="157">
        <f ca="1">INDEX(Aerodynamique!$T$6:$T$546,MATCH(O83,Aerodynamique!$Y$6:$Y$546,1))</f>
        <v>2.7000000000000064</v>
      </c>
      <c r="Q83" s="220">
        <f ca="1">(0.5*SRef*F83*M83^2)*INDEX(Aerodynamique!$Z$6:$Z$546,MATCH(O83,Aerodynamique!$Y$6:$Y$546,1))</f>
        <v>2493.0929744963219</v>
      </c>
      <c r="R83" s="219">
        <f t="shared" ca="1" si="12"/>
        <v>2275.5747792187899</v>
      </c>
      <c r="S83" s="157">
        <f ca="1">R83*M83/(N83*G83)-F83*SRef*Cx0_avion*(M83^3)/(2*N83*G83)-2*(N83*G83)/(F83*SRef*PI()*all_voil*M83)</f>
        <v>8.2911691695642831E-2</v>
      </c>
      <c r="T83" s="157">
        <f ca="1">(E83-E82)/S82</f>
        <v>3101.5121544534495</v>
      </c>
      <c r="U83" s="157">
        <f ca="1">I82*R82*T83/(3600*10)</f>
        <v>380.68744744620278</v>
      </c>
      <c r="W83"/>
      <c r="X83"/>
      <c r="Y83"/>
      <c r="Z83"/>
      <c r="AA83"/>
      <c r="AB83"/>
      <c r="AC83"/>
      <c r="AD83"/>
      <c r="AE83" s="168"/>
      <c r="AG83" s="157">
        <f ca="1">$N$9+(($N$70-$N$9)/($E$70-$E$9))*(AI83-$E$9)</f>
        <v>14157.841588534297</v>
      </c>
      <c r="AI83" s="165">
        <f t="shared" si="16"/>
        <v>18500</v>
      </c>
      <c r="AJ83" s="157">
        <v>-73.577575374279235</v>
      </c>
      <c r="AK83" s="157">
        <v>-14.457133763646453</v>
      </c>
      <c r="AL83" s="157">
        <v>-9.4219156528557786</v>
      </c>
      <c r="AM83" s="157">
        <v>-6.8486464196740258</v>
      </c>
      <c r="AN83" s="157">
        <v>-5.2661282433656087</v>
      </c>
      <c r="AO83" s="157">
        <v>-4.1849306994464248</v>
      </c>
      <c r="AP83" s="157">
        <v>-3.3961254674927766</v>
      </c>
      <c r="AQ83" s="157">
        <v>-2.795969879757378</v>
      </c>
      <c r="AR83" s="157">
        <v>-2.3274679911418819</v>
      </c>
      <c r="AS83" s="157">
        <v>-1.9569949079664268</v>
      </c>
      <c r="AT83" s="157">
        <v>-1.6636713962414467</v>
      </c>
      <c r="AU83" s="157">
        <v>-1.4340511111495085</v>
      </c>
      <c r="AV83" s="157">
        <v>-1.2592598114684579</v>
      </c>
      <c r="AW83" s="157">
        <v>-1.1333605735539947</v>
      </c>
      <c r="AX83" s="157">
        <v>-1.0523728800027901</v>
      </c>
      <c r="AY83" s="157">
        <v>-1.013659522215886</v>
      </c>
      <c r="AZ83" s="157">
        <v>-1.0155298745860393</v>
      </c>
      <c r="BA83" s="157">
        <v>-1.0569754073607527</v>
      </c>
      <c r="BB83" s="157">
        <v>-1.137488731237928</v>
      </c>
      <c r="BC83" s="157">
        <v>-1.2569369510592536</v>
      </c>
      <c r="BD83" s="157">
        <v>-1.4154712398204123</v>
      </c>
      <c r="BE83" s="157">
        <v>-1.6134611232308662</v>
      </c>
      <c r="BF83" s="157">
        <v>-1.8514459695431553</v>
      </c>
      <c r="BG83" s="157">
        <v>-2.1300986819971186</v>
      </c>
      <c r="BH83" s="157">
        <v>-2.4501981926768175</v>
      </c>
      <c r="BI83" s="157">
        <v>-2.812608403407189</v>
      </c>
      <c r="BJ83" s="157">
        <v>-3.2182619168875313</v>
      </c>
      <c r="BK83" s="157">
        <v>-3.6681473742594859</v>
      </c>
      <c r="BL83" s="157">
        <v>-4.163299541138783</v>
      </c>
      <c r="BM83" s="157">
        <v>-4.7047915118333474</v>
      </c>
      <c r="BN83" s="157">
        <v>-5.2937285626712995</v>
      </c>
      <c r="BO83" s="157">
        <v>-5.9312433008536347</v>
      </c>
      <c r="BQ83" s="157">
        <f t="shared" si="17"/>
        <v>-1.013659522215886</v>
      </c>
    </row>
    <row r="84" spans="5:69">
      <c r="E84" s="165">
        <f t="shared" si="18"/>
        <v>18750</v>
      </c>
      <c r="F84" s="157">
        <v>0.10723040427773013</v>
      </c>
      <c r="G84" s="157">
        <v>9.7490533112197237</v>
      </c>
      <c r="H84" s="157">
        <v>295.04231899847855</v>
      </c>
      <c r="I84" s="157" t="e">
        <f t="shared" ca="1" si="11"/>
        <v>#N/A</v>
      </c>
      <c r="J84" s="157" t="e">
        <f t="shared" ca="1" si="13"/>
        <v>#N/A</v>
      </c>
      <c r="K84" s="157" t="e">
        <f t="shared" ca="1" si="14"/>
        <v>#N/A</v>
      </c>
      <c r="L84" s="157">
        <f ca="1">1.2*SQRT(N84*G84/(0.5*F84*SRef*RADIANS(alpha_max_voil)*Czalpha_voil))</f>
        <v>136.24989916120495</v>
      </c>
      <c r="M84" s="134" t="e">
        <f t="shared" ca="1" si="15"/>
        <v>#N/A</v>
      </c>
      <c r="N84" s="157">
        <f ca="1">N83-U84</f>
        <v>8275.3768062746549</v>
      </c>
      <c r="O84" s="157" t="e">
        <f ca="1">N84*G84/((0.5*F84*SRef*M84^2))</f>
        <v>#N/A</v>
      </c>
      <c r="P84" s="157" t="e">
        <f ca="1">INDEX(Aerodynamique!$T$6:$T$546,MATCH(O84,Aerodynamique!$Y$6:$Y$546,1))</f>
        <v>#N/A</v>
      </c>
      <c r="Q84" s="220" t="e">
        <f ca="1">(0.5*SRef*F84*M84^2)*INDEX(Aerodynamique!$Z$6:$Z$546,MATCH(O84,Aerodynamique!$Y$6:$Y$546,1))</f>
        <v>#N/A</v>
      </c>
      <c r="R84" s="219">
        <f t="shared" ca="1" si="12"/>
        <v>2180.7227764874683</v>
      </c>
      <c r="S84" s="157" t="e">
        <f ca="1">R84*M84/(N84*G84)-F84*SRef*Cx0_avion*(M84^3)/(2*N84*G84)-2*(N84*G84)/(F84*SRef*PI()*all_voil*M84)</f>
        <v>#N/A</v>
      </c>
      <c r="T84" s="157">
        <f ca="1">(E84-E83)/S83</f>
        <v>3015.2562912081794</v>
      </c>
      <c r="U84" s="157">
        <f ca="1">I83*R83*T84/(3600*10)</f>
        <v>355.05461676752645</v>
      </c>
      <c r="W84"/>
      <c r="X84"/>
      <c r="Y84"/>
      <c r="Z84"/>
      <c r="AA84"/>
      <c r="AB84"/>
      <c r="AC84"/>
      <c r="AD84"/>
      <c r="AE84" s="168"/>
    </row>
    <row r="85" spans="5:69">
      <c r="AB85" s="168"/>
      <c r="AC85" s="168"/>
      <c r="AD85" s="168"/>
      <c r="AE85" s="168"/>
      <c r="AI85" s="176" t="s">
        <v>356</v>
      </c>
      <c r="AJ85" s="152">
        <f>AVERAGE(AJ9:AJ83)</f>
        <v>-26.172406465460348</v>
      </c>
      <c r="AK85" s="152">
        <f t="shared" ref="AK85:AZ85" si="19">AVERAGE(AK9:AK83)</f>
        <v>-3.9293990638441163</v>
      </c>
      <c r="AL85" s="152">
        <f t="shared" si="19"/>
        <v>-1.5279856357945294</v>
      </c>
      <c r="AM85" s="152">
        <f t="shared" si="19"/>
        <v>-4.6616720351300364E-2</v>
      </c>
      <c r="AN85" s="152">
        <f t="shared" si="19"/>
        <v>1.0362581035672103</v>
      </c>
      <c r="AO85" s="152">
        <f t="shared" si="19"/>
        <v>1.8895207634604851</v>
      </c>
      <c r="AP85" s="152">
        <f t="shared" si="19"/>
        <v>2.5813052393769045</v>
      </c>
      <c r="AQ85" s="152">
        <f t="shared" si="19"/>
        <v>3.1419783487452939</v>
      </c>
      <c r="AR85" s="152">
        <f t="shared" si="19"/>
        <v>3.5851339116378229</v>
      </c>
      <c r="AS85" s="152">
        <f t="shared" si="19"/>
        <v>3.9159909180887476</v>
      </c>
      <c r="AT85" s="152">
        <f t="shared" si="19"/>
        <v>4.1352113144595899</v>
      </c>
      <c r="AU85" s="152">
        <f t="shared" si="19"/>
        <v>4.2408092737416077</v>
      </c>
      <c r="AV85" s="152">
        <f t="shared" si="19"/>
        <v>4.2291795823790546</v>
      </c>
      <c r="AW85" s="152">
        <f t="shared" si="19"/>
        <v>4.0956855495434263</v>
      </c>
      <c r="AX85" s="152">
        <f t="shared" si="19"/>
        <v>3.8350119533786278</v>
      </c>
      <c r="AY85" s="152">
        <f t="shared" si="19"/>
        <v>3.4413857730955875</v>
      </c>
      <c r="AZ85" s="152">
        <f t="shared" si="19"/>
        <v>2.9087190949647712</v>
      </c>
    </row>
    <row r="86" spans="5:69">
      <c r="AB86" s="168"/>
      <c r="AC86" s="168"/>
      <c r="AD86" s="168"/>
      <c r="AE86" s="168"/>
    </row>
    <row r="88" spans="5:69">
      <c r="AB88" s="166"/>
    </row>
    <row r="89" spans="5:69">
      <c r="AI89" s="158"/>
    </row>
  </sheetData>
  <conditionalFormatting sqref="R9:R84">
    <cfRule type="cellIs" dxfId="2" priority="4" operator="lessThan">
      <formula>Q9</formula>
    </cfRule>
  </conditionalFormatting>
  <conditionalFormatting sqref="Q9:Q84">
    <cfRule type="cellIs" dxfId="1" priority="3" operator="lessThan">
      <formula>R9</formula>
    </cfRule>
  </conditionalFormatting>
  <conditionalFormatting sqref="P9:P84">
    <cfRule type="cellIs" dxfId="0" priority="5" operator="greaterThan">
      <formula>$B$40</formula>
    </cfRule>
  </conditionalFormatting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3"/>
  <dimension ref="A3:M782"/>
  <sheetViews>
    <sheetView workbookViewId="0">
      <selection activeCell="B11" sqref="B11"/>
    </sheetView>
  </sheetViews>
  <sheetFormatPr baseColWidth="10" defaultRowHeight="12.75"/>
  <cols>
    <col min="1" max="1" width="27" customWidth="1"/>
    <col min="4" max="4" width="17.140625" customWidth="1"/>
    <col min="8" max="8" width="15.28515625" customWidth="1"/>
    <col min="16" max="16" width="12.42578125" customWidth="1"/>
  </cols>
  <sheetData>
    <row r="3" spans="1:13">
      <c r="A3" s="124" t="s">
        <v>341</v>
      </c>
      <c r="B3" s="84">
        <f ca="1">N*F0*(rho/1.225)^1.08*(1-M_montee_maximale+0.5*M_montee_maximale^2)^0.45</f>
        <v>3964.6898207126901</v>
      </c>
      <c r="D3" s="208" t="s">
        <v>384</v>
      </c>
      <c r="E3" s="87">
        <v>1</v>
      </c>
      <c r="F3" s="87"/>
      <c r="G3" s="87"/>
    </row>
    <row r="4" spans="1:13" ht="38.25">
      <c r="E4" s="211" t="s">
        <v>385</v>
      </c>
      <c r="F4" s="209" t="s">
        <v>386</v>
      </c>
      <c r="G4" s="209" t="s">
        <v>357</v>
      </c>
      <c r="H4" s="204" t="s">
        <v>387</v>
      </c>
      <c r="I4" s="204" t="s">
        <v>186</v>
      </c>
      <c r="J4" s="204" t="s">
        <v>388</v>
      </c>
      <c r="K4" s="204" t="s">
        <v>389</v>
      </c>
      <c r="L4" s="204" t="s">
        <v>390</v>
      </c>
      <c r="M4" s="204" t="s">
        <v>405</v>
      </c>
    </row>
    <row r="5" spans="1:13">
      <c r="E5" s="207">
        <v>0</v>
      </c>
    </row>
    <row r="6" spans="1:13">
      <c r="A6" s="125" t="s">
        <v>380</v>
      </c>
      <c r="B6" s="84">
        <f ca="1">Montée!B38-M_debut_descente</f>
        <v>4936.536003748346</v>
      </c>
      <c r="E6" s="210">
        <f t="shared" ref="E6:E69" si="0">E5+$E$3</f>
        <v>1</v>
      </c>
      <c r="F6">
        <f ca="1">M_debut_croisiere</f>
        <v>14693.187260897281</v>
      </c>
      <c r="G6">
        <f t="shared" ref="G6:G69" ca="1" si="1">2*F6*g/(rho*V^2*SRef)</f>
        <v>0.48712770085807239</v>
      </c>
      <c r="H6">
        <f ca="1">INDEX(Aerodynamique!$T$6:$T$546,MATCH(G6,Aerodynamique!$Y$6:$Y$546,1))</f>
        <v>1.9500000000000088</v>
      </c>
      <c r="I6">
        <f ca="1">INDEX(Aerodynamique!$Z$6:$Z$546,MATCH(G6,Aerodynamique!$Y$6:$Y$546,1))</f>
        <v>1.5076910940240589E-2</v>
      </c>
      <c r="J6">
        <f t="shared" ref="J6:J69" ca="1" si="2">(1/2)*rho*V^2*SRef*I6</f>
        <v>4438.3988762042127</v>
      </c>
      <c r="K6" s="86">
        <f ca="1">INDEX(Aerodynamique!$AC$6:$AC$1006,MATCH(INDEX(Aerodynamique!$W$6:$W$546,MATCH(G6,Aerodynamique!$Y$6:$Y$546,1)),Aerodynamique!$AD$6:$AD$1006,-1))</f>
        <v>-4.9199999999999866</v>
      </c>
      <c r="L6">
        <f ca="1">Montée!$B$19*((E6-E5)/60)*J6/10</f>
        <v>14.191098819493849</v>
      </c>
      <c r="M6">
        <f ca="1">L6</f>
        <v>14.191098819493849</v>
      </c>
    </row>
    <row r="7" spans="1:13">
      <c r="E7" s="210">
        <f t="shared" si="0"/>
        <v>2</v>
      </c>
      <c r="F7">
        <f t="shared" ref="F7:F70" ca="1" si="3">F6-L6</f>
        <v>14678.996162077787</v>
      </c>
      <c r="G7">
        <f t="shared" ca="1" si="1"/>
        <v>0.48665721904784004</v>
      </c>
      <c r="H7">
        <f ca="1">INDEX(Aerodynamique!$T$6:$T$546,MATCH(G7,Aerodynamique!$Y$6:$Y$546,1))</f>
        <v>1.9500000000000088</v>
      </c>
      <c r="I7">
        <f ca="1">INDEX(Aerodynamique!$Z$6:$Z$546,MATCH(G7,Aerodynamique!$Y$6:$Y$546,1))</f>
        <v>1.5076910940240589E-2</v>
      </c>
      <c r="J7">
        <f t="shared" ca="1" si="2"/>
        <v>4438.3988762042127</v>
      </c>
      <c r="K7" s="86">
        <f ca="1">INDEX(Aerodynamique!$AC$6:$AC$1006,MATCH(INDEX(Aerodynamique!$W$6:$W$546,MATCH(G7,Aerodynamique!$Y$6:$Y$546,1)),Aerodynamique!$AD$6:$AD$1006,-1))</f>
        <v>-4.9199999999999866</v>
      </c>
      <c r="L7">
        <f ca="1">Montée!$B$19*((E7-E6)/60)*J7/10</f>
        <v>14.191098819493849</v>
      </c>
      <c r="M7">
        <f ca="1">M6+L7</f>
        <v>28.382197638987698</v>
      </c>
    </row>
    <row r="8" spans="1:13">
      <c r="A8" s="125" t="s">
        <v>381</v>
      </c>
      <c r="B8" s="88">
        <f ca="1">INDEX(E5:E782,MATCH(B6,M5:M782,1))+E3</f>
        <v>382</v>
      </c>
      <c r="E8" s="210">
        <f t="shared" si="0"/>
        <v>3</v>
      </c>
      <c r="F8">
        <f t="shared" ca="1" si="3"/>
        <v>14664.805063258293</v>
      </c>
      <c r="G8">
        <f t="shared" ca="1" si="1"/>
        <v>0.48618673723760769</v>
      </c>
      <c r="H8">
        <f ca="1">INDEX(Aerodynamique!$T$6:$T$546,MATCH(G8,Aerodynamique!$Y$6:$Y$546,1))</f>
        <v>1.9500000000000088</v>
      </c>
      <c r="I8">
        <f ca="1">INDEX(Aerodynamique!$Z$6:$Z$546,MATCH(G8,Aerodynamique!$Y$6:$Y$546,1))</f>
        <v>1.5076910940240589E-2</v>
      </c>
      <c r="J8">
        <f t="shared" ca="1" si="2"/>
        <v>4438.3988762042127</v>
      </c>
      <c r="K8" s="86">
        <f ca="1">INDEX(Aerodynamique!$AC$6:$AC$1006,MATCH(INDEX(Aerodynamique!$W$6:$W$546,MATCH(G8,Aerodynamique!$Y$6:$Y$546,1)),Aerodynamique!$AD$6:$AD$1006,-1))</f>
        <v>-4.9199999999999866</v>
      </c>
      <c r="L8">
        <f ca="1">Montée!$B$19*((E8-E7)/60)*J8/10</f>
        <v>14.191098819493849</v>
      </c>
      <c r="M8">
        <f t="shared" ref="M8:M71" ca="1" si="4">M7+L8</f>
        <v>42.573296458481551</v>
      </c>
    </row>
    <row r="9" spans="1:13">
      <c r="A9" s="125" t="s">
        <v>382</v>
      </c>
      <c r="B9" s="84">
        <f ca="1">B8/60</f>
        <v>6.3666666666666663</v>
      </c>
      <c r="E9" s="210">
        <f t="shared" si="0"/>
        <v>4</v>
      </c>
      <c r="F9">
        <f t="shared" ca="1" si="3"/>
        <v>14650.613964438799</v>
      </c>
      <c r="G9">
        <f t="shared" ca="1" si="1"/>
        <v>0.4857162554273754</v>
      </c>
      <c r="H9">
        <f ca="1">INDEX(Aerodynamique!$T$6:$T$546,MATCH(G9,Aerodynamique!$Y$6:$Y$546,1))</f>
        <v>1.9500000000000088</v>
      </c>
      <c r="I9">
        <f ca="1">INDEX(Aerodynamique!$Z$6:$Z$546,MATCH(G9,Aerodynamique!$Y$6:$Y$546,1))</f>
        <v>1.5076910940240589E-2</v>
      </c>
      <c r="J9">
        <f t="shared" ca="1" si="2"/>
        <v>4438.3988762042127</v>
      </c>
      <c r="K9" s="86">
        <f ca="1">INDEX(Aerodynamique!$AC$6:$AC$1006,MATCH(INDEX(Aerodynamique!$W$6:$W$546,MATCH(G9,Aerodynamique!$Y$6:$Y$546,1)),Aerodynamique!$AD$6:$AD$1006,-1))</f>
        <v>-4.9199999999999866</v>
      </c>
      <c r="L9">
        <f ca="1">Montée!$B$19*((E9-E8)/60)*J9/10</f>
        <v>14.191098819493849</v>
      </c>
      <c r="M9">
        <f t="shared" ca="1" si="4"/>
        <v>56.764395277975396</v>
      </c>
    </row>
    <row r="10" spans="1:13">
      <c r="E10" s="210">
        <f t="shared" si="0"/>
        <v>5</v>
      </c>
      <c r="F10">
        <f t="shared" ca="1" si="3"/>
        <v>14636.422865619305</v>
      </c>
      <c r="G10">
        <f t="shared" ca="1" si="1"/>
        <v>0.48524577361714305</v>
      </c>
      <c r="H10">
        <f ca="1">INDEX(Aerodynamique!$T$6:$T$546,MATCH(G10,Aerodynamique!$Y$6:$Y$546,1))</f>
        <v>1.9500000000000088</v>
      </c>
      <c r="I10">
        <f ca="1">INDEX(Aerodynamique!$Z$6:$Z$546,MATCH(G10,Aerodynamique!$Y$6:$Y$546,1))</f>
        <v>1.5076910940240589E-2</v>
      </c>
      <c r="J10">
        <f t="shared" ca="1" si="2"/>
        <v>4438.3988762042127</v>
      </c>
      <c r="K10" s="86">
        <f ca="1">INDEX(Aerodynamique!$AC$6:$AC$1006,MATCH(INDEX(Aerodynamique!$W$6:$W$546,MATCH(G10,Aerodynamique!$Y$6:$Y$546,1)),Aerodynamique!$AD$6:$AD$1006,-1))</f>
        <v>-4.9199999999999866</v>
      </c>
      <c r="L10">
        <f ca="1">Montée!$B$19*((E10-E9)/60)*J10/10</f>
        <v>14.191098819493849</v>
      </c>
      <c r="M10">
        <f t="shared" ca="1" si="4"/>
        <v>70.955494097469241</v>
      </c>
    </row>
    <row r="11" spans="1:13">
      <c r="A11" s="125" t="s">
        <v>383</v>
      </c>
      <c r="B11" s="84">
        <f ca="1">B8*60*V/1000</f>
        <v>3381.1849757225646</v>
      </c>
      <c r="E11" s="210">
        <f t="shared" si="0"/>
        <v>6</v>
      </c>
      <c r="F11">
        <f t="shared" ca="1" si="3"/>
        <v>14622.23176679981</v>
      </c>
      <c r="G11">
        <f t="shared" ca="1" si="1"/>
        <v>0.48477529180691065</v>
      </c>
      <c r="H11">
        <f ca="1">INDEX(Aerodynamique!$T$6:$T$546,MATCH(G11,Aerodynamique!$Y$6:$Y$546,1))</f>
        <v>1.9500000000000088</v>
      </c>
      <c r="I11">
        <f ca="1">INDEX(Aerodynamique!$Z$6:$Z$546,MATCH(G11,Aerodynamique!$Y$6:$Y$546,1))</f>
        <v>1.5076910940240589E-2</v>
      </c>
      <c r="J11">
        <f t="shared" ca="1" si="2"/>
        <v>4438.3988762042127</v>
      </c>
      <c r="K11" s="86">
        <f ca="1">INDEX(Aerodynamique!$AC$6:$AC$1006,MATCH(INDEX(Aerodynamique!$W$6:$W$546,MATCH(G11,Aerodynamique!$Y$6:$Y$546,1)),Aerodynamique!$AD$6:$AD$1006,-1))</f>
        <v>-4.9199999999999866</v>
      </c>
      <c r="L11">
        <f ca="1">Montée!$B$19*((E11-E10)/60)*J11/10</f>
        <v>14.191098819493849</v>
      </c>
      <c r="M11">
        <f t="shared" ca="1" si="4"/>
        <v>85.146592916963087</v>
      </c>
    </row>
    <row r="12" spans="1:13">
      <c r="E12" s="210">
        <f t="shared" si="0"/>
        <v>7</v>
      </c>
      <c r="F12">
        <f t="shared" ca="1" si="3"/>
        <v>14608.040667980316</v>
      </c>
      <c r="G12">
        <f t="shared" ca="1" si="1"/>
        <v>0.4843048099966783</v>
      </c>
      <c r="H12">
        <f ca="1">INDEX(Aerodynamique!$T$6:$T$546,MATCH(G12,Aerodynamique!$Y$6:$Y$546,1))</f>
        <v>1.9500000000000088</v>
      </c>
      <c r="I12">
        <f ca="1">INDEX(Aerodynamique!$Z$6:$Z$546,MATCH(G12,Aerodynamique!$Y$6:$Y$546,1))</f>
        <v>1.5076910940240589E-2</v>
      </c>
      <c r="J12">
        <f t="shared" ca="1" si="2"/>
        <v>4438.3988762042127</v>
      </c>
      <c r="K12" s="86">
        <f ca="1">INDEX(Aerodynamique!$AC$6:$AC$1006,MATCH(INDEX(Aerodynamique!$W$6:$W$546,MATCH(G12,Aerodynamique!$Y$6:$Y$546,1)),Aerodynamique!$AD$6:$AD$1006,-1))</f>
        <v>-4.9199999999999866</v>
      </c>
      <c r="L12">
        <f ca="1">Montée!$B$19*((E12-E11)/60)*J12/10</f>
        <v>14.191098819493849</v>
      </c>
      <c r="M12">
        <f t="shared" ca="1" si="4"/>
        <v>99.337691736456932</v>
      </c>
    </row>
    <row r="13" spans="1:13">
      <c r="E13" s="210">
        <f t="shared" si="0"/>
        <v>8</v>
      </c>
      <c r="F13">
        <f t="shared" ca="1" si="3"/>
        <v>14593.849569160822</v>
      </c>
      <c r="G13">
        <f t="shared" ca="1" si="1"/>
        <v>0.48383432818644595</v>
      </c>
      <c r="H13">
        <f ca="1">INDEX(Aerodynamique!$T$6:$T$546,MATCH(G13,Aerodynamique!$Y$6:$Y$546,1))</f>
        <v>1.9000000000000088</v>
      </c>
      <c r="I13">
        <f ca="1">INDEX(Aerodynamique!$Z$6:$Z$546,MATCH(G13,Aerodynamique!$Y$6:$Y$546,1))</f>
        <v>1.4986834668793244E-2</v>
      </c>
      <c r="J13">
        <f t="shared" ca="1" si="2"/>
        <v>4411.8818778914156</v>
      </c>
      <c r="K13" s="86">
        <f ca="1">INDEX(Aerodynamique!$AC$6:$AC$1006,MATCH(INDEX(Aerodynamique!$W$6:$W$546,MATCH(G13,Aerodynamique!$Y$6:$Y$546,1)),Aerodynamique!$AD$6:$AD$1006,-1))</f>
        <v>-4.8799999999999875</v>
      </c>
      <c r="L13">
        <f ca="1">Montée!$B$19*((E13-E12)/60)*J13/10</f>
        <v>14.106314789498086</v>
      </c>
      <c r="M13">
        <f t="shared" ca="1" si="4"/>
        <v>113.44400652595502</v>
      </c>
    </row>
    <row r="14" spans="1:13">
      <c r="A14" s="124" t="s">
        <v>406</v>
      </c>
      <c r="B14" s="84">
        <f ca="1">Montée!B38-B6/2</f>
        <v>12224.919259023107</v>
      </c>
      <c r="E14" s="210">
        <f t="shared" si="0"/>
        <v>9</v>
      </c>
      <c r="F14">
        <f t="shared" ca="1" si="3"/>
        <v>14579.743254371324</v>
      </c>
      <c r="G14">
        <f t="shared" ca="1" si="1"/>
        <v>0.48336665724691635</v>
      </c>
      <c r="H14">
        <f ca="1">INDEX(Aerodynamique!$T$6:$T$546,MATCH(G14,Aerodynamique!$Y$6:$Y$546,1))</f>
        <v>1.9000000000000088</v>
      </c>
      <c r="I14">
        <f ca="1">INDEX(Aerodynamique!$Z$6:$Z$546,MATCH(G14,Aerodynamique!$Y$6:$Y$546,1))</f>
        <v>1.4986834668793244E-2</v>
      </c>
      <c r="J14">
        <f t="shared" ca="1" si="2"/>
        <v>4411.8818778914156</v>
      </c>
      <c r="K14" s="86">
        <f ca="1">INDEX(Aerodynamique!$AC$6:$AC$1006,MATCH(INDEX(Aerodynamique!$W$6:$W$546,MATCH(G14,Aerodynamique!$Y$6:$Y$546,1)),Aerodynamique!$AD$6:$AD$1006,-1))</f>
        <v>-4.8799999999999875</v>
      </c>
      <c r="L14">
        <f ca="1">Montée!$B$19*((E14-E13)/60)*J14/10</f>
        <v>14.106314789498086</v>
      </c>
      <c r="M14">
        <f t="shared" ca="1" si="4"/>
        <v>127.5503213154531</v>
      </c>
    </row>
    <row r="15" spans="1:13">
      <c r="A15" s="124" t="s">
        <v>407</v>
      </c>
      <c r="B15" s="223">
        <f ca="1">(B6/2)/QI</f>
        <v>0.32642561413037391</v>
      </c>
      <c r="E15" s="210">
        <f t="shared" si="0"/>
        <v>10</v>
      </c>
      <c r="F15">
        <f t="shared" ca="1" si="3"/>
        <v>14565.636939581826</v>
      </c>
      <c r="G15">
        <f t="shared" ca="1" si="1"/>
        <v>0.48289898630738665</v>
      </c>
      <c r="H15">
        <f ca="1">INDEX(Aerodynamique!$T$6:$T$546,MATCH(G15,Aerodynamique!$Y$6:$Y$546,1))</f>
        <v>1.9000000000000088</v>
      </c>
      <c r="I15">
        <f ca="1">INDEX(Aerodynamique!$Z$6:$Z$546,MATCH(G15,Aerodynamique!$Y$6:$Y$546,1))</f>
        <v>1.4986834668793244E-2</v>
      </c>
      <c r="J15">
        <f t="shared" ca="1" si="2"/>
        <v>4411.8818778914156</v>
      </c>
      <c r="K15" s="86">
        <f ca="1">INDEX(Aerodynamique!$AC$6:$AC$1006,MATCH(INDEX(Aerodynamique!$W$6:$W$546,MATCH(G15,Aerodynamique!$Y$6:$Y$546,1)),Aerodynamique!$AD$6:$AD$1006,-1))</f>
        <v>-4.8799999999999875</v>
      </c>
      <c r="L15">
        <f ca="1">Montée!$B$19*((E15-E14)/60)*J15/10</f>
        <v>14.106314789498086</v>
      </c>
      <c r="M15">
        <f t="shared" ca="1" si="4"/>
        <v>141.65663610495119</v>
      </c>
    </row>
    <row r="16" spans="1:13">
      <c r="E16" s="210">
        <f t="shared" si="0"/>
        <v>11</v>
      </c>
      <c r="F16">
        <f t="shared" ca="1" si="3"/>
        <v>14551.530624792327</v>
      </c>
      <c r="G16">
        <f t="shared" ca="1" si="1"/>
        <v>0.48243131536785705</v>
      </c>
      <c r="H16">
        <f ca="1">INDEX(Aerodynamique!$T$6:$T$546,MATCH(G16,Aerodynamique!$Y$6:$Y$546,1))</f>
        <v>1.9000000000000088</v>
      </c>
      <c r="I16">
        <f ca="1">INDEX(Aerodynamique!$Z$6:$Z$546,MATCH(G16,Aerodynamique!$Y$6:$Y$546,1))</f>
        <v>1.4986834668793244E-2</v>
      </c>
      <c r="J16">
        <f t="shared" ca="1" si="2"/>
        <v>4411.8818778914156</v>
      </c>
      <c r="K16" s="86">
        <f ca="1">INDEX(Aerodynamique!$AC$6:$AC$1006,MATCH(INDEX(Aerodynamique!$W$6:$W$546,MATCH(G16,Aerodynamique!$Y$6:$Y$546,1)),Aerodynamique!$AD$6:$AD$1006,-1))</f>
        <v>-4.8799999999999875</v>
      </c>
      <c r="L16">
        <f ca="1">Montée!$B$19*((E16-E15)/60)*J16/10</f>
        <v>14.106314789498086</v>
      </c>
      <c r="M16">
        <f t="shared" ca="1" si="4"/>
        <v>155.76295089444926</v>
      </c>
    </row>
    <row r="17" spans="5:13">
      <c r="E17" s="210">
        <f t="shared" si="0"/>
        <v>12</v>
      </c>
      <c r="F17">
        <f t="shared" ca="1" si="3"/>
        <v>14537.424310002829</v>
      </c>
      <c r="G17">
        <f t="shared" ca="1" si="1"/>
        <v>0.48196364442832745</v>
      </c>
      <c r="H17">
        <f ca="1">INDEX(Aerodynamique!$T$6:$T$546,MATCH(G17,Aerodynamique!$Y$6:$Y$546,1))</f>
        <v>1.9000000000000088</v>
      </c>
      <c r="I17">
        <f ca="1">INDEX(Aerodynamique!$Z$6:$Z$546,MATCH(G17,Aerodynamique!$Y$6:$Y$546,1))</f>
        <v>1.4986834668793244E-2</v>
      </c>
      <c r="J17">
        <f t="shared" ca="1" si="2"/>
        <v>4411.8818778914156</v>
      </c>
      <c r="K17" s="86">
        <f ca="1">INDEX(Aerodynamique!$AC$6:$AC$1006,MATCH(INDEX(Aerodynamique!$W$6:$W$546,MATCH(G17,Aerodynamique!$Y$6:$Y$546,1)),Aerodynamique!$AD$6:$AD$1006,-1))</f>
        <v>-4.8799999999999875</v>
      </c>
      <c r="L17">
        <f ca="1">Montée!$B$19*((E17-E16)/60)*J17/10</f>
        <v>14.106314789498086</v>
      </c>
      <c r="M17">
        <f t="shared" ca="1" si="4"/>
        <v>169.86926568394733</v>
      </c>
    </row>
    <row r="18" spans="5:13">
      <c r="E18" s="210">
        <f t="shared" si="0"/>
        <v>13</v>
      </c>
      <c r="F18">
        <f t="shared" ca="1" si="3"/>
        <v>14523.317995213331</v>
      </c>
      <c r="G18">
        <f t="shared" ca="1" si="1"/>
        <v>0.48149597348879786</v>
      </c>
      <c r="H18">
        <f ca="1">INDEX(Aerodynamique!$T$6:$T$546,MATCH(G18,Aerodynamique!$Y$6:$Y$546,1))</f>
        <v>1.9000000000000088</v>
      </c>
      <c r="I18">
        <f ca="1">INDEX(Aerodynamique!$Z$6:$Z$546,MATCH(G18,Aerodynamique!$Y$6:$Y$546,1))</f>
        <v>1.4986834668793244E-2</v>
      </c>
      <c r="J18">
        <f t="shared" ca="1" si="2"/>
        <v>4411.8818778914156</v>
      </c>
      <c r="K18" s="86">
        <f ca="1">INDEX(Aerodynamique!$AC$6:$AC$1006,MATCH(INDEX(Aerodynamique!$W$6:$W$546,MATCH(G18,Aerodynamique!$Y$6:$Y$546,1)),Aerodynamique!$AD$6:$AD$1006,-1))</f>
        <v>-4.8799999999999875</v>
      </c>
      <c r="L18">
        <f ca="1">Montée!$B$19*((E18-E17)/60)*J18/10</f>
        <v>14.106314789498086</v>
      </c>
      <c r="M18">
        <f t="shared" ca="1" si="4"/>
        <v>183.9755804734454</v>
      </c>
    </row>
    <row r="19" spans="5:13">
      <c r="E19" s="210">
        <f t="shared" si="0"/>
        <v>14</v>
      </c>
      <c r="F19">
        <f t="shared" ca="1" si="3"/>
        <v>14509.211680423832</v>
      </c>
      <c r="G19">
        <f t="shared" ca="1" si="1"/>
        <v>0.48102830254926821</v>
      </c>
      <c r="H19">
        <f ca="1">INDEX(Aerodynamique!$T$6:$T$546,MATCH(G19,Aerodynamique!$Y$6:$Y$546,1))</f>
        <v>1.9000000000000088</v>
      </c>
      <c r="I19">
        <f ca="1">INDEX(Aerodynamique!$Z$6:$Z$546,MATCH(G19,Aerodynamique!$Y$6:$Y$546,1))</f>
        <v>1.4986834668793244E-2</v>
      </c>
      <c r="J19">
        <f t="shared" ca="1" si="2"/>
        <v>4411.8818778914156</v>
      </c>
      <c r="K19" s="86">
        <f ca="1">INDEX(Aerodynamique!$AC$6:$AC$1006,MATCH(INDEX(Aerodynamique!$W$6:$W$546,MATCH(G19,Aerodynamique!$Y$6:$Y$546,1)),Aerodynamique!$AD$6:$AD$1006,-1))</f>
        <v>-4.8799999999999875</v>
      </c>
      <c r="L19">
        <f ca="1">Montée!$B$19*((E19-E18)/60)*J19/10</f>
        <v>14.106314789498086</v>
      </c>
      <c r="M19">
        <f t="shared" ca="1" si="4"/>
        <v>198.08189526294348</v>
      </c>
    </row>
    <row r="20" spans="5:13">
      <c r="E20" s="210">
        <f t="shared" si="0"/>
        <v>15</v>
      </c>
      <c r="F20">
        <f t="shared" ca="1" si="3"/>
        <v>14495.105365634334</v>
      </c>
      <c r="G20">
        <f t="shared" ca="1" si="1"/>
        <v>0.48056063160973861</v>
      </c>
      <c r="H20">
        <f ca="1">INDEX(Aerodynamique!$T$6:$T$546,MATCH(G20,Aerodynamique!$Y$6:$Y$546,1))</f>
        <v>1.9000000000000088</v>
      </c>
      <c r="I20">
        <f ca="1">INDEX(Aerodynamique!$Z$6:$Z$546,MATCH(G20,Aerodynamique!$Y$6:$Y$546,1))</f>
        <v>1.4986834668793244E-2</v>
      </c>
      <c r="J20">
        <f t="shared" ca="1" si="2"/>
        <v>4411.8818778914156</v>
      </c>
      <c r="K20" s="86">
        <f ca="1">INDEX(Aerodynamique!$AC$6:$AC$1006,MATCH(INDEX(Aerodynamique!$W$6:$W$546,MATCH(G20,Aerodynamique!$Y$6:$Y$546,1)),Aerodynamique!$AD$6:$AD$1006,-1))</f>
        <v>-4.8799999999999875</v>
      </c>
      <c r="L20">
        <f ca="1">Montée!$B$19*((E20-E19)/60)*J20/10</f>
        <v>14.106314789498086</v>
      </c>
      <c r="M20">
        <f t="shared" ca="1" si="4"/>
        <v>212.18821005244155</v>
      </c>
    </row>
    <row r="21" spans="5:13">
      <c r="E21" s="210">
        <f t="shared" si="0"/>
        <v>16</v>
      </c>
      <c r="F21">
        <f t="shared" ca="1" si="3"/>
        <v>14480.999050844835</v>
      </c>
      <c r="G21">
        <f t="shared" ca="1" si="1"/>
        <v>0.48009296067020896</v>
      </c>
      <c r="H21">
        <f ca="1">INDEX(Aerodynamique!$T$6:$T$546,MATCH(G21,Aerodynamique!$Y$6:$Y$546,1))</f>
        <v>1.9000000000000088</v>
      </c>
      <c r="I21">
        <f ca="1">INDEX(Aerodynamique!$Z$6:$Z$546,MATCH(G21,Aerodynamique!$Y$6:$Y$546,1))</f>
        <v>1.4986834668793244E-2</v>
      </c>
      <c r="J21">
        <f t="shared" ca="1" si="2"/>
        <v>4411.8818778914156</v>
      </c>
      <c r="K21" s="86">
        <f ca="1">INDEX(Aerodynamique!$AC$6:$AC$1006,MATCH(INDEX(Aerodynamique!$W$6:$W$546,MATCH(G21,Aerodynamique!$Y$6:$Y$546,1)),Aerodynamique!$AD$6:$AD$1006,-1))</f>
        <v>-4.8799999999999875</v>
      </c>
      <c r="L21">
        <f ca="1">Montée!$B$19*((E21-E20)/60)*J21/10</f>
        <v>14.106314789498086</v>
      </c>
      <c r="M21">
        <f t="shared" ca="1" si="4"/>
        <v>226.29452484193962</v>
      </c>
    </row>
    <row r="22" spans="5:13">
      <c r="E22" s="210">
        <f t="shared" si="0"/>
        <v>17</v>
      </c>
      <c r="F22">
        <f t="shared" ca="1" si="3"/>
        <v>14466.892736055337</v>
      </c>
      <c r="G22">
        <f t="shared" ca="1" si="1"/>
        <v>0.47962528973067931</v>
      </c>
      <c r="H22">
        <f ca="1">INDEX(Aerodynamique!$T$6:$T$546,MATCH(G22,Aerodynamique!$Y$6:$Y$546,1))</f>
        <v>1.9000000000000088</v>
      </c>
      <c r="I22">
        <f ca="1">INDEX(Aerodynamique!$Z$6:$Z$546,MATCH(G22,Aerodynamique!$Y$6:$Y$546,1))</f>
        <v>1.4986834668793244E-2</v>
      </c>
      <c r="J22">
        <f t="shared" ca="1" si="2"/>
        <v>4411.8818778914156</v>
      </c>
      <c r="K22" s="86">
        <f ca="1">INDEX(Aerodynamique!$AC$6:$AC$1006,MATCH(INDEX(Aerodynamique!$W$6:$W$546,MATCH(G22,Aerodynamique!$Y$6:$Y$546,1)),Aerodynamique!$AD$6:$AD$1006,-1))</f>
        <v>-4.8799999999999875</v>
      </c>
      <c r="L22">
        <f ca="1">Montée!$B$19*((E22-E21)/60)*J22/10</f>
        <v>14.106314789498086</v>
      </c>
      <c r="M22">
        <f t="shared" ca="1" si="4"/>
        <v>240.40083963143769</v>
      </c>
    </row>
    <row r="23" spans="5:13">
      <c r="E23" s="210">
        <f t="shared" si="0"/>
        <v>18</v>
      </c>
      <c r="F23">
        <f t="shared" ca="1" si="3"/>
        <v>14452.786421265839</v>
      </c>
      <c r="G23">
        <f t="shared" ca="1" si="1"/>
        <v>0.47915761879114971</v>
      </c>
      <c r="H23">
        <f ca="1">INDEX(Aerodynamique!$T$6:$T$546,MATCH(G23,Aerodynamique!$Y$6:$Y$546,1))</f>
        <v>1.8500000000000087</v>
      </c>
      <c r="I23">
        <f ca="1">INDEX(Aerodynamique!$Z$6:$Z$546,MATCH(G23,Aerodynamique!$Y$6:$Y$546,1))</f>
        <v>1.4897826207358061E-2</v>
      </c>
      <c r="J23">
        <f t="shared" ca="1" si="2"/>
        <v>4385.6792255860164</v>
      </c>
      <c r="K23" s="86">
        <f ca="1">INDEX(Aerodynamique!$AC$6:$AC$1006,MATCH(INDEX(Aerodynamique!$W$6:$W$546,MATCH(G23,Aerodynamique!$Y$6:$Y$546,1)),Aerodynamique!$AD$6:$AD$1006,-1))</f>
        <v>-4.8399999999999883</v>
      </c>
      <c r="L23">
        <f ca="1">Montée!$B$19*((E23-E22)/60)*J23/10</f>
        <v>14.022535832588119</v>
      </c>
      <c r="M23">
        <f t="shared" ca="1" si="4"/>
        <v>254.42337546402581</v>
      </c>
    </row>
    <row r="24" spans="5:13">
      <c r="E24" s="210">
        <f t="shared" si="0"/>
        <v>19</v>
      </c>
      <c r="F24">
        <f t="shared" ca="1" si="3"/>
        <v>14438.763885433251</v>
      </c>
      <c r="G24">
        <f t="shared" ca="1" si="1"/>
        <v>0.47869272540082947</v>
      </c>
      <c r="H24">
        <f ca="1">INDEX(Aerodynamique!$T$6:$T$546,MATCH(G24,Aerodynamique!$Y$6:$Y$546,1))</f>
        <v>1.8500000000000087</v>
      </c>
      <c r="I24">
        <f ca="1">INDEX(Aerodynamique!$Z$6:$Z$546,MATCH(G24,Aerodynamique!$Y$6:$Y$546,1))</f>
        <v>1.4897826207358061E-2</v>
      </c>
      <c r="J24">
        <f t="shared" ca="1" si="2"/>
        <v>4385.6792255860164</v>
      </c>
      <c r="K24" s="86">
        <f ca="1">INDEX(Aerodynamique!$AC$6:$AC$1006,MATCH(INDEX(Aerodynamique!$W$6:$W$546,MATCH(G24,Aerodynamique!$Y$6:$Y$546,1)),Aerodynamique!$AD$6:$AD$1006,-1))</f>
        <v>-4.8399999999999883</v>
      </c>
      <c r="L24">
        <f ca="1">Montée!$B$19*((E24-E23)/60)*J24/10</f>
        <v>14.022535832588119</v>
      </c>
      <c r="M24">
        <f t="shared" ca="1" si="4"/>
        <v>268.44591129661393</v>
      </c>
    </row>
    <row r="25" spans="5:13">
      <c r="E25" s="210">
        <f t="shared" si="0"/>
        <v>20</v>
      </c>
      <c r="F25">
        <f t="shared" ca="1" si="3"/>
        <v>14424.741349600663</v>
      </c>
      <c r="G25">
        <f t="shared" ca="1" si="1"/>
        <v>0.47822783201050922</v>
      </c>
      <c r="H25">
        <f ca="1">INDEX(Aerodynamique!$T$6:$T$546,MATCH(G25,Aerodynamique!$Y$6:$Y$546,1))</f>
        <v>1.8500000000000087</v>
      </c>
      <c r="I25">
        <f ca="1">INDEX(Aerodynamique!$Z$6:$Z$546,MATCH(G25,Aerodynamique!$Y$6:$Y$546,1))</f>
        <v>1.4897826207358061E-2</v>
      </c>
      <c r="J25">
        <f t="shared" ca="1" si="2"/>
        <v>4385.6792255860164</v>
      </c>
      <c r="K25" s="86">
        <f ca="1">INDEX(Aerodynamique!$AC$6:$AC$1006,MATCH(INDEX(Aerodynamique!$W$6:$W$546,MATCH(G25,Aerodynamique!$Y$6:$Y$546,1)),Aerodynamique!$AD$6:$AD$1006,-1))</f>
        <v>-4.8399999999999883</v>
      </c>
      <c r="L25">
        <f ca="1">Montée!$B$19*((E25-E24)/60)*J25/10</f>
        <v>14.022535832588119</v>
      </c>
      <c r="M25">
        <f t="shared" ca="1" si="4"/>
        <v>282.46844712920205</v>
      </c>
    </row>
    <row r="26" spans="5:13">
      <c r="E26" s="210">
        <f t="shared" si="0"/>
        <v>21</v>
      </c>
      <c r="F26">
        <f t="shared" ca="1" si="3"/>
        <v>14410.718813768075</v>
      </c>
      <c r="G26">
        <f t="shared" ca="1" si="1"/>
        <v>0.47776293862018898</v>
      </c>
      <c r="H26">
        <f ca="1">INDEX(Aerodynamique!$T$6:$T$546,MATCH(G26,Aerodynamique!$Y$6:$Y$546,1))</f>
        <v>1.8500000000000087</v>
      </c>
      <c r="I26">
        <f ca="1">INDEX(Aerodynamique!$Z$6:$Z$546,MATCH(G26,Aerodynamique!$Y$6:$Y$546,1))</f>
        <v>1.4897826207358061E-2</v>
      </c>
      <c r="J26">
        <f t="shared" ca="1" si="2"/>
        <v>4385.6792255860164</v>
      </c>
      <c r="K26" s="86">
        <f ca="1">INDEX(Aerodynamique!$AC$6:$AC$1006,MATCH(INDEX(Aerodynamique!$W$6:$W$546,MATCH(G26,Aerodynamique!$Y$6:$Y$546,1)),Aerodynamique!$AD$6:$AD$1006,-1))</f>
        <v>-4.8399999999999883</v>
      </c>
      <c r="L26">
        <f ca="1">Montée!$B$19*((E26-E25)/60)*J26/10</f>
        <v>14.022535832588119</v>
      </c>
      <c r="M26">
        <f t="shared" ca="1" si="4"/>
        <v>296.49098296179017</v>
      </c>
    </row>
    <row r="27" spans="5:13">
      <c r="E27" s="210">
        <f t="shared" si="0"/>
        <v>22</v>
      </c>
      <c r="F27">
        <f t="shared" ca="1" si="3"/>
        <v>14396.696277935487</v>
      </c>
      <c r="G27">
        <f t="shared" ca="1" si="1"/>
        <v>0.47729804522986879</v>
      </c>
      <c r="H27">
        <f ca="1">INDEX(Aerodynamique!$T$6:$T$546,MATCH(G27,Aerodynamique!$Y$6:$Y$546,1))</f>
        <v>1.8500000000000087</v>
      </c>
      <c r="I27">
        <f ca="1">INDEX(Aerodynamique!$Z$6:$Z$546,MATCH(G27,Aerodynamique!$Y$6:$Y$546,1))</f>
        <v>1.4897826207358061E-2</v>
      </c>
      <c r="J27">
        <f t="shared" ca="1" si="2"/>
        <v>4385.6792255860164</v>
      </c>
      <c r="K27" s="86">
        <f ca="1">INDEX(Aerodynamique!$AC$6:$AC$1006,MATCH(INDEX(Aerodynamique!$W$6:$W$546,MATCH(G27,Aerodynamique!$Y$6:$Y$546,1)),Aerodynamique!$AD$6:$AD$1006,-1))</f>
        <v>-4.8399999999999883</v>
      </c>
      <c r="L27">
        <f ca="1">Montée!$B$19*((E27-E26)/60)*J27/10</f>
        <v>14.022535832588119</v>
      </c>
      <c r="M27">
        <f t="shared" ca="1" si="4"/>
        <v>310.51351879437829</v>
      </c>
    </row>
    <row r="28" spans="5:13">
      <c r="E28" s="210">
        <f t="shared" si="0"/>
        <v>23</v>
      </c>
      <c r="F28">
        <f t="shared" ca="1" si="3"/>
        <v>14382.673742102899</v>
      </c>
      <c r="G28">
        <f t="shared" ca="1" si="1"/>
        <v>0.47683315183954855</v>
      </c>
      <c r="H28">
        <f ca="1">INDEX(Aerodynamique!$T$6:$T$546,MATCH(G28,Aerodynamique!$Y$6:$Y$546,1))</f>
        <v>1.8500000000000087</v>
      </c>
      <c r="I28">
        <f ca="1">INDEX(Aerodynamique!$Z$6:$Z$546,MATCH(G28,Aerodynamique!$Y$6:$Y$546,1))</f>
        <v>1.4897826207358061E-2</v>
      </c>
      <c r="J28">
        <f t="shared" ca="1" si="2"/>
        <v>4385.6792255860164</v>
      </c>
      <c r="K28" s="86">
        <f ca="1">INDEX(Aerodynamique!$AC$6:$AC$1006,MATCH(INDEX(Aerodynamique!$W$6:$W$546,MATCH(G28,Aerodynamique!$Y$6:$Y$546,1)),Aerodynamique!$AD$6:$AD$1006,-1))</f>
        <v>-4.8399999999999883</v>
      </c>
      <c r="L28">
        <f ca="1">Montée!$B$19*((E28-E27)/60)*J28/10</f>
        <v>14.022535832588119</v>
      </c>
      <c r="M28">
        <f t="shared" ca="1" si="4"/>
        <v>324.5360546269664</v>
      </c>
    </row>
    <row r="29" spans="5:13">
      <c r="E29" s="210">
        <f t="shared" si="0"/>
        <v>24</v>
      </c>
      <c r="F29">
        <f t="shared" ca="1" si="3"/>
        <v>14368.651206270311</v>
      </c>
      <c r="G29">
        <f t="shared" ca="1" si="1"/>
        <v>0.47636825844922831</v>
      </c>
      <c r="H29">
        <f ca="1">INDEX(Aerodynamique!$T$6:$T$546,MATCH(G29,Aerodynamique!$Y$6:$Y$546,1))</f>
        <v>1.8500000000000087</v>
      </c>
      <c r="I29">
        <f ca="1">INDEX(Aerodynamique!$Z$6:$Z$546,MATCH(G29,Aerodynamique!$Y$6:$Y$546,1))</f>
        <v>1.4897826207358061E-2</v>
      </c>
      <c r="J29">
        <f t="shared" ca="1" si="2"/>
        <v>4385.6792255860164</v>
      </c>
      <c r="K29" s="86">
        <f ca="1">INDEX(Aerodynamique!$AC$6:$AC$1006,MATCH(INDEX(Aerodynamique!$W$6:$W$546,MATCH(G29,Aerodynamique!$Y$6:$Y$546,1)),Aerodynamique!$AD$6:$AD$1006,-1))</f>
        <v>-4.8399999999999883</v>
      </c>
      <c r="L29">
        <f ca="1">Montée!$B$19*((E29-E28)/60)*J29/10</f>
        <v>14.022535832588119</v>
      </c>
      <c r="M29">
        <f t="shared" ca="1" si="4"/>
        <v>338.55859045955452</v>
      </c>
    </row>
    <row r="30" spans="5:13">
      <c r="E30" s="210">
        <f t="shared" si="0"/>
        <v>25</v>
      </c>
      <c r="F30">
        <f t="shared" ca="1" si="3"/>
        <v>14354.628670437723</v>
      </c>
      <c r="G30">
        <f t="shared" ca="1" si="1"/>
        <v>0.47590336505890818</v>
      </c>
      <c r="H30">
        <f ca="1">INDEX(Aerodynamique!$T$6:$T$546,MATCH(G30,Aerodynamique!$Y$6:$Y$546,1))</f>
        <v>1.8500000000000087</v>
      </c>
      <c r="I30">
        <f ca="1">INDEX(Aerodynamique!$Z$6:$Z$546,MATCH(G30,Aerodynamique!$Y$6:$Y$546,1))</f>
        <v>1.4897826207358061E-2</v>
      </c>
      <c r="J30">
        <f t="shared" ca="1" si="2"/>
        <v>4385.6792255860164</v>
      </c>
      <c r="K30" s="86">
        <f ca="1">INDEX(Aerodynamique!$AC$6:$AC$1006,MATCH(INDEX(Aerodynamique!$W$6:$W$546,MATCH(G30,Aerodynamique!$Y$6:$Y$546,1)),Aerodynamique!$AD$6:$AD$1006,-1))</f>
        <v>-4.8399999999999883</v>
      </c>
      <c r="L30">
        <f ca="1">Montée!$B$19*((E30-E29)/60)*J30/10</f>
        <v>14.022535832588119</v>
      </c>
      <c r="M30">
        <f t="shared" ca="1" si="4"/>
        <v>352.58112629214264</v>
      </c>
    </row>
    <row r="31" spans="5:13">
      <c r="E31" s="210">
        <f t="shared" si="0"/>
        <v>26</v>
      </c>
      <c r="F31">
        <f t="shared" ca="1" si="3"/>
        <v>14340.606134605136</v>
      </c>
      <c r="G31">
        <f t="shared" ca="1" si="1"/>
        <v>0.47543847166858794</v>
      </c>
      <c r="H31">
        <f ca="1">INDEX(Aerodynamique!$T$6:$T$546,MATCH(G31,Aerodynamique!$Y$6:$Y$546,1))</f>
        <v>1.8500000000000087</v>
      </c>
      <c r="I31">
        <f ca="1">INDEX(Aerodynamique!$Z$6:$Z$546,MATCH(G31,Aerodynamique!$Y$6:$Y$546,1))</f>
        <v>1.4897826207358061E-2</v>
      </c>
      <c r="J31">
        <f t="shared" ca="1" si="2"/>
        <v>4385.6792255860164</v>
      </c>
      <c r="K31" s="86">
        <f ca="1">INDEX(Aerodynamique!$AC$6:$AC$1006,MATCH(INDEX(Aerodynamique!$W$6:$W$546,MATCH(G31,Aerodynamique!$Y$6:$Y$546,1)),Aerodynamique!$AD$6:$AD$1006,-1))</f>
        <v>-4.8399999999999883</v>
      </c>
      <c r="L31">
        <f ca="1">Montée!$B$19*((E31-E30)/60)*J31/10</f>
        <v>14.022535832588119</v>
      </c>
      <c r="M31">
        <f t="shared" ca="1" si="4"/>
        <v>366.60366212473076</v>
      </c>
    </row>
    <row r="32" spans="5:13">
      <c r="E32" s="210">
        <f t="shared" si="0"/>
        <v>27</v>
      </c>
      <c r="F32">
        <f t="shared" ca="1" si="3"/>
        <v>14326.583598772548</v>
      </c>
      <c r="G32">
        <f t="shared" ca="1" si="1"/>
        <v>0.47497357827826769</v>
      </c>
      <c r="H32">
        <f ca="1">INDEX(Aerodynamique!$T$6:$T$546,MATCH(G32,Aerodynamique!$Y$6:$Y$546,1))</f>
        <v>1.8500000000000087</v>
      </c>
      <c r="I32">
        <f ca="1">INDEX(Aerodynamique!$Z$6:$Z$546,MATCH(G32,Aerodynamique!$Y$6:$Y$546,1))</f>
        <v>1.4897826207358061E-2</v>
      </c>
      <c r="J32">
        <f t="shared" ca="1" si="2"/>
        <v>4385.6792255860164</v>
      </c>
      <c r="K32" s="86">
        <f ca="1">INDEX(Aerodynamique!$AC$6:$AC$1006,MATCH(INDEX(Aerodynamique!$W$6:$W$546,MATCH(G32,Aerodynamique!$Y$6:$Y$546,1)),Aerodynamique!$AD$6:$AD$1006,-1))</f>
        <v>-4.8399999999999883</v>
      </c>
      <c r="L32">
        <f ca="1">Montée!$B$19*((E32-E31)/60)*J32/10</f>
        <v>14.022535832588119</v>
      </c>
      <c r="M32">
        <f t="shared" ca="1" si="4"/>
        <v>380.62619795731888</v>
      </c>
    </row>
    <row r="33" spans="5:13">
      <c r="E33" s="210">
        <f t="shared" si="0"/>
        <v>28</v>
      </c>
      <c r="F33">
        <f t="shared" ca="1" si="3"/>
        <v>14312.56106293996</v>
      </c>
      <c r="G33">
        <f t="shared" ca="1" si="1"/>
        <v>0.47450868488794751</v>
      </c>
      <c r="H33">
        <f ca="1">INDEX(Aerodynamique!$T$6:$T$546,MATCH(G33,Aerodynamique!$Y$6:$Y$546,1))</f>
        <v>1.8500000000000087</v>
      </c>
      <c r="I33">
        <f ca="1">INDEX(Aerodynamique!$Z$6:$Z$546,MATCH(G33,Aerodynamique!$Y$6:$Y$546,1))</f>
        <v>1.4897826207358061E-2</v>
      </c>
      <c r="J33">
        <f t="shared" ca="1" si="2"/>
        <v>4385.6792255860164</v>
      </c>
      <c r="K33" s="86">
        <f ca="1">INDEX(Aerodynamique!$AC$6:$AC$1006,MATCH(INDEX(Aerodynamique!$W$6:$W$546,MATCH(G33,Aerodynamique!$Y$6:$Y$546,1)),Aerodynamique!$AD$6:$AD$1006,-1))</f>
        <v>-4.8399999999999883</v>
      </c>
      <c r="L33">
        <f ca="1">Montée!$B$19*((E33-E32)/60)*J33/10</f>
        <v>14.022535832588119</v>
      </c>
      <c r="M33">
        <f t="shared" ca="1" si="4"/>
        <v>394.648733789907</v>
      </c>
    </row>
    <row r="34" spans="5:13">
      <c r="E34" s="210">
        <f t="shared" si="0"/>
        <v>29</v>
      </c>
      <c r="F34">
        <f t="shared" ca="1" si="3"/>
        <v>14298.538527107372</v>
      </c>
      <c r="G34">
        <f t="shared" ca="1" si="1"/>
        <v>0.47404379149762726</v>
      </c>
      <c r="H34">
        <f ca="1">INDEX(Aerodynamique!$T$6:$T$546,MATCH(G34,Aerodynamique!$Y$6:$Y$546,1))</f>
        <v>1.8000000000000087</v>
      </c>
      <c r="I34">
        <f ca="1">INDEX(Aerodynamique!$Z$6:$Z$546,MATCH(G34,Aerodynamique!$Y$6:$Y$546,1))</f>
        <v>1.4809885555935032E-2</v>
      </c>
      <c r="J34">
        <f t="shared" ca="1" si="2"/>
        <v>4359.7909192880152</v>
      </c>
      <c r="K34" s="86">
        <f ca="1">INDEX(Aerodynamique!$AC$6:$AC$1006,MATCH(INDEX(Aerodynamique!$W$6:$W$546,MATCH(G34,Aerodynamique!$Y$6:$Y$546,1)),Aerodynamique!$AD$6:$AD$1006,-1))</f>
        <v>-4.7999999999999892</v>
      </c>
      <c r="L34">
        <f ca="1">Montée!$B$19*((E34-E33)/60)*J34/10</f>
        <v>13.939761948763948</v>
      </c>
      <c r="M34">
        <f t="shared" ca="1" si="4"/>
        <v>408.58849573867093</v>
      </c>
    </row>
    <row r="35" spans="5:13">
      <c r="E35" s="210">
        <f t="shared" si="0"/>
        <v>30</v>
      </c>
      <c r="F35">
        <f t="shared" ca="1" si="3"/>
        <v>14284.598765158607</v>
      </c>
      <c r="G35">
        <f t="shared" ca="1" si="1"/>
        <v>0.47358164233502303</v>
      </c>
      <c r="H35">
        <f ca="1">INDEX(Aerodynamique!$T$6:$T$546,MATCH(G35,Aerodynamique!$Y$6:$Y$546,1))</f>
        <v>1.8000000000000087</v>
      </c>
      <c r="I35">
        <f ca="1">INDEX(Aerodynamique!$Z$6:$Z$546,MATCH(G35,Aerodynamique!$Y$6:$Y$546,1))</f>
        <v>1.4809885555935032E-2</v>
      </c>
      <c r="J35">
        <f t="shared" ca="1" si="2"/>
        <v>4359.7909192880152</v>
      </c>
      <c r="K35" s="86">
        <f ca="1">INDEX(Aerodynamique!$AC$6:$AC$1006,MATCH(INDEX(Aerodynamique!$W$6:$W$546,MATCH(G35,Aerodynamique!$Y$6:$Y$546,1)),Aerodynamique!$AD$6:$AD$1006,-1))</f>
        <v>-4.7999999999999892</v>
      </c>
      <c r="L35">
        <f ca="1">Montée!$B$19*((E35-E34)/60)*J35/10</f>
        <v>13.939761948763948</v>
      </c>
      <c r="M35">
        <f t="shared" ca="1" si="4"/>
        <v>422.52825768743486</v>
      </c>
    </row>
    <row r="36" spans="5:13">
      <c r="E36" s="210">
        <f t="shared" si="0"/>
        <v>31</v>
      </c>
      <c r="F36">
        <f t="shared" ca="1" si="3"/>
        <v>14270.659003209843</v>
      </c>
      <c r="G36">
        <f t="shared" ca="1" si="1"/>
        <v>0.4731194931724188</v>
      </c>
      <c r="H36">
        <f ca="1">INDEX(Aerodynamique!$T$6:$T$546,MATCH(G36,Aerodynamique!$Y$6:$Y$546,1))</f>
        <v>1.8000000000000087</v>
      </c>
      <c r="I36">
        <f ca="1">INDEX(Aerodynamique!$Z$6:$Z$546,MATCH(G36,Aerodynamique!$Y$6:$Y$546,1))</f>
        <v>1.4809885555935032E-2</v>
      </c>
      <c r="J36">
        <f t="shared" ca="1" si="2"/>
        <v>4359.7909192880152</v>
      </c>
      <c r="K36" s="86">
        <f ca="1">INDEX(Aerodynamique!$AC$6:$AC$1006,MATCH(INDEX(Aerodynamique!$W$6:$W$546,MATCH(G36,Aerodynamique!$Y$6:$Y$546,1)),Aerodynamique!$AD$6:$AD$1006,-1))</f>
        <v>-4.7999999999999892</v>
      </c>
      <c r="L36">
        <f ca="1">Montée!$B$19*((E36-E35)/60)*J36/10</f>
        <v>13.939761948763948</v>
      </c>
      <c r="M36">
        <f t="shared" ca="1" si="4"/>
        <v>436.46801963619879</v>
      </c>
    </row>
    <row r="37" spans="5:13">
      <c r="E37" s="210">
        <f t="shared" si="0"/>
        <v>32</v>
      </c>
      <c r="F37">
        <f t="shared" ca="1" si="3"/>
        <v>14256.719241261078</v>
      </c>
      <c r="G37">
        <f t="shared" ca="1" si="1"/>
        <v>0.47265734400981457</v>
      </c>
      <c r="H37">
        <f ca="1">INDEX(Aerodynamique!$T$6:$T$546,MATCH(G37,Aerodynamique!$Y$6:$Y$546,1))</f>
        <v>1.8000000000000087</v>
      </c>
      <c r="I37">
        <f ca="1">INDEX(Aerodynamique!$Z$6:$Z$546,MATCH(G37,Aerodynamique!$Y$6:$Y$546,1))</f>
        <v>1.4809885555935032E-2</v>
      </c>
      <c r="J37">
        <f t="shared" ca="1" si="2"/>
        <v>4359.7909192880152</v>
      </c>
      <c r="K37" s="86">
        <f ca="1">INDEX(Aerodynamique!$AC$6:$AC$1006,MATCH(INDEX(Aerodynamique!$W$6:$W$546,MATCH(G37,Aerodynamique!$Y$6:$Y$546,1)),Aerodynamique!$AD$6:$AD$1006,-1))</f>
        <v>-4.7999999999999892</v>
      </c>
      <c r="L37">
        <f ca="1">Montée!$B$19*((E37-E36)/60)*J37/10</f>
        <v>13.939761948763948</v>
      </c>
      <c r="M37">
        <f t="shared" ca="1" si="4"/>
        <v>450.40778158496272</v>
      </c>
    </row>
    <row r="38" spans="5:13">
      <c r="E38" s="210">
        <f t="shared" si="0"/>
        <v>33</v>
      </c>
      <c r="F38">
        <f t="shared" ca="1" si="3"/>
        <v>14242.779479312314</v>
      </c>
      <c r="G38">
        <f t="shared" ca="1" si="1"/>
        <v>0.47219519484721034</v>
      </c>
      <c r="H38">
        <f ca="1">INDEX(Aerodynamique!$T$6:$T$546,MATCH(G38,Aerodynamique!$Y$6:$Y$546,1))</f>
        <v>1.8000000000000087</v>
      </c>
      <c r="I38">
        <f ca="1">INDEX(Aerodynamique!$Z$6:$Z$546,MATCH(G38,Aerodynamique!$Y$6:$Y$546,1))</f>
        <v>1.4809885555935032E-2</v>
      </c>
      <c r="J38">
        <f t="shared" ca="1" si="2"/>
        <v>4359.7909192880152</v>
      </c>
      <c r="K38" s="86">
        <f ca="1">INDEX(Aerodynamique!$AC$6:$AC$1006,MATCH(INDEX(Aerodynamique!$W$6:$W$546,MATCH(G38,Aerodynamique!$Y$6:$Y$546,1)),Aerodynamique!$AD$6:$AD$1006,-1))</f>
        <v>-4.7999999999999892</v>
      </c>
      <c r="L38">
        <f ca="1">Montée!$B$19*((E38-E37)/60)*J38/10</f>
        <v>13.939761948763948</v>
      </c>
      <c r="M38">
        <f t="shared" ca="1" si="4"/>
        <v>464.34754353372665</v>
      </c>
    </row>
    <row r="39" spans="5:13">
      <c r="E39" s="210">
        <f t="shared" si="0"/>
        <v>34</v>
      </c>
      <c r="F39">
        <f t="shared" ca="1" si="3"/>
        <v>14228.839717363549</v>
      </c>
      <c r="G39">
        <f t="shared" ca="1" si="1"/>
        <v>0.47173304568460622</v>
      </c>
      <c r="H39">
        <f ca="1">INDEX(Aerodynamique!$T$6:$T$546,MATCH(G39,Aerodynamique!$Y$6:$Y$546,1))</f>
        <v>1.8000000000000087</v>
      </c>
      <c r="I39">
        <f ca="1">INDEX(Aerodynamique!$Z$6:$Z$546,MATCH(G39,Aerodynamique!$Y$6:$Y$546,1))</f>
        <v>1.4809885555935032E-2</v>
      </c>
      <c r="J39">
        <f t="shared" ca="1" si="2"/>
        <v>4359.7909192880152</v>
      </c>
      <c r="K39" s="86">
        <f ca="1">INDEX(Aerodynamique!$AC$6:$AC$1006,MATCH(INDEX(Aerodynamique!$W$6:$W$546,MATCH(G39,Aerodynamique!$Y$6:$Y$546,1)),Aerodynamique!$AD$6:$AD$1006,-1))</f>
        <v>-4.7999999999999892</v>
      </c>
      <c r="L39">
        <f ca="1">Montée!$B$19*((E39-E38)/60)*J39/10</f>
        <v>13.939761948763948</v>
      </c>
      <c r="M39">
        <f t="shared" ca="1" si="4"/>
        <v>478.28730548249058</v>
      </c>
    </row>
    <row r="40" spans="5:13">
      <c r="E40" s="210">
        <f t="shared" si="0"/>
        <v>35</v>
      </c>
      <c r="F40">
        <f t="shared" ca="1" si="3"/>
        <v>14214.899955414785</v>
      </c>
      <c r="G40">
        <f t="shared" ca="1" si="1"/>
        <v>0.47127089652200199</v>
      </c>
      <c r="H40">
        <f ca="1">INDEX(Aerodynamique!$T$6:$T$546,MATCH(G40,Aerodynamique!$Y$6:$Y$546,1))</f>
        <v>1.8000000000000087</v>
      </c>
      <c r="I40">
        <f ca="1">INDEX(Aerodynamique!$Z$6:$Z$546,MATCH(G40,Aerodynamique!$Y$6:$Y$546,1))</f>
        <v>1.4809885555935032E-2</v>
      </c>
      <c r="J40">
        <f t="shared" ca="1" si="2"/>
        <v>4359.7909192880152</v>
      </c>
      <c r="K40" s="86">
        <f ca="1">INDEX(Aerodynamique!$AC$6:$AC$1006,MATCH(INDEX(Aerodynamique!$W$6:$W$546,MATCH(G40,Aerodynamique!$Y$6:$Y$546,1)),Aerodynamique!$AD$6:$AD$1006,-1))</f>
        <v>-4.7999999999999892</v>
      </c>
      <c r="L40">
        <f ca="1">Montée!$B$19*((E40-E39)/60)*J40/10</f>
        <v>13.939761948763948</v>
      </c>
      <c r="M40">
        <f t="shared" ca="1" si="4"/>
        <v>492.22706743125451</v>
      </c>
    </row>
    <row r="41" spans="5:13">
      <c r="E41" s="210">
        <f t="shared" si="0"/>
        <v>36</v>
      </c>
      <c r="F41">
        <f t="shared" ca="1" si="3"/>
        <v>14200.96019346602</v>
      </c>
      <c r="G41">
        <f t="shared" ca="1" si="1"/>
        <v>0.47080874735939776</v>
      </c>
      <c r="H41">
        <f ca="1">INDEX(Aerodynamique!$T$6:$T$546,MATCH(G41,Aerodynamique!$Y$6:$Y$546,1))</f>
        <v>1.8000000000000087</v>
      </c>
      <c r="I41">
        <f ca="1">INDEX(Aerodynamique!$Z$6:$Z$546,MATCH(G41,Aerodynamique!$Y$6:$Y$546,1))</f>
        <v>1.4809885555935032E-2</v>
      </c>
      <c r="J41">
        <f t="shared" ca="1" si="2"/>
        <v>4359.7909192880152</v>
      </c>
      <c r="K41" s="86">
        <f ca="1">INDEX(Aerodynamique!$AC$6:$AC$1006,MATCH(INDEX(Aerodynamique!$W$6:$W$546,MATCH(G41,Aerodynamique!$Y$6:$Y$546,1)),Aerodynamique!$AD$6:$AD$1006,-1))</f>
        <v>-4.7999999999999892</v>
      </c>
      <c r="L41">
        <f ca="1">Montée!$B$19*((E41-E40)/60)*J41/10</f>
        <v>13.939761948763948</v>
      </c>
      <c r="M41">
        <f t="shared" ca="1" si="4"/>
        <v>506.16682938001844</v>
      </c>
    </row>
    <row r="42" spans="5:13">
      <c r="E42" s="210">
        <f t="shared" si="0"/>
        <v>37</v>
      </c>
      <c r="F42">
        <f t="shared" ca="1" si="3"/>
        <v>14187.020431517256</v>
      </c>
      <c r="G42">
        <f t="shared" ca="1" si="1"/>
        <v>0.47034659819679353</v>
      </c>
      <c r="H42">
        <f ca="1">INDEX(Aerodynamique!$T$6:$T$546,MATCH(G42,Aerodynamique!$Y$6:$Y$546,1))</f>
        <v>1.8000000000000087</v>
      </c>
      <c r="I42">
        <f ca="1">INDEX(Aerodynamique!$Z$6:$Z$546,MATCH(G42,Aerodynamique!$Y$6:$Y$546,1))</f>
        <v>1.4809885555935032E-2</v>
      </c>
      <c r="J42">
        <f t="shared" ca="1" si="2"/>
        <v>4359.7909192880152</v>
      </c>
      <c r="K42" s="86">
        <f ca="1">INDEX(Aerodynamique!$AC$6:$AC$1006,MATCH(INDEX(Aerodynamique!$W$6:$W$546,MATCH(G42,Aerodynamique!$Y$6:$Y$546,1)),Aerodynamique!$AD$6:$AD$1006,-1))</f>
        <v>-4.7999999999999892</v>
      </c>
      <c r="L42">
        <f ca="1">Montée!$B$19*((E42-E41)/60)*J42/10</f>
        <v>13.939761948763948</v>
      </c>
      <c r="M42">
        <f t="shared" ca="1" si="4"/>
        <v>520.10659132878243</v>
      </c>
    </row>
    <row r="43" spans="5:13">
      <c r="E43" s="210">
        <f t="shared" si="0"/>
        <v>38</v>
      </c>
      <c r="F43">
        <f t="shared" ca="1" si="3"/>
        <v>14173.080669568491</v>
      </c>
      <c r="G43">
        <f t="shared" ca="1" si="1"/>
        <v>0.4698844490341893</v>
      </c>
      <c r="H43">
        <f ca="1">INDEX(Aerodynamique!$T$6:$T$546,MATCH(G43,Aerodynamique!$Y$6:$Y$546,1))</f>
        <v>1.8000000000000087</v>
      </c>
      <c r="I43">
        <f ca="1">INDEX(Aerodynamique!$Z$6:$Z$546,MATCH(G43,Aerodynamique!$Y$6:$Y$546,1))</f>
        <v>1.4809885555935032E-2</v>
      </c>
      <c r="J43">
        <f t="shared" ca="1" si="2"/>
        <v>4359.7909192880152</v>
      </c>
      <c r="K43" s="86">
        <f ca="1">INDEX(Aerodynamique!$AC$6:$AC$1006,MATCH(INDEX(Aerodynamique!$W$6:$W$546,MATCH(G43,Aerodynamique!$Y$6:$Y$546,1)),Aerodynamique!$AD$6:$AD$1006,-1))</f>
        <v>-4.7999999999999892</v>
      </c>
      <c r="L43">
        <f ca="1">Montée!$B$19*((E43-E42)/60)*J43/10</f>
        <v>13.939761948763948</v>
      </c>
      <c r="M43">
        <f t="shared" ca="1" si="4"/>
        <v>534.04635327754636</v>
      </c>
    </row>
    <row r="44" spans="5:13">
      <c r="E44" s="210">
        <f t="shared" si="0"/>
        <v>39</v>
      </c>
      <c r="F44">
        <f t="shared" ca="1" si="3"/>
        <v>14159.140907619727</v>
      </c>
      <c r="G44">
        <f t="shared" ca="1" si="1"/>
        <v>0.46942229987158518</v>
      </c>
      <c r="H44">
        <f ca="1">INDEX(Aerodynamique!$T$6:$T$546,MATCH(G44,Aerodynamique!$Y$6:$Y$546,1))</f>
        <v>1.8000000000000087</v>
      </c>
      <c r="I44">
        <f ca="1">INDEX(Aerodynamique!$Z$6:$Z$546,MATCH(G44,Aerodynamique!$Y$6:$Y$546,1))</f>
        <v>1.4809885555935032E-2</v>
      </c>
      <c r="J44">
        <f t="shared" ca="1" si="2"/>
        <v>4359.7909192880152</v>
      </c>
      <c r="K44" s="86">
        <f ca="1">INDEX(Aerodynamique!$AC$6:$AC$1006,MATCH(INDEX(Aerodynamique!$W$6:$W$546,MATCH(G44,Aerodynamique!$Y$6:$Y$546,1)),Aerodynamique!$AD$6:$AD$1006,-1))</f>
        <v>-4.7999999999999892</v>
      </c>
      <c r="L44">
        <f ca="1">Montée!$B$19*((E44-E43)/60)*J44/10</f>
        <v>13.939761948763948</v>
      </c>
      <c r="M44">
        <f t="shared" ca="1" si="4"/>
        <v>547.98611522631029</v>
      </c>
    </row>
    <row r="45" spans="5:13">
      <c r="E45" s="210">
        <f t="shared" si="0"/>
        <v>40</v>
      </c>
      <c r="F45">
        <f t="shared" ca="1" si="3"/>
        <v>14145.201145670962</v>
      </c>
      <c r="G45">
        <f t="shared" ca="1" si="1"/>
        <v>0.46896015070898095</v>
      </c>
      <c r="H45">
        <f ca="1">INDEX(Aerodynamique!$T$6:$T$546,MATCH(G45,Aerodynamique!$Y$6:$Y$546,1))</f>
        <v>1.7500000000000087</v>
      </c>
      <c r="I45">
        <f ca="1">INDEX(Aerodynamique!$Z$6:$Z$546,MATCH(G45,Aerodynamique!$Y$6:$Y$546,1))</f>
        <v>1.4723012714524164E-2</v>
      </c>
      <c r="J45">
        <f t="shared" ca="1" si="2"/>
        <v>4334.2169589974128</v>
      </c>
      <c r="K45" s="86">
        <f ca="1">INDEX(Aerodynamique!$AC$6:$AC$1006,MATCH(INDEX(Aerodynamique!$W$6:$W$546,MATCH(G45,Aerodynamique!$Y$6:$Y$546,1)),Aerodynamique!$AD$6:$AD$1006,-1))</f>
        <v>-4.75999999999999</v>
      </c>
      <c r="L45">
        <f ca="1">Montée!$B$19*((E45-E44)/60)*J45/10</f>
        <v>13.857993138025574</v>
      </c>
      <c r="M45">
        <f t="shared" ca="1" si="4"/>
        <v>561.84410836433585</v>
      </c>
    </row>
    <row r="46" spans="5:13">
      <c r="E46" s="210">
        <f t="shared" si="0"/>
        <v>41</v>
      </c>
      <c r="F46">
        <f t="shared" ca="1" si="3"/>
        <v>14131.343152532936</v>
      </c>
      <c r="G46">
        <f t="shared" ca="1" si="1"/>
        <v>0.4685007124525995</v>
      </c>
      <c r="H46">
        <f ca="1">INDEX(Aerodynamique!$T$6:$T$546,MATCH(G46,Aerodynamique!$Y$6:$Y$546,1))</f>
        <v>1.7500000000000087</v>
      </c>
      <c r="I46">
        <f ca="1">INDEX(Aerodynamique!$Z$6:$Z$546,MATCH(G46,Aerodynamique!$Y$6:$Y$546,1))</f>
        <v>1.4723012714524164E-2</v>
      </c>
      <c r="J46">
        <f t="shared" ca="1" si="2"/>
        <v>4334.2169589974128</v>
      </c>
      <c r="K46" s="86">
        <f ca="1">INDEX(Aerodynamique!$AC$6:$AC$1006,MATCH(INDEX(Aerodynamique!$W$6:$W$546,MATCH(G46,Aerodynamique!$Y$6:$Y$546,1)),Aerodynamique!$AD$6:$AD$1006,-1))</f>
        <v>-4.75999999999999</v>
      </c>
      <c r="L46">
        <f ca="1">Montée!$B$19*((E46-E45)/60)*J46/10</f>
        <v>13.857993138025574</v>
      </c>
      <c r="M46">
        <f t="shared" ca="1" si="4"/>
        <v>575.70210150236142</v>
      </c>
    </row>
    <row r="47" spans="5:13">
      <c r="E47" s="210">
        <f t="shared" si="0"/>
        <v>42</v>
      </c>
      <c r="F47">
        <f t="shared" ca="1" si="3"/>
        <v>14117.48515939491</v>
      </c>
      <c r="G47">
        <f t="shared" ca="1" si="1"/>
        <v>0.46804127419621788</v>
      </c>
      <c r="H47">
        <f ca="1">INDEX(Aerodynamique!$T$6:$T$546,MATCH(G47,Aerodynamique!$Y$6:$Y$546,1))</f>
        <v>1.7500000000000087</v>
      </c>
      <c r="I47">
        <f ca="1">INDEX(Aerodynamique!$Z$6:$Z$546,MATCH(G47,Aerodynamique!$Y$6:$Y$546,1))</f>
        <v>1.4723012714524164E-2</v>
      </c>
      <c r="J47">
        <f t="shared" ca="1" si="2"/>
        <v>4334.2169589974128</v>
      </c>
      <c r="K47" s="86">
        <f ca="1">INDEX(Aerodynamique!$AC$6:$AC$1006,MATCH(INDEX(Aerodynamique!$W$6:$W$546,MATCH(G47,Aerodynamique!$Y$6:$Y$546,1)),Aerodynamique!$AD$6:$AD$1006,-1))</f>
        <v>-4.75999999999999</v>
      </c>
      <c r="L47">
        <f ca="1">Montée!$B$19*((E47-E46)/60)*J47/10</f>
        <v>13.857993138025574</v>
      </c>
      <c r="M47">
        <f t="shared" ca="1" si="4"/>
        <v>589.56009464038698</v>
      </c>
    </row>
    <row r="48" spans="5:13">
      <c r="E48" s="210">
        <f t="shared" si="0"/>
        <v>43</v>
      </c>
      <c r="F48">
        <f t="shared" ca="1" si="3"/>
        <v>14103.627166256883</v>
      </c>
      <c r="G48">
        <f t="shared" ca="1" si="1"/>
        <v>0.46758183593983638</v>
      </c>
      <c r="H48">
        <f ca="1">INDEX(Aerodynamique!$T$6:$T$546,MATCH(G48,Aerodynamique!$Y$6:$Y$546,1))</f>
        <v>1.7500000000000087</v>
      </c>
      <c r="I48">
        <f ca="1">INDEX(Aerodynamique!$Z$6:$Z$546,MATCH(G48,Aerodynamique!$Y$6:$Y$546,1))</f>
        <v>1.4723012714524164E-2</v>
      </c>
      <c r="J48">
        <f t="shared" ca="1" si="2"/>
        <v>4334.2169589974128</v>
      </c>
      <c r="K48" s="86">
        <f ca="1">INDEX(Aerodynamique!$AC$6:$AC$1006,MATCH(INDEX(Aerodynamique!$W$6:$W$546,MATCH(G48,Aerodynamique!$Y$6:$Y$546,1)),Aerodynamique!$AD$6:$AD$1006,-1))</f>
        <v>-4.75999999999999</v>
      </c>
      <c r="L48">
        <f ca="1">Montée!$B$19*((E48-E47)/60)*J48/10</f>
        <v>13.857993138025574</v>
      </c>
      <c r="M48">
        <f t="shared" ca="1" si="4"/>
        <v>603.41808777841254</v>
      </c>
    </row>
    <row r="49" spans="5:13">
      <c r="E49" s="210">
        <f t="shared" si="0"/>
        <v>44</v>
      </c>
      <c r="F49">
        <f t="shared" ca="1" si="3"/>
        <v>14089.769173118857</v>
      </c>
      <c r="G49">
        <f t="shared" ca="1" si="1"/>
        <v>0.46712239768345493</v>
      </c>
      <c r="H49">
        <f ca="1">INDEX(Aerodynamique!$T$6:$T$546,MATCH(G49,Aerodynamique!$Y$6:$Y$546,1))</f>
        <v>1.7500000000000087</v>
      </c>
      <c r="I49">
        <f ca="1">INDEX(Aerodynamique!$Z$6:$Z$546,MATCH(G49,Aerodynamique!$Y$6:$Y$546,1))</f>
        <v>1.4723012714524164E-2</v>
      </c>
      <c r="J49">
        <f t="shared" ca="1" si="2"/>
        <v>4334.2169589974128</v>
      </c>
      <c r="K49" s="86">
        <f ca="1">INDEX(Aerodynamique!$AC$6:$AC$1006,MATCH(INDEX(Aerodynamique!$W$6:$W$546,MATCH(G49,Aerodynamique!$Y$6:$Y$546,1)),Aerodynamique!$AD$6:$AD$1006,-1))</f>
        <v>-4.75999999999999</v>
      </c>
      <c r="L49">
        <f ca="1">Montée!$B$19*((E49-E48)/60)*J49/10</f>
        <v>13.857993138025574</v>
      </c>
      <c r="M49">
        <f t="shared" ca="1" si="4"/>
        <v>617.2760809164381</v>
      </c>
    </row>
    <row r="50" spans="5:13">
      <c r="E50" s="210">
        <f t="shared" si="0"/>
        <v>45</v>
      </c>
      <c r="F50">
        <f t="shared" ca="1" si="3"/>
        <v>14075.911179980831</v>
      </c>
      <c r="G50">
        <f t="shared" ca="1" si="1"/>
        <v>0.46666295942707342</v>
      </c>
      <c r="H50">
        <f ca="1">INDEX(Aerodynamique!$T$6:$T$546,MATCH(G50,Aerodynamique!$Y$6:$Y$546,1))</f>
        <v>1.7500000000000087</v>
      </c>
      <c r="I50">
        <f ca="1">INDEX(Aerodynamique!$Z$6:$Z$546,MATCH(G50,Aerodynamique!$Y$6:$Y$546,1))</f>
        <v>1.4723012714524164E-2</v>
      </c>
      <c r="J50">
        <f t="shared" ca="1" si="2"/>
        <v>4334.2169589974128</v>
      </c>
      <c r="K50" s="86">
        <f ca="1">INDEX(Aerodynamique!$AC$6:$AC$1006,MATCH(INDEX(Aerodynamique!$W$6:$W$546,MATCH(G50,Aerodynamique!$Y$6:$Y$546,1)),Aerodynamique!$AD$6:$AD$1006,-1))</f>
        <v>-4.75999999999999</v>
      </c>
      <c r="L50">
        <f ca="1">Montée!$B$19*((E50-E49)/60)*J50/10</f>
        <v>13.857993138025574</v>
      </c>
      <c r="M50">
        <f t="shared" ca="1" si="4"/>
        <v>631.13407405446367</v>
      </c>
    </row>
    <row r="51" spans="5:13">
      <c r="E51" s="210">
        <f t="shared" si="0"/>
        <v>46</v>
      </c>
      <c r="F51">
        <f t="shared" ca="1" si="3"/>
        <v>14062.053186842804</v>
      </c>
      <c r="G51">
        <f t="shared" ca="1" si="1"/>
        <v>0.46620352117069186</v>
      </c>
      <c r="H51">
        <f ca="1">INDEX(Aerodynamique!$T$6:$T$546,MATCH(G51,Aerodynamique!$Y$6:$Y$546,1))</f>
        <v>1.7500000000000087</v>
      </c>
      <c r="I51">
        <f ca="1">INDEX(Aerodynamique!$Z$6:$Z$546,MATCH(G51,Aerodynamique!$Y$6:$Y$546,1))</f>
        <v>1.4723012714524164E-2</v>
      </c>
      <c r="J51">
        <f t="shared" ca="1" si="2"/>
        <v>4334.2169589974128</v>
      </c>
      <c r="K51" s="86">
        <f ca="1">INDEX(Aerodynamique!$AC$6:$AC$1006,MATCH(INDEX(Aerodynamique!$W$6:$W$546,MATCH(G51,Aerodynamique!$Y$6:$Y$546,1)),Aerodynamique!$AD$6:$AD$1006,-1))</f>
        <v>-4.75999999999999</v>
      </c>
      <c r="L51">
        <f ca="1">Montée!$B$19*((E51-E50)/60)*J51/10</f>
        <v>13.857993138025574</v>
      </c>
      <c r="M51">
        <f t="shared" ca="1" si="4"/>
        <v>644.99206719248923</v>
      </c>
    </row>
    <row r="52" spans="5:13">
      <c r="E52" s="210">
        <f t="shared" si="0"/>
        <v>47</v>
      </c>
      <c r="F52">
        <f t="shared" ca="1" si="3"/>
        <v>14048.195193704778</v>
      </c>
      <c r="G52">
        <f t="shared" ca="1" si="1"/>
        <v>0.46574408291431035</v>
      </c>
      <c r="H52">
        <f ca="1">INDEX(Aerodynamique!$T$6:$T$546,MATCH(G52,Aerodynamique!$Y$6:$Y$546,1))</f>
        <v>1.7500000000000087</v>
      </c>
      <c r="I52">
        <f ca="1">INDEX(Aerodynamique!$Z$6:$Z$546,MATCH(G52,Aerodynamique!$Y$6:$Y$546,1))</f>
        <v>1.4723012714524164E-2</v>
      </c>
      <c r="J52">
        <f t="shared" ca="1" si="2"/>
        <v>4334.2169589974128</v>
      </c>
      <c r="K52" s="86">
        <f ca="1">INDEX(Aerodynamique!$AC$6:$AC$1006,MATCH(INDEX(Aerodynamique!$W$6:$W$546,MATCH(G52,Aerodynamique!$Y$6:$Y$546,1)),Aerodynamique!$AD$6:$AD$1006,-1))</f>
        <v>-4.75999999999999</v>
      </c>
      <c r="L52">
        <f ca="1">Montée!$B$19*((E52-E51)/60)*J52/10</f>
        <v>13.857993138025574</v>
      </c>
      <c r="M52">
        <f t="shared" ca="1" si="4"/>
        <v>658.85006033051479</v>
      </c>
    </row>
    <row r="53" spans="5:13">
      <c r="E53" s="210">
        <f t="shared" si="0"/>
        <v>48</v>
      </c>
      <c r="F53">
        <f t="shared" ca="1" si="3"/>
        <v>14034.337200566752</v>
      </c>
      <c r="G53">
        <f t="shared" ca="1" si="1"/>
        <v>0.46528464465792885</v>
      </c>
      <c r="H53">
        <f ca="1">INDEX(Aerodynamique!$T$6:$T$546,MATCH(G53,Aerodynamique!$Y$6:$Y$546,1))</f>
        <v>1.7500000000000087</v>
      </c>
      <c r="I53">
        <f ca="1">INDEX(Aerodynamique!$Z$6:$Z$546,MATCH(G53,Aerodynamique!$Y$6:$Y$546,1))</f>
        <v>1.4723012714524164E-2</v>
      </c>
      <c r="J53">
        <f t="shared" ca="1" si="2"/>
        <v>4334.2169589974128</v>
      </c>
      <c r="K53" s="86">
        <f ca="1">INDEX(Aerodynamique!$AC$6:$AC$1006,MATCH(INDEX(Aerodynamique!$W$6:$W$546,MATCH(G53,Aerodynamique!$Y$6:$Y$546,1)),Aerodynamique!$AD$6:$AD$1006,-1))</f>
        <v>-4.75999999999999</v>
      </c>
      <c r="L53">
        <f ca="1">Montée!$B$19*((E53-E52)/60)*J53/10</f>
        <v>13.857993138025574</v>
      </c>
      <c r="M53">
        <f t="shared" ca="1" si="4"/>
        <v>672.70805346854036</v>
      </c>
    </row>
    <row r="54" spans="5:13">
      <c r="E54" s="210">
        <f t="shared" si="0"/>
        <v>49</v>
      </c>
      <c r="F54">
        <f t="shared" ca="1" si="3"/>
        <v>14020.479207428725</v>
      </c>
      <c r="G54">
        <f t="shared" ca="1" si="1"/>
        <v>0.46482520640154729</v>
      </c>
      <c r="H54">
        <f ca="1">INDEX(Aerodynamique!$T$6:$T$546,MATCH(G54,Aerodynamique!$Y$6:$Y$546,1))</f>
        <v>1.7500000000000087</v>
      </c>
      <c r="I54">
        <f ca="1">INDEX(Aerodynamique!$Z$6:$Z$546,MATCH(G54,Aerodynamique!$Y$6:$Y$546,1))</f>
        <v>1.4723012714524164E-2</v>
      </c>
      <c r="J54">
        <f t="shared" ca="1" si="2"/>
        <v>4334.2169589974128</v>
      </c>
      <c r="K54" s="86">
        <f ca="1">INDEX(Aerodynamique!$AC$6:$AC$1006,MATCH(INDEX(Aerodynamique!$W$6:$W$546,MATCH(G54,Aerodynamique!$Y$6:$Y$546,1)),Aerodynamique!$AD$6:$AD$1006,-1))</f>
        <v>-4.75999999999999</v>
      </c>
      <c r="L54">
        <f ca="1">Montée!$B$19*((E54-E53)/60)*J54/10</f>
        <v>13.857993138025574</v>
      </c>
      <c r="M54">
        <f t="shared" ca="1" si="4"/>
        <v>686.56604660656592</v>
      </c>
    </row>
    <row r="55" spans="5:13">
      <c r="E55" s="210">
        <f t="shared" si="0"/>
        <v>50</v>
      </c>
      <c r="F55">
        <f t="shared" ca="1" si="3"/>
        <v>14006.621214290699</v>
      </c>
      <c r="G55">
        <f t="shared" ca="1" si="1"/>
        <v>0.46436576814516578</v>
      </c>
      <c r="H55">
        <f ca="1">INDEX(Aerodynamique!$T$6:$T$546,MATCH(G55,Aerodynamique!$Y$6:$Y$546,1))</f>
        <v>1.7000000000000086</v>
      </c>
      <c r="I55">
        <f ca="1">INDEX(Aerodynamique!$Z$6:$Z$546,MATCH(G55,Aerodynamique!$Y$6:$Y$546,1))</f>
        <v>1.4637207683125451E-2</v>
      </c>
      <c r="J55">
        <f t="shared" ca="1" si="2"/>
        <v>4308.9573447142075</v>
      </c>
      <c r="K55" s="86">
        <f ca="1">INDEX(Aerodynamique!$AC$6:$AC$1006,MATCH(INDEX(Aerodynamique!$W$6:$W$546,MATCH(G55,Aerodynamique!$Y$6:$Y$546,1)),Aerodynamique!$AD$6:$AD$1006,-1))</f>
        <v>-4.7199999999999909</v>
      </c>
      <c r="L55">
        <f ca="1">Montée!$B$19*((E55-E54)/60)*J55/10</f>
        <v>13.777229400372994</v>
      </c>
      <c r="M55">
        <f t="shared" ca="1" si="4"/>
        <v>700.34327600693894</v>
      </c>
    </row>
    <row r="56" spans="5:13">
      <c r="E56" s="210">
        <f t="shared" si="0"/>
        <v>51</v>
      </c>
      <c r="F56">
        <f t="shared" ca="1" si="3"/>
        <v>13992.843984890325</v>
      </c>
      <c r="G56">
        <f t="shared" ca="1" si="1"/>
        <v>0.46390900747351366</v>
      </c>
      <c r="H56">
        <f ca="1">INDEX(Aerodynamique!$T$6:$T$546,MATCH(G56,Aerodynamique!$Y$6:$Y$546,1))</f>
        <v>1.7000000000000086</v>
      </c>
      <c r="I56">
        <f ca="1">INDEX(Aerodynamique!$Z$6:$Z$546,MATCH(G56,Aerodynamique!$Y$6:$Y$546,1))</f>
        <v>1.4637207683125451E-2</v>
      </c>
      <c r="J56">
        <f t="shared" ca="1" si="2"/>
        <v>4308.9573447142075</v>
      </c>
      <c r="K56" s="86">
        <f ca="1">INDEX(Aerodynamique!$AC$6:$AC$1006,MATCH(INDEX(Aerodynamique!$W$6:$W$546,MATCH(G56,Aerodynamique!$Y$6:$Y$546,1)),Aerodynamique!$AD$6:$AD$1006,-1))</f>
        <v>-4.7199999999999909</v>
      </c>
      <c r="L56">
        <f ca="1">Montée!$B$19*((E56-E55)/60)*J56/10</f>
        <v>13.777229400372994</v>
      </c>
      <c r="M56">
        <f t="shared" ca="1" si="4"/>
        <v>714.12050540731195</v>
      </c>
    </row>
    <row r="57" spans="5:13">
      <c r="E57" s="210">
        <f t="shared" si="0"/>
        <v>52</v>
      </c>
      <c r="F57">
        <f t="shared" ca="1" si="3"/>
        <v>13979.066755489952</v>
      </c>
      <c r="G57">
        <f t="shared" ca="1" si="1"/>
        <v>0.46345224680186153</v>
      </c>
      <c r="H57">
        <f ca="1">INDEX(Aerodynamique!$T$6:$T$546,MATCH(G57,Aerodynamique!$Y$6:$Y$546,1))</f>
        <v>1.7000000000000086</v>
      </c>
      <c r="I57">
        <f ca="1">INDEX(Aerodynamique!$Z$6:$Z$546,MATCH(G57,Aerodynamique!$Y$6:$Y$546,1))</f>
        <v>1.4637207683125451E-2</v>
      </c>
      <c r="J57">
        <f t="shared" ca="1" si="2"/>
        <v>4308.9573447142075</v>
      </c>
      <c r="K57" s="86">
        <f ca="1">INDEX(Aerodynamique!$AC$6:$AC$1006,MATCH(INDEX(Aerodynamique!$W$6:$W$546,MATCH(G57,Aerodynamique!$Y$6:$Y$546,1)),Aerodynamique!$AD$6:$AD$1006,-1))</f>
        <v>-4.7199999999999909</v>
      </c>
      <c r="L57">
        <f ca="1">Montée!$B$19*((E57-E56)/60)*J57/10</f>
        <v>13.777229400372994</v>
      </c>
      <c r="M57">
        <f t="shared" ca="1" si="4"/>
        <v>727.89773480768497</v>
      </c>
    </row>
    <row r="58" spans="5:13">
      <c r="E58" s="210">
        <f t="shared" si="0"/>
        <v>53</v>
      </c>
      <c r="F58">
        <f t="shared" ca="1" si="3"/>
        <v>13965.289526089578</v>
      </c>
      <c r="G58">
        <f t="shared" ca="1" si="1"/>
        <v>0.46299548613020935</v>
      </c>
      <c r="H58">
        <f ca="1">INDEX(Aerodynamique!$T$6:$T$546,MATCH(G58,Aerodynamique!$Y$6:$Y$546,1))</f>
        <v>1.7000000000000086</v>
      </c>
      <c r="I58">
        <f ca="1">INDEX(Aerodynamique!$Z$6:$Z$546,MATCH(G58,Aerodynamique!$Y$6:$Y$546,1))</f>
        <v>1.4637207683125451E-2</v>
      </c>
      <c r="J58">
        <f t="shared" ca="1" si="2"/>
        <v>4308.9573447142075</v>
      </c>
      <c r="K58" s="86">
        <f ca="1">INDEX(Aerodynamique!$AC$6:$AC$1006,MATCH(INDEX(Aerodynamique!$W$6:$W$546,MATCH(G58,Aerodynamique!$Y$6:$Y$546,1)),Aerodynamique!$AD$6:$AD$1006,-1))</f>
        <v>-4.7199999999999909</v>
      </c>
      <c r="L58">
        <f ca="1">Montée!$B$19*((E58-E57)/60)*J58/10</f>
        <v>13.777229400372994</v>
      </c>
      <c r="M58">
        <f t="shared" ca="1" si="4"/>
        <v>741.67496420805799</v>
      </c>
    </row>
    <row r="59" spans="5:13">
      <c r="E59" s="210">
        <f t="shared" si="0"/>
        <v>54</v>
      </c>
      <c r="F59">
        <f t="shared" ca="1" si="3"/>
        <v>13951.512296689205</v>
      </c>
      <c r="G59">
        <f t="shared" ca="1" si="1"/>
        <v>0.46253872545855723</v>
      </c>
      <c r="H59">
        <f ca="1">INDEX(Aerodynamique!$T$6:$T$546,MATCH(G59,Aerodynamique!$Y$6:$Y$546,1))</f>
        <v>1.7000000000000086</v>
      </c>
      <c r="I59">
        <f ca="1">INDEX(Aerodynamique!$Z$6:$Z$546,MATCH(G59,Aerodynamique!$Y$6:$Y$546,1))</f>
        <v>1.4637207683125451E-2</v>
      </c>
      <c r="J59">
        <f t="shared" ca="1" si="2"/>
        <v>4308.9573447142075</v>
      </c>
      <c r="K59" s="86">
        <f ca="1">INDEX(Aerodynamique!$AC$6:$AC$1006,MATCH(INDEX(Aerodynamique!$W$6:$W$546,MATCH(G59,Aerodynamique!$Y$6:$Y$546,1)),Aerodynamique!$AD$6:$AD$1006,-1))</f>
        <v>-4.7199999999999909</v>
      </c>
      <c r="L59">
        <f ca="1">Montée!$B$19*((E59-E58)/60)*J59/10</f>
        <v>13.777229400372994</v>
      </c>
      <c r="M59">
        <f t="shared" ca="1" si="4"/>
        <v>755.452193608431</v>
      </c>
    </row>
    <row r="60" spans="5:13">
      <c r="E60" s="210">
        <f t="shared" si="0"/>
        <v>55</v>
      </c>
      <c r="F60">
        <f t="shared" ca="1" si="3"/>
        <v>13937.735067288831</v>
      </c>
      <c r="G60">
        <f t="shared" ca="1" si="1"/>
        <v>0.46208196478690511</v>
      </c>
      <c r="H60">
        <f ca="1">INDEX(Aerodynamique!$T$6:$T$546,MATCH(G60,Aerodynamique!$Y$6:$Y$546,1))</f>
        <v>1.7000000000000086</v>
      </c>
      <c r="I60">
        <f ca="1">INDEX(Aerodynamique!$Z$6:$Z$546,MATCH(G60,Aerodynamique!$Y$6:$Y$546,1))</f>
        <v>1.4637207683125451E-2</v>
      </c>
      <c r="J60">
        <f t="shared" ca="1" si="2"/>
        <v>4308.9573447142075</v>
      </c>
      <c r="K60" s="86">
        <f ca="1">INDEX(Aerodynamique!$AC$6:$AC$1006,MATCH(INDEX(Aerodynamique!$W$6:$W$546,MATCH(G60,Aerodynamique!$Y$6:$Y$546,1)),Aerodynamique!$AD$6:$AD$1006,-1))</f>
        <v>-4.7199999999999909</v>
      </c>
      <c r="L60">
        <f ca="1">Montée!$B$19*((E60-E59)/60)*J60/10</f>
        <v>13.777229400372994</v>
      </c>
      <c r="M60">
        <f t="shared" ca="1" si="4"/>
        <v>769.22942300880402</v>
      </c>
    </row>
    <row r="61" spans="5:13">
      <c r="E61" s="210">
        <f t="shared" si="0"/>
        <v>56</v>
      </c>
      <c r="F61">
        <f t="shared" ca="1" si="3"/>
        <v>13923.957837888458</v>
      </c>
      <c r="G61">
        <f t="shared" ca="1" si="1"/>
        <v>0.46162520411525287</v>
      </c>
      <c r="H61">
        <f ca="1">INDEX(Aerodynamique!$T$6:$T$546,MATCH(G61,Aerodynamique!$Y$6:$Y$546,1))</f>
        <v>1.7000000000000086</v>
      </c>
      <c r="I61">
        <f ca="1">INDEX(Aerodynamique!$Z$6:$Z$546,MATCH(G61,Aerodynamique!$Y$6:$Y$546,1))</f>
        <v>1.4637207683125451E-2</v>
      </c>
      <c r="J61">
        <f t="shared" ca="1" si="2"/>
        <v>4308.9573447142075</v>
      </c>
      <c r="K61" s="86">
        <f ca="1">INDEX(Aerodynamique!$AC$6:$AC$1006,MATCH(INDEX(Aerodynamique!$W$6:$W$546,MATCH(G61,Aerodynamique!$Y$6:$Y$546,1)),Aerodynamique!$AD$6:$AD$1006,-1))</f>
        <v>-4.7199999999999909</v>
      </c>
      <c r="L61">
        <f ca="1">Montée!$B$19*((E61-E60)/60)*J61/10</f>
        <v>13.777229400372994</v>
      </c>
      <c r="M61">
        <f t="shared" ca="1" si="4"/>
        <v>783.00665240917704</v>
      </c>
    </row>
    <row r="62" spans="5:13">
      <c r="E62" s="210">
        <f t="shared" si="0"/>
        <v>57</v>
      </c>
      <c r="F62">
        <f t="shared" ca="1" si="3"/>
        <v>13910.180608488085</v>
      </c>
      <c r="G62">
        <f t="shared" ca="1" si="1"/>
        <v>0.46116844344360081</v>
      </c>
      <c r="H62">
        <f ca="1">INDEX(Aerodynamique!$T$6:$T$546,MATCH(G62,Aerodynamique!$Y$6:$Y$546,1))</f>
        <v>1.7000000000000086</v>
      </c>
      <c r="I62">
        <f ca="1">INDEX(Aerodynamique!$Z$6:$Z$546,MATCH(G62,Aerodynamique!$Y$6:$Y$546,1))</f>
        <v>1.4637207683125451E-2</v>
      </c>
      <c r="J62">
        <f t="shared" ca="1" si="2"/>
        <v>4308.9573447142075</v>
      </c>
      <c r="K62" s="86">
        <f ca="1">INDEX(Aerodynamique!$AC$6:$AC$1006,MATCH(INDEX(Aerodynamique!$W$6:$W$546,MATCH(G62,Aerodynamique!$Y$6:$Y$546,1)),Aerodynamique!$AD$6:$AD$1006,-1))</f>
        <v>-4.7199999999999909</v>
      </c>
      <c r="L62">
        <f ca="1">Montée!$B$19*((E62-E61)/60)*J62/10</f>
        <v>13.777229400372994</v>
      </c>
      <c r="M62">
        <f t="shared" ca="1" si="4"/>
        <v>796.78388180955005</v>
      </c>
    </row>
    <row r="63" spans="5:13">
      <c r="E63" s="210">
        <f t="shared" si="0"/>
        <v>58</v>
      </c>
      <c r="F63">
        <f t="shared" ca="1" si="3"/>
        <v>13896.403379087711</v>
      </c>
      <c r="G63">
        <f t="shared" ca="1" si="1"/>
        <v>0.46071168277194868</v>
      </c>
      <c r="H63">
        <f ca="1">INDEX(Aerodynamique!$T$6:$T$546,MATCH(G63,Aerodynamique!$Y$6:$Y$546,1))</f>
        <v>1.7000000000000086</v>
      </c>
      <c r="I63">
        <f ca="1">INDEX(Aerodynamique!$Z$6:$Z$546,MATCH(G63,Aerodynamique!$Y$6:$Y$546,1))</f>
        <v>1.4637207683125451E-2</v>
      </c>
      <c r="J63">
        <f t="shared" ca="1" si="2"/>
        <v>4308.9573447142075</v>
      </c>
      <c r="K63" s="86">
        <f ca="1">INDEX(Aerodynamique!$AC$6:$AC$1006,MATCH(INDEX(Aerodynamique!$W$6:$W$546,MATCH(G63,Aerodynamique!$Y$6:$Y$546,1)),Aerodynamique!$AD$6:$AD$1006,-1))</f>
        <v>-4.7199999999999909</v>
      </c>
      <c r="L63">
        <f ca="1">Montée!$B$19*((E63-E62)/60)*J63/10</f>
        <v>13.777229400372994</v>
      </c>
      <c r="M63">
        <f t="shared" ca="1" si="4"/>
        <v>810.56111120992307</v>
      </c>
    </row>
    <row r="64" spans="5:13">
      <c r="E64" s="210">
        <f t="shared" si="0"/>
        <v>59</v>
      </c>
      <c r="F64">
        <f t="shared" ca="1" si="3"/>
        <v>13882.626149687338</v>
      </c>
      <c r="G64">
        <f t="shared" ca="1" si="1"/>
        <v>0.46025492210029645</v>
      </c>
      <c r="H64">
        <f ca="1">INDEX(Aerodynamique!$T$6:$T$546,MATCH(G64,Aerodynamique!$Y$6:$Y$546,1))</f>
        <v>1.7000000000000086</v>
      </c>
      <c r="I64">
        <f ca="1">INDEX(Aerodynamique!$Z$6:$Z$546,MATCH(G64,Aerodynamique!$Y$6:$Y$546,1))</f>
        <v>1.4637207683125451E-2</v>
      </c>
      <c r="J64">
        <f t="shared" ca="1" si="2"/>
        <v>4308.9573447142075</v>
      </c>
      <c r="K64" s="86">
        <f ca="1">INDEX(Aerodynamique!$AC$6:$AC$1006,MATCH(INDEX(Aerodynamique!$W$6:$W$546,MATCH(G64,Aerodynamique!$Y$6:$Y$546,1)),Aerodynamique!$AD$6:$AD$1006,-1))</f>
        <v>-4.7199999999999909</v>
      </c>
      <c r="L64">
        <f ca="1">Montée!$B$19*((E64-E63)/60)*J64/10</f>
        <v>13.777229400372994</v>
      </c>
      <c r="M64">
        <f t="shared" ca="1" si="4"/>
        <v>824.33834061029609</v>
      </c>
    </row>
    <row r="65" spans="5:13">
      <c r="E65" s="210">
        <f t="shared" si="0"/>
        <v>60</v>
      </c>
      <c r="F65">
        <f t="shared" ca="1" si="3"/>
        <v>13868.848920286964</v>
      </c>
      <c r="G65">
        <f t="shared" ca="1" si="1"/>
        <v>0.45979816142864433</v>
      </c>
      <c r="H65">
        <f ca="1">INDEX(Aerodynamique!$T$6:$T$546,MATCH(G65,Aerodynamique!$Y$6:$Y$546,1))</f>
        <v>1.7000000000000086</v>
      </c>
      <c r="I65">
        <f ca="1">INDEX(Aerodynamique!$Z$6:$Z$546,MATCH(G65,Aerodynamique!$Y$6:$Y$546,1))</f>
        <v>1.4637207683125451E-2</v>
      </c>
      <c r="J65">
        <f t="shared" ca="1" si="2"/>
        <v>4308.9573447142075</v>
      </c>
      <c r="K65" s="86">
        <f ca="1">INDEX(Aerodynamique!$AC$6:$AC$1006,MATCH(INDEX(Aerodynamique!$W$6:$W$546,MATCH(G65,Aerodynamique!$Y$6:$Y$546,1)),Aerodynamique!$AD$6:$AD$1006,-1))</f>
        <v>-4.7199999999999909</v>
      </c>
      <c r="L65">
        <f ca="1">Montée!$B$19*((E65-E64)/60)*J65/10</f>
        <v>13.777229400372994</v>
      </c>
      <c r="M65">
        <f t="shared" ca="1" si="4"/>
        <v>838.1155700106691</v>
      </c>
    </row>
    <row r="66" spans="5:13">
      <c r="E66" s="210">
        <f t="shared" si="0"/>
        <v>61</v>
      </c>
      <c r="F66">
        <f t="shared" ca="1" si="3"/>
        <v>13855.071690886591</v>
      </c>
      <c r="G66">
        <f t="shared" ca="1" si="1"/>
        <v>0.4593414007569922</v>
      </c>
      <c r="H66">
        <f ca="1">INDEX(Aerodynamique!$T$6:$T$546,MATCH(G66,Aerodynamique!$Y$6:$Y$546,1))</f>
        <v>1.6500000000000086</v>
      </c>
      <c r="I66">
        <f ca="1">INDEX(Aerodynamique!$Z$6:$Z$546,MATCH(G66,Aerodynamique!$Y$6:$Y$546,1))</f>
        <v>1.4552470461738898E-2</v>
      </c>
      <c r="J66">
        <f t="shared" ca="1" si="2"/>
        <v>4284.012076438401</v>
      </c>
      <c r="K66" s="86">
        <f ca="1">INDEX(Aerodynamique!$AC$6:$AC$1006,MATCH(INDEX(Aerodynamique!$W$6:$W$546,MATCH(G66,Aerodynamique!$Y$6:$Y$546,1)),Aerodynamique!$AD$6:$AD$1006,-1))</f>
        <v>-4.6799999999999917</v>
      </c>
      <c r="L66">
        <f ca="1">Montée!$B$19*((E66-E65)/60)*J66/10</f>
        <v>13.697470735806212</v>
      </c>
      <c r="M66">
        <f t="shared" ca="1" si="4"/>
        <v>851.81304074647528</v>
      </c>
    </row>
    <row r="67" spans="5:13">
      <c r="E67" s="210">
        <f t="shared" si="0"/>
        <v>62</v>
      </c>
      <c r="F67">
        <f t="shared" ca="1" si="3"/>
        <v>13841.374220150785</v>
      </c>
      <c r="G67">
        <f t="shared" ca="1" si="1"/>
        <v>0.45888728434857612</v>
      </c>
      <c r="H67">
        <f ca="1">INDEX(Aerodynamique!$T$6:$T$546,MATCH(G67,Aerodynamique!$Y$6:$Y$546,1))</f>
        <v>1.6500000000000086</v>
      </c>
      <c r="I67">
        <f ca="1">INDEX(Aerodynamique!$Z$6:$Z$546,MATCH(G67,Aerodynamique!$Y$6:$Y$546,1))</f>
        <v>1.4552470461738898E-2</v>
      </c>
      <c r="J67">
        <f t="shared" ca="1" si="2"/>
        <v>4284.012076438401</v>
      </c>
      <c r="K67" s="86">
        <f ca="1">INDEX(Aerodynamique!$AC$6:$AC$1006,MATCH(INDEX(Aerodynamique!$W$6:$W$546,MATCH(G67,Aerodynamique!$Y$6:$Y$546,1)),Aerodynamique!$AD$6:$AD$1006,-1))</f>
        <v>-4.6799999999999917</v>
      </c>
      <c r="L67">
        <f ca="1">Montée!$B$19*((E67-E66)/60)*J67/10</f>
        <v>13.697470735806212</v>
      </c>
      <c r="M67">
        <f t="shared" ca="1" si="4"/>
        <v>865.51051148228146</v>
      </c>
    </row>
    <row r="68" spans="5:13">
      <c r="E68" s="210">
        <f t="shared" si="0"/>
        <v>63</v>
      </c>
      <c r="F68">
        <f t="shared" ca="1" si="3"/>
        <v>13827.676749414979</v>
      </c>
      <c r="G68">
        <f t="shared" ca="1" si="1"/>
        <v>0.45843316794016004</v>
      </c>
      <c r="H68">
        <f ca="1">INDEX(Aerodynamique!$T$6:$T$546,MATCH(G68,Aerodynamique!$Y$6:$Y$546,1))</f>
        <v>1.6500000000000086</v>
      </c>
      <c r="I68">
        <f ca="1">INDEX(Aerodynamique!$Z$6:$Z$546,MATCH(G68,Aerodynamique!$Y$6:$Y$546,1))</f>
        <v>1.4552470461738898E-2</v>
      </c>
      <c r="J68">
        <f t="shared" ca="1" si="2"/>
        <v>4284.012076438401</v>
      </c>
      <c r="K68" s="86">
        <f ca="1">INDEX(Aerodynamique!$AC$6:$AC$1006,MATCH(INDEX(Aerodynamique!$W$6:$W$546,MATCH(G68,Aerodynamique!$Y$6:$Y$546,1)),Aerodynamique!$AD$6:$AD$1006,-1))</f>
        <v>-4.6799999999999917</v>
      </c>
      <c r="L68">
        <f ca="1">Montée!$B$19*((E68-E67)/60)*J68/10</f>
        <v>13.697470735806212</v>
      </c>
      <c r="M68">
        <f t="shared" ca="1" si="4"/>
        <v>879.20798221808764</v>
      </c>
    </row>
    <row r="69" spans="5:13">
      <c r="E69" s="210">
        <f t="shared" si="0"/>
        <v>64</v>
      </c>
      <c r="F69">
        <f t="shared" ca="1" si="3"/>
        <v>13813.979278679173</v>
      </c>
      <c r="G69">
        <f t="shared" ca="1" si="1"/>
        <v>0.4579790515317439</v>
      </c>
      <c r="H69">
        <f ca="1">INDEX(Aerodynamique!$T$6:$T$546,MATCH(G69,Aerodynamique!$Y$6:$Y$546,1))</f>
        <v>1.6500000000000086</v>
      </c>
      <c r="I69">
        <f ca="1">INDEX(Aerodynamique!$Z$6:$Z$546,MATCH(G69,Aerodynamique!$Y$6:$Y$546,1))</f>
        <v>1.4552470461738898E-2</v>
      </c>
      <c r="J69">
        <f t="shared" ca="1" si="2"/>
        <v>4284.012076438401</v>
      </c>
      <c r="K69" s="86">
        <f ca="1">INDEX(Aerodynamique!$AC$6:$AC$1006,MATCH(INDEX(Aerodynamique!$W$6:$W$546,MATCH(G69,Aerodynamique!$Y$6:$Y$546,1)),Aerodynamique!$AD$6:$AD$1006,-1))</f>
        <v>-4.6799999999999917</v>
      </c>
      <c r="L69">
        <f ca="1">Montée!$B$19*((E69-E68)/60)*J69/10</f>
        <v>13.697470735806212</v>
      </c>
      <c r="M69">
        <f t="shared" ca="1" si="4"/>
        <v>892.90545295389381</v>
      </c>
    </row>
    <row r="70" spans="5:13">
      <c r="E70" s="210">
        <f t="shared" ref="E70:E133" si="5">E69+$E$3</f>
        <v>65</v>
      </c>
      <c r="F70">
        <f t="shared" ca="1" si="3"/>
        <v>13800.281807943367</v>
      </c>
      <c r="G70">
        <f t="shared" ref="G70:G133" ca="1" si="6">2*F70*g/(rho*V^2*SRef)</f>
        <v>0.45752493512332781</v>
      </c>
      <c r="H70">
        <f ca="1">INDEX(Aerodynamique!$T$6:$T$546,MATCH(G70,Aerodynamique!$Y$6:$Y$546,1))</f>
        <v>1.6500000000000086</v>
      </c>
      <c r="I70">
        <f ca="1">INDEX(Aerodynamique!$Z$6:$Z$546,MATCH(G70,Aerodynamique!$Y$6:$Y$546,1))</f>
        <v>1.4552470461738898E-2</v>
      </c>
      <c r="J70">
        <f t="shared" ref="J70:J133" ca="1" si="7">(1/2)*rho*V^2*SRef*I70</f>
        <v>4284.012076438401</v>
      </c>
      <c r="K70" s="86">
        <f ca="1">INDEX(Aerodynamique!$AC$6:$AC$1006,MATCH(INDEX(Aerodynamique!$W$6:$W$546,MATCH(G70,Aerodynamique!$Y$6:$Y$546,1)),Aerodynamique!$AD$6:$AD$1006,-1))</f>
        <v>-4.6799999999999917</v>
      </c>
      <c r="L70">
        <f ca="1">Montée!$B$19*((E70-E69)/60)*J70/10</f>
        <v>13.697470735806212</v>
      </c>
      <c r="M70">
        <f t="shared" ca="1" si="4"/>
        <v>906.60292368969999</v>
      </c>
    </row>
    <row r="71" spans="5:13">
      <c r="E71" s="210">
        <f t="shared" si="5"/>
        <v>66</v>
      </c>
      <c r="F71">
        <f t="shared" ref="F71:F134" ca="1" si="8">F70-L70</f>
        <v>13786.584337207561</v>
      </c>
      <c r="G71">
        <f t="shared" ca="1" si="6"/>
        <v>0.45707081871491173</v>
      </c>
      <c r="H71">
        <f ca="1">INDEX(Aerodynamique!$T$6:$T$546,MATCH(G71,Aerodynamique!$Y$6:$Y$546,1))</f>
        <v>1.6500000000000086</v>
      </c>
      <c r="I71">
        <f ca="1">INDEX(Aerodynamique!$Z$6:$Z$546,MATCH(G71,Aerodynamique!$Y$6:$Y$546,1))</f>
        <v>1.4552470461738898E-2</v>
      </c>
      <c r="J71">
        <f t="shared" ca="1" si="7"/>
        <v>4284.012076438401</v>
      </c>
      <c r="K71" s="86">
        <f ca="1">INDEX(Aerodynamique!$AC$6:$AC$1006,MATCH(INDEX(Aerodynamique!$W$6:$W$546,MATCH(G71,Aerodynamique!$Y$6:$Y$546,1)),Aerodynamique!$AD$6:$AD$1006,-1))</f>
        <v>-4.6799999999999917</v>
      </c>
      <c r="L71">
        <f ca="1">Montée!$B$19*((E71-E70)/60)*J71/10</f>
        <v>13.697470735806212</v>
      </c>
      <c r="M71">
        <f t="shared" ca="1" si="4"/>
        <v>920.30039442550617</v>
      </c>
    </row>
    <row r="72" spans="5:13">
      <c r="E72" s="210">
        <f t="shared" si="5"/>
        <v>67</v>
      </c>
      <c r="F72">
        <f t="shared" ca="1" si="8"/>
        <v>13772.886866471756</v>
      </c>
      <c r="G72">
        <f t="shared" ca="1" si="6"/>
        <v>0.45661670230649559</v>
      </c>
      <c r="H72">
        <f ca="1">INDEX(Aerodynamique!$T$6:$T$546,MATCH(G72,Aerodynamique!$Y$6:$Y$546,1))</f>
        <v>1.6500000000000086</v>
      </c>
      <c r="I72">
        <f ca="1">INDEX(Aerodynamique!$Z$6:$Z$546,MATCH(G72,Aerodynamique!$Y$6:$Y$546,1))</f>
        <v>1.4552470461738898E-2</v>
      </c>
      <c r="J72">
        <f t="shared" ca="1" si="7"/>
        <v>4284.012076438401</v>
      </c>
      <c r="K72" s="86">
        <f ca="1">INDEX(Aerodynamique!$AC$6:$AC$1006,MATCH(INDEX(Aerodynamique!$W$6:$W$546,MATCH(G72,Aerodynamique!$Y$6:$Y$546,1)),Aerodynamique!$AD$6:$AD$1006,-1))</f>
        <v>-4.6799999999999917</v>
      </c>
      <c r="L72">
        <f ca="1">Montée!$B$19*((E72-E71)/60)*J72/10</f>
        <v>13.697470735806212</v>
      </c>
      <c r="M72">
        <f t="shared" ref="M72:M135" ca="1" si="9">M71+L72</f>
        <v>933.99786516131235</v>
      </c>
    </row>
    <row r="73" spans="5:13">
      <c r="E73" s="210">
        <f t="shared" si="5"/>
        <v>68</v>
      </c>
      <c r="F73">
        <f t="shared" ca="1" si="8"/>
        <v>13759.18939573595</v>
      </c>
      <c r="G73">
        <f t="shared" ca="1" si="6"/>
        <v>0.45616258589807951</v>
      </c>
      <c r="H73">
        <f ca="1">INDEX(Aerodynamique!$T$6:$T$546,MATCH(G73,Aerodynamique!$Y$6:$Y$546,1))</f>
        <v>1.6500000000000086</v>
      </c>
      <c r="I73">
        <f ca="1">INDEX(Aerodynamique!$Z$6:$Z$546,MATCH(G73,Aerodynamique!$Y$6:$Y$546,1))</f>
        <v>1.4552470461738898E-2</v>
      </c>
      <c r="J73">
        <f t="shared" ca="1" si="7"/>
        <v>4284.012076438401</v>
      </c>
      <c r="K73" s="86">
        <f ca="1">INDEX(Aerodynamique!$AC$6:$AC$1006,MATCH(INDEX(Aerodynamique!$W$6:$W$546,MATCH(G73,Aerodynamique!$Y$6:$Y$546,1)),Aerodynamique!$AD$6:$AD$1006,-1))</f>
        <v>-4.6799999999999917</v>
      </c>
      <c r="L73">
        <f ca="1">Montée!$B$19*((E73-E72)/60)*J73/10</f>
        <v>13.697470735806212</v>
      </c>
      <c r="M73">
        <f t="shared" ca="1" si="9"/>
        <v>947.69533589711853</v>
      </c>
    </row>
    <row r="74" spans="5:13">
      <c r="E74" s="210">
        <f t="shared" si="5"/>
        <v>69</v>
      </c>
      <c r="F74">
        <f t="shared" ca="1" si="8"/>
        <v>13745.491925000144</v>
      </c>
      <c r="G74">
        <f t="shared" ca="1" si="6"/>
        <v>0.45570846948966343</v>
      </c>
      <c r="H74">
        <f ca="1">INDEX(Aerodynamique!$T$6:$T$546,MATCH(G74,Aerodynamique!$Y$6:$Y$546,1))</f>
        <v>1.6500000000000086</v>
      </c>
      <c r="I74">
        <f ca="1">INDEX(Aerodynamique!$Z$6:$Z$546,MATCH(G74,Aerodynamique!$Y$6:$Y$546,1))</f>
        <v>1.4552470461738898E-2</v>
      </c>
      <c r="J74">
        <f t="shared" ca="1" si="7"/>
        <v>4284.012076438401</v>
      </c>
      <c r="K74" s="86">
        <f ca="1">INDEX(Aerodynamique!$AC$6:$AC$1006,MATCH(INDEX(Aerodynamique!$W$6:$W$546,MATCH(G74,Aerodynamique!$Y$6:$Y$546,1)),Aerodynamique!$AD$6:$AD$1006,-1))</f>
        <v>-4.6799999999999917</v>
      </c>
      <c r="L74">
        <f ca="1">Montée!$B$19*((E74-E73)/60)*J74/10</f>
        <v>13.697470735806212</v>
      </c>
      <c r="M74">
        <f t="shared" ca="1" si="9"/>
        <v>961.3928066329247</v>
      </c>
    </row>
    <row r="75" spans="5:13">
      <c r="E75" s="210">
        <f t="shared" si="5"/>
        <v>70</v>
      </c>
      <c r="F75">
        <f t="shared" ca="1" si="8"/>
        <v>13731.794454264338</v>
      </c>
      <c r="G75">
        <f t="shared" ca="1" si="6"/>
        <v>0.45525435308124729</v>
      </c>
      <c r="H75">
        <f ca="1">INDEX(Aerodynamique!$T$6:$T$546,MATCH(G75,Aerodynamique!$Y$6:$Y$546,1))</f>
        <v>1.6500000000000086</v>
      </c>
      <c r="I75">
        <f ca="1">INDEX(Aerodynamique!$Z$6:$Z$546,MATCH(G75,Aerodynamique!$Y$6:$Y$546,1))</f>
        <v>1.4552470461738898E-2</v>
      </c>
      <c r="J75">
        <f t="shared" ca="1" si="7"/>
        <v>4284.012076438401</v>
      </c>
      <c r="K75" s="86">
        <f ca="1">INDEX(Aerodynamique!$AC$6:$AC$1006,MATCH(INDEX(Aerodynamique!$W$6:$W$546,MATCH(G75,Aerodynamique!$Y$6:$Y$546,1)),Aerodynamique!$AD$6:$AD$1006,-1))</f>
        <v>-4.6799999999999917</v>
      </c>
      <c r="L75">
        <f ca="1">Montée!$B$19*((E75-E74)/60)*J75/10</f>
        <v>13.697470735806212</v>
      </c>
      <c r="M75">
        <f t="shared" ca="1" si="9"/>
        <v>975.09027736873088</v>
      </c>
    </row>
    <row r="76" spans="5:13">
      <c r="E76" s="210">
        <f t="shared" si="5"/>
        <v>71</v>
      </c>
      <c r="F76">
        <f t="shared" ca="1" si="8"/>
        <v>13718.096983528532</v>
      </c>
      <c r="G76">
        <f t="shared" ca="1" si="6"/>
        <v>0.45480023667283132</v>
      </c>
      <c r="H76">
        <f ca="1">INDEX(Aerodynamique!$T$6:$T$546,MATCH(G76,Aerodynamique!$Y$6:$Y$546,1))</f>
        <v>1.6500000000000086</v>
      </c>
      <c r="I76">
        <f ca="1">INDEX(Aerodynamique!$Z$6:$Z$546,MATCH(G76,Aerodynamique!$Y$6:$Y$546,1))</f>
        <v>1.4552470461738898E-2</v>
      </c>
      <c r="J76">
        <f t="shared" ca="1" si="7"/>
        <v>4284.012076438401</v>
      </c>
      <c r="K76" s="86">
        <f ca="1">INDEX(Aerodynamique!$AC$6:$AC$1006,MATCH(INDEX(Aerodynamique!$W$6:$W$546,MATCH(G76,Aerodynamique!$Y$6:$Y$546,1)),Aerodynamique!$AD$6:$AD$1006,-1))</f>
        <v>-4.6799999999999917</v>
      </c>
      <c r="L76">
        <f ca="1">Montée!$B$19*((E76-E75)/60)*J76/10</f>
        <v>13.697470735806212</v>
      </c>
      <c r="M76">
        <f t="shared" ca="1" si="9"/>
        <v>988.78774810453706</v>
      </c>
    </row>
    <row r="77" spans="5:13">
      <c r="E77" s="210">
        <f t="shared" si="5"/>
        <v>72</v>
      </c>
      <c r="F77">
        <f t="shared" ca="1" si="8"/>
        <v>13704.399512792726</v>
      </c>
      <c r="G77">
        <f t="shared" ca="1" si="6"/>
        <v>0.45434612026441518</v>
      </c>
      <c r="H77">
        <f ca="1">INDEX(Aerodynamique!$T$6:$T$546,MATCH(G77,Aerodynamique!$Y$6:$Y$546,1))</f>
        <v>1.6000000000000085</v>
      </c>
      <c r="I77">
        <f ca="1">INDEX(Aerodynamique!$Z$6:$Z$546,MATCH(G77,Aerodynamique!$Y$6:$Y$546,1))</f>
        <v>1.4468801050364502E-2</v>
      </c>
      <c r="J77">
        <f t="shared" ca="1" si="7"/>
        <v>4259.3811541699924</v>
      </c>
      <c r="K77" s="86">
        <f ca="1">INDEX(Aerodynamique!$AC$6:$AC$1006,MATCH(INDEX(Aerodynamique!$W$6:$W$546,MATCH(G77,Aerodynamique!$Y$6:$Y$546,1)),Aerodynamique!$AD$6:$AD$1006,-1))</f>
        <v>-4.6399999999999926</v>
      </c>
      <c r="L77">
        <f ca="1">Montée!$B$19*((E77-E76)/60)*J77/10</f>
        <v>13.618717144325226</v>
      </c>
      <c r="M77">
        <f t="shared" ca="1" si="9"/>
        <v>1002.4064652488623</v>
      </c>
    </row>
    <row r="78" spans="5:13">
      <c r="E78" s="210">
        <f t="shared" si="5"/>
        <v>73</v>
      </c>
      <c r="F78">
        <f t="shared" ca="1" si="8"/>
        <v>13690.780795648401</v>
      </c>
      <c r="G78">
        <f t="shared" ca="1" si="6"/>
        <v>0.45389461479774174</v>
      </c>
      <c r="H78">
        <f ca="1">INDEX(Aerodynamique!$T$6:$T$546,MATCH(G78,Aerodynamique!$Y$6:$Y$546,1))</f>
        <v>1.6000000000000085</v>
      </c>
      <c r="I78">
        <f ca="1">INDEX(Aerodynamique!$Z$6:$Z$546,MATCH(G78,Aerodynamique!$Y$6:$Y$546,1))</f>
        <v>1.4468801050364502E-2</v>
      </c>
      <c r="J78">
        <f t="shared" ca="1" si="7"/>
        <v>4259.3811541699924</v>
      </c>
      <c r="K78" s="86">
        <f ca="1">INDEX(Aerodynamique!$AC$6:$AC$1006,MATCH(INDEX(Aerodynamique!$W$6:$W$546,MATCH(G78,Aerodynamique!$Y$6:$Y$546,1)),Aerodynamique!$AD$6:$AD$1006,-1))</f>
        <v>-4.6399999999999926</v>
      </c>
      <c r="L78">
        <f ca="1">Montée!$B$19*((E78-E77)/60)*J78/10</f>
        <v>13.618717144325226</v>
      </c>
      <c r="M78">
        <f t="shared" ca="1" si="9"/>
        <v>1016.0251823931876</v>
      </c>
    </row>
    <row r="79" spans="5:13">
      <c r="E79" s="210">
        <f t="shared" si="5"/>
        <v>74</v>
      </c>
      <c r="F79">
        <f t="shared" ca="1" si="8"/>
        <v>13677.162078504076</v>
      </c>
      <c r="G79">
        <f t="shared" ca="1" si="6"/>
        <v>0.45344310933106829</v>
      </c>
      <c r="H79">
        <f ca="1">INDEX(Aerodynamique!$T$6:$T$546,MATCH(G79,Aerodynamique!$Y$6:$Y$546,1))</f>
        <v>1.6000000000000085</v>
      </c>
      <c r="I79">
        <f ca="1">INDEX(Aerodynamique!$Z$6:$Z$546,MATCH(G79,Aerodynamique!$Y$6:$Y$546,1))</f>
        <v>1.4468801050364502E-2</v>
      </c>
      <c r="J79">
        <f t="shared" ca="1" si="7"/>
        <v>4259.3811541699924</v>
      </c>
      <c r="K79" s="86">
        <f ca="1">INDEX(Aerodynamique!$AC$6:$AC$1006,MATCH(INDEX(Aerodynamique!$W$6:$W$546,MATCH(G79,Aerodynamique!$Y$6:$Y$546,1)),Aerodynamique!$AD$6:$AD$1006,-1))</f>
        <v>-4.6399999999999926</v>
      </c>
      <c r="L79">
        <f ca="1">Montée!$B$19*((E79-E78)/60)*J79/10</f>
        <v>13.618717144325226</v>
      </c>
      <c r="M79">
        <f t="shared" ca="1" si="9"/>
        <v>1029.6438995375129</v>
      </c>
    </row>
    <row r="80" spans="5:13">
      <c r="E80" s="210">
        <f t="shared" si="5"/>
        <v>75</v>
      </c>
      <c r="F80">
        <f t="shared" ca="1" si="8"/>
        <v>13663.543361359751</v>
      </c>
      <c r="G80">
        <f t="shared" ca="1" si="6"/>
        <v>0.4529916038643948</v>
      </c>
      <c r="H80">
        <f ca="1">INDEX(Aerodynamique!$T$6:$T$546,MATCH(G80,Aerodynamique!$Y$6:$Y$546,1))</f>
        <v>1.6000000000000085</v>
      </c>
      <c r="I80">
        <f ca="1">INDEX(Aerodynamique!$Z$6:$Z$546,MATCH(G80,Aerodynamique!$Y$6:$Y$546,1))</f>
        <v>1.4468801050364502E-2</v>
      </c>
      <c r="J80">
        <f t="shared" ca="1" si="7"/>
        <v>4259.3811541699924</v>
      </c>
      <c r="K80" s="86">
        <f ca="1">INDEX(Aerodynamique!$AC$6:$AC$1006,MATCH(INDEX(Aerodynamique!$W$6:$W$546,MATCH(G80,Aerodynamique!$Y$6:$Y$546,1)),Aerodynamique!$AD$6:$AD$1006,-1))</f>
        <v>-4.6399999999999926</v>
      </c>
      <c r="L80">
        <f ca="1">Montée!$B$19*((E80-E79)/60)*J80/10</f>
        <v>13.618717144325226</v>
      </c>
      <c r="M80">
        <f t="shared" ca="1" si="9"/>
        <v>1043.2626166818382</v>
      </c>
    </row>
    <row r="81" spans="5:13">
      <c r="E81" s="210">
        <f t="shared" si="5"/>
        <v>76</v>
      </c>
      <c r="F81">
        <f t="shared" ca="1" si="8"/>
        <v>13649.924644215425</v>
      </c>
      <c r="G81">
        <f t="shared" ca="1" si="6"/>
        <v>0.45254009839772136</v>
      </c>
      <c r="H81">
        <f ca="1">INDEX(Aerodynamique!$T$6:$T$546,MATCH(G81,Aerodynamique!$Y$6:$Y$546,1))</f>
        <v>1.6000000000000085</v>
      </c>
      <c r="I81">
        <f ca="1">INDEX(Aerodynamique!$Z$6:$Z$546,MATCH(G81,Aerodynamique!$Y$6:$Y$546,1))</f>
        <v>1.4468801050364502E-2</v>
      </c>
      <c r="J81">
        <f t="shared" ca="1" si="7"/>
        <v>4259.3811541699924</v>
      </c>
      <c r="K81" s="86">
        <f ca="1">INDEX(Aerodynamique!$AC$6:$AC$1006,MATCH(INDEX(Aerodynamique!$W$6:$W$546,MATCH(G81,Aerodynamique!$Y$6:$Y$546,1)),Aerodynamique!$AD$6:$AD$1006,-1))</f>
        <v>-4.6399999999999926</v>
      </c>
      <c r="L81">
        <f ca="1">Montée!$B$19*((E81-E80)/60)*J81/10</f>
        <v>13.618717144325226</v>
      </c>
      <c r="M81">
        <f t="shared" ca="1" si="9"/>
        <v>1056.8813338261634</v>
      </c>
    </row>
    <row r="82" spans="5:13">
      <c r="E82" s="210">
        <f t="shared" si="5"/>
        <v>77</v>
      </c>
      <c r="F82">
        <f t="shared" ca="1" si="8"/>
        <v>13636.3059270711</v>
      </c>
      <c r="G82">
        <f t="shared" ca="1" si="6"/>
        <v>0.45208859293104803</v>
      </c>
      <c r="H82">
        <f ca="1">INDEX(Aerodynamique!$T$6:$T$546,MATCH(G82,Aerodynamique!$Y$6:$Y$546,1))</f>
        <v>1.6000000000000085</v>
      </c>
      <c r="I82">
        <f ca="1">INDEX(Aerodynamique!$Z$6:$Z$546,MATCH(G82,Aerodynamique!$Y$6:$Y$546,1))</f>
        <v>1.4468801050364502E-2</v>
      </c>
      <c r="J82">
        <f t="shared" ca="1" si="7"/>
        <v>4259.3811541699924</v>
      </c>
      <c r="K82" s="86">
        <f ca="1">INDEX(Aerodynamique!$AC$6:$AC$1006,MATCH(INDEX(Aerodynamique!$W$6:$W$546,MATCH(G82,Aerodynamique!$Y$6:$Y$546,1)),Aerodynamique!$AD$6:$AD$1006,-1))</f>
        <v>-4.6399999999999926</v>
      </c>
      <c r="L82">
        <f ca="1">Montée!$B$19*((E82-E81)/60)*J82/10</f>
        <v>13.618717144325226</v>
      </c>
      <c r="M82">
        <f t="shared" ca="1" si="9"/>
        <v>1070.5000509704887</v>
      </c>
    </row>
    <row r="83" spans="5:13">
      <c r="E83" s="210">
        <f t="shared" si="5"/>
        <v>78</v>
      </c>
      <c r="F83">
        <f t="shared" ca="1" si="8"/>
        <v>13622.687209926775</v>
      </c>
      <c r="G83">
        <f t="shared" ca="1" si="6"/>
        <v>0.45163708746437453</v>
      </c>
      <c r="H83">
        <f ca="1">INDEX(Aerodynamique!$T$6:$T$546,MATCH(G83,Aerodynamique!$Y$6:$Y$546,1))</f>
        <v>1.6000000000000085</v>
      </c>
      <c r="I83">
        <f ca="1">INDEX(Aerodynamique!$Z$6:$Z$546,MATCH(G83,Aerodynamique!$Y$6:$Y$546,1))</f>
        <v>1.4468801050364502E-2</v>
      </c>
      <c r="J83">
        <f t="shared" ca="1" si="7"/>
        <v>4259.3811541699924</v>
      </c>
      <c r="K83" s="86">
        <f ca="1">INDEX(Aerodynamique!$AC$6:$AC$1006,MATCH(INDEX(Aerodynamique!$W$6:$W$546,MATCH(G83,Aerodynamique!$Y$6:$Y$546,1)),Aerodynamique!$AD$6:$AD$1006,-1))</f>
        <v>-4.6399999999999926</v>
      </c>
      <c r="L83">
        <f ca="1">Montée!$B$19*((E83-E82)/60)*J83/10</f>
        <v>13.618717144325226</v>
      </c>
      <c r="M83">
        <f t="shared" ca="1" si="9"/>
        <v>1084.118768114814</v>
      </c>
    </row>
    <row r="84" spans="5:13">
      <c r="E84" s="210">
        <f t="shared" si="5"/>
        <v>79</v>
      </c>
      <c r="F84">
        <f t="shared" ca="1" si="8"/>
        <v>13609.06849278245</v>
      </c>
      <c r="G84">
        <f t="shared" ca="1" si="6"/>
        <v>0.45118558199770109</v>
      </c>
      <c r="H84">
        <f ca="1">INDEX(Aerodynamique!$T$6:$T$546,MATCH(G84,Aerodynamique!$Y$6:$Y$546,1))</f>
        <v>1.6000000000000085</v>
      </c>
      <c r="I84">
        <f ca="1">INDEX(Aerodynamique!$Z$6:$Z$546,MATCH(G84,Aerodynamique!$Y$6:$Y$546,1))</f>
        <v>1.4468801050364502E-2</v>
      </c>
      <c r="J84">
        <f t="shared" ca="1" si="7"/>
        <v>4259.3811541699924</v>
      </c>
      <c r="K84" s="86">
        <f ca="1">INDEX(Aerodynamique!$AC$6:$AC$1006,MATCH(INDEX(Aerodynamique!$W$6:$W$546,MATCH(G84,Aerodynamique!$Y$6:$Y$546,1)),Aerodynamique!$AD$6:$AD$1006,-1))</f>
        <v>-4.6399999999999926</v>
      </c>
      <c r="L84">
        <f ca="1">Montée!$B$19*((E84-E83)/60)*J84/10</f>
        <v>13.618717144325226</v>
      </c>
      <c r="M84">
        <f t="shared" ca="1" si="9"/>
        <v>1097.7374852591392</v>
      </c>
    </row>
    <row r="85" spans="5:13">
      <c r="E85" s="210">
        <f t="shared" si="5"/>
        <v>80</v>
      </c>
      <c r="F85">
        <f t="shared" ca="1" si="8"/>
        <v>13595.449775638124</v>
      </c>
      <c r="G85">
        <f t="shared" ca="1" si="6"/>
        <v>0.45073407653102765</v>
      </c>
      <c r="H85">
        <f ca="1">INDEX(Aerodynamique!$T$6:$T$546,MATCH(G85,Aerodynamique!$Y$6:$Y$546,1))</f>
        <v>1.6000000000000085</v>
      </c>
      <c r="I85">
        <f ca="1">INDEX(Aerodynamique!$Z$6:$Z$546,MATCH(G85,Aerodynamique!$Y$6:$Y$546,1))</f>
        <v>1.4468801050364502E-2</v>
      </c>
      <c r="J85">
        <f t="shared" ca="1" si="7"/>
        <v>4259.3811541699924</v>
      </c>
      <c r="K85" s="86">
        <f ca="1">INDEX(Aerodynamique!$AC$6:$AC$1006,MATCH(INDEX(Aerodynamique!$W$6:$W$546,MATCH(G85,Aerodynamique!$Y$6:$Y$546,1)),Aerodynamique!$AD$6:$AD$1006,-1))</f>
        <v>-4.6399999999999926</v>
      </c>
      <c r="L85">
        <f ca="1">Montée!$B$19*((E85-E84)/60)*J85/10</f>
        <v>13.618717144325226</v>
      </c>
      <c r="M85">
        <f t="shared" ca="1" si="9"/>
        <v>1111.3562024034645</v>
      </c>
    </row>
    <row r="86" spans="5:13">
      <c r="E86" s="210">
        <f t="shared" si="5"/>
        <v>81</v>
      </c>
      <c r="F86">
        <f t="shared" ca="1" si="8"/>
        <v>13581.831058493799</v>
      </c>
      <c r="G86">
        <f t="shared" ca="1" si="6"/>
        <v>0.45028257106435426</v>
      </c>
      <c r="H86">
        <f ca="1">INDEX(Aerodynamique!$T$6:$T$546,MATCH(G86,Aerodynamique!$Y$6:$Y$546,1))</f>
        <v>1.6000000000000085</v>
      </c>
      <c r="I86">
        <f ca="1">INDEX(Aerodynamique!$Z$6:$Z$546,MATCH(G86,Aerodynamique!$Y$6:$Y$546,1))</f>
        <v>1.4468801050364502E-2</v>
      </c>
      <c r="J86">
        <f t="shared" ca="1" si="7"/>
        <v>4259.3811541699924</v>
      </c>
      <c r="K86" s="86">
        <f ca="1">INDEX(Aerodynamique!$AC$6:$AC$1006,MATCH(INDEX(Aerodynamique!$W$6:$W$546,MATCH(G86,Aerodynamique!$Y$6:$Y$546,1)),Aerodynamique!$AD$6:$AD$1006,-1))</f>
        <v>-4.6399999999999926</v>
      </c>
      <c r="L86">
        <f ca="1">Montée!$B$19*((E86-E85)/60)*J86/10</f>
        <v>13.618717144325226</v>
      </c>
      <c r="M86">
        <f t="shared" ca="1" si="9"/>
        <v>1124.9749195477898</v>
      </c>
    </row>
    <row r="87" spans="5:13">
      <c r="E87" s="210">
        <f t="shared" si="5"/>
        <v>82</v>
      </c>
      <c r="F87">
        <f t="shared" ca="1" si="8"/>
        <v>13568.212341349474</v>
      </c>
      <c r="G87">
        <f t="shared" ca="1" si="6"/>
        <v>0.44983106559768082</v>
      </c>
      <c r="H87">
        <f ca="1">INDEX(Aerodynamique!$T$6:$T$546,MATCH(G87,Aerodynamique!$Y$6:$Y$546,1))</f>
        <v>1.6000000000000085</v>
      </c>
      <c r="I87">
        <f ca="1">INDEX(Aerodynamique!$Z$6:$Z$546,MATCH(G87,Aerodynamique!$Y$6:$Y$546,1))</f>
        <v>1.4468801050364502E-2</v>
      </c>
      <c r="J87">
        <f t="shared" ca="1" si="7"/>
        <v>4259.3811541699924</v>
      </c>
      <c r="K87" s="86">
        <f ca="1">INDEX(Aerodynamique!$AC$6:$AC$1006,MATCH(INDEX(Aerodynamique!$W$6:$W$546,MATCH(G87,Aerodynamique!$Y$6:$Y$546,1)),Aerodynamique!$AD$6:$AD$1006,-1))</f>
        <v>-4.6399999999999926</v>
      </c>
      <c r="L87">
        <f ca="1">Montée!$B$19*((E87-E86)/60)*J87/10</f>
        <v>13.618717144325226</v>
      </c>
      <c r="M87">
        <f t="shared" ca="1" si="9"/>
        <v>1138.5936366921151</v>
      </c>
    </row>
    <row r="88" spans="5:13">
      <c r="E88" s="210">
        <f t="shared" si="5"/>
        <v>83</v>
      </c>
      <c r="F88">
        <f t="shared" ca="1" si="8"/>
        <v>13554.593624205148</v>
      </c>
      <c r="G88">
        <f t="shared" ca="1" si="6"/>
        <v>0.44937956013100738</v>
      </c>
      <c r="H88">
        <f ca="1">INDEX(Aerodynamique!$T$6:$T$546,MATCH(G88,Aerodynamique!$Y$6:$Y$546,1))</f>
        <v>1.5500000000000085</v>
      </c>
      <c r="I88">
        <f ca="1">INDEX(Aerodynamique!$Z$6:$Z$546,MATCH(G88,Aerodynamique!$Y$6:$Y$546,1))</f>
        <v>1.4386199449002265E-2</v>
      </c>
      <c r="J88">
        <f t="shared" ca="1" si="7"/>
        <v>4235.0645779089818</v>
      </c>
      <c r="K88" s="86">
        <f ca="1">INDEX(Aerodynamique!$AC$6:$AC$1006,MATCH(INDEX(Aerodynamique!$W$6:$W$546,MATCH(G88,Aerodynamique!$Y$6:$Y$546,1)),Aerodynamique!$AD$6:$AD$1006,-1))</f>
        <v>-4.5999999999999934</v>
      </c>
      <c r="L88">
        <f ca="1">Montée!$B$19*((E88-E87)/60)*J88/10</f>
        <v>13.540968625930034</v>
      </c>
      <c r="M88">
        <f t="shared" ca="1" si="9"/>
        <v>1152.134605318045</v>
      </c>
    </row>
    <row r="89" spans="5:13">
      <c r="E89" s="210">
        <f t="shared" si="5"/>
        <v>84</v>
      </c>
      <c r="F89">
        <f t="shared" ca="1" si="8"/>
        <v>13541.052655579218</v>
      </c>
      <c r="G89">
        <f t="shared" ca="1" si="6"/>
        <v>0.4489306322845833</v>
      </c>
      <c r="H89">
        <f ca="1">INDEX(Aerodynamique!$T$6:$T$546,MATCH(G89,Aerodynamique!$Y$6:$Y$546,1))</f>
        <v>1.5500000000000085</v>
      </c>
      <c r="I89">
        <f ca="1">INDEX(Aerodynamique!$Z$6:$Z$546,MATCH(G89,Aerodynamique!$Y$6:$Y$546,1))</f>
        <v>1.4386199449002265E-2</v>
      </c>
      <c r="J89">
        <f t="shared" ca="1" si="7"/>
        <v>4235.0645779089818</v>
      </c>
      <c r="K89" s="86">
        <f ca="1">INDEX(Aerodynamique!$AC$6:$AC$1006,MATCH(INDEX(Aerodynamique!$W$6:$W$546,MATCH(G89,Aerodynamique!$Y$6:$Y$546,1)),Aerodynamique!$AD$6:$AD$1006,-1))</f>
        <v>-4.5999999999999934</v>
      </c>
      <c r="L89">
        <f ca="1">Montée!$B$19*((E89-E88)/60)*J89/10</f>
        <v>13.540968625930034</v>
      </c>
      <c r="M89">
        <f t="shared" ca="1" si="9"/>
        <v>1165.675573943975</v>
      </c>
    </row>
    <row r="90" spans="5:13">
      <c r="E90" s="210">
        <f t="shared" si="5"/>
        <v>85</v>
      </c>
      <c r="F90">
        <f t="shared" ca="1" si="8"/>
        <v>13527.511686953289</v>
      </c>
      <c r="G90">
        <f t="shared" ca="1" si="6"/>
        <v>0.44848170443815921</v>
      </c>
      <c r="H90">
        <f ca="1">INDEX(Aerodynamique!$T$6:$T$546,MATCH(G90,Aerodynamique!$Y$6:$Y$546,1))</f>
        <v>1.5500000000000085</v>
      </c>
      <c r="I90">
        <f ca="1">INDEX(Aerodynamique!$Z$6:$Z$546,MATCH(G90,Aerodynamique!$Y$6:$Y$546,1))</f>
        <v>1.4386199449002265E-2</v>
      </c>
      <c r="J90">
        <f t="shared" ca="1" si="7"/>
        <v>4235.0645779089818</v>
      </c>
      <c r="K90" s="86">
        <f ca="1">INDEX(Aerodynamique!$AC$6:$AC$1006,MATCH(INDEX(Aerodynamique!$W$6:$W$546,MATCH(G90,Aerodynamique!$Y$6:$Y$546,1)),Aerodynamique!$AD$6:$AD$1006,-1))</f>
        <v>-4.5999999999999934</v>
      </c>
      <c r="L90">
        <f ca="1">Montée!$B$19*((E90-E89)/60)*J90/10</f>
        <v>13.540968625930034</v>
      </c>
      <c r="M90">
        <f t="shared" ca="1" si="9"/>
        <v>1179.216542569905</v>
      </c>
    </row>
    <row r="91" spans="5:13">
      <c r="E91" s="210">
        <f t="shared" si="5"/>
        <v>86</v>
      </c>
      <c r="F91">
        <f t="shared" ca="1" si="8"/>
        <v>13513.970718327359</v>
      </c>
      <c r="G91">
        <f t="shared" ca="1" si="6"/>
        <v>0.44803277659173513</v>
      </c>
      <c r="H91">
        <f ca="1">INDEX(Aerodynamique!$T$6:$T$546,MATCH(G91,Aerodynamique!$Y$6:$Y$546,1))</f>
        <v>1.5500000000000085</v>
      </c>
      <c r="I91">
        <f ca="1">INDEX(Aerodynamique!$Z$6:$Z$546,MATCH(G91,Aerodynamique!$Y$6:$Y$546,1))</f>
        <v>1.4386199449002265E-2</v>
      </c>
      <c r="J91">
        <f t="shared" ca="1" si="7"/>
        <v>4235.0645779089818</v>
      </c>
      <c r="K91" s="86">
        <f ca="1">INDEX(Aerodynamique!$AC$6:$AC$1006,MATCH(INDEX(Aerodynamique!$W$6:$W$546,MATCH(G91,Aerodynamique!$Y$6:$Y$546,1)),Aerodynamique!$AD$6:$AD$1006,-1))</f>
        <v>-4.5999999999999934</v>
      </c>
      <c r="L91">
        <f ca="1">Montée!$B$19*((E91-E90)/60)*J91/10</f>
        <v>13.540968625930034</v>
      </c>
      <c r="M91">
        <f t="shared" ca="1" si="9"/>
        <v>1192.7575111958349</v>
      </c>
    </row>
    <row r="92" spans="5:13">
      <c r="E92" s="210">
        <f t="shared" si="5"/>
        <v>87</v>
      </c>
      <c r="F92">
        <f t="shared" ca="1" si="8"/>
        <v>13500.429749701429</v>
      </c>
      <c r="G92">
        <f t="shared" ca="1" si="6"/>
        <v>0.44758384874531093</v>
      </c>
      <c r="H92">
        <f ca="1">INDEX(Aerodynamique!$T$6:$T$546,MATCH(G92,Aerodynamique!$Y$6:$Y$546,1))</f>
        <v>1.5500000000000085</v>
      </c>
      <c r="I92">
        <f ca="1">INDEX(Aerodynamique!$Z$6:$Z$546,MATCH(G92,Aerodynamique!$Y$6:$Y$546,1))</f>
        <v>1.4386199449002265E-2</v>
      </c>
      <c r="J92">
        <f t="shared" ca="1" si="7"/>
        <v>4235.0645779089818</v>
      </c>
      <c r="K92" s="86">
        <f ca="1">INDEX(Aerodynamique!$AC$6:$AC$1006,MATCH(INDEX(Aerodynamique!$W$6:$W$546,MATCH(G92,Aerodynamique!$Y$6:$Y$546,1)),Aerodynamique!$AD$6:$AD$1006,-1))</f>
        <v>-4.5999999999999934</v>
      </c>
      <c r="L92">
        <f ca="1">Montée!$B$19*((E92-E91)/60)*J92/10</f>
        <v>13.540968625930034</v>
      </c>
      <c r="M92">
        <f t="shared" ca="1" si="9"/>
        <v>1206.2984798217649</v>
      </c>
    </row>
    <row r="93" spans="5:13">
      <c r="E93" s="210">
        <f t="shared" si="5"/>
        <v>88</v>
      </c>
      <c r="F93">
        <f t="shared" ca="1" si="8"/>
        <v>13486.888781075499</v>
      </c>
      <c r="G93">
        <f t="shared" ca="1" si="6"/>
        <v>0.4471349208988869</v>
      </c>
      <c r="H93">
        <f ca="1">INDEX(Aerodynamique!$T$6:$T$546,MATCH(G93,Aerodynamique!$Y$6:$Y$546,1))</f>
        <v>1.5500000000000085</v>
      </c>
      <c r="I93">
        <f ca="1">INDEX(Aerodynamique!$Z$6:$Z$546,MATCH(G93,Aerodynamique!$Y$6:$Y$546,1))</f>
        <v>1.4386199449002265E-2</v>
      </c>
      <c r="J93">
        <f t="shared" ca="1" si="7"/>
        <v>4235.0645779089818</v>
      </c>
      <c r="K93" s="86">
        <f ca="1">INDEX(Aerodynamique!$AC$6:$AC$1006,MATCH(INDEX(Aerodynamique!$W$6:$W$546,MATCH(G93,Aerodynamique!$Y$6:$Y$546,1)),Aerodynamique!$AD$6:$AD$1006,-1))</f>
        <v>-4.5999999999999934</v>
      </c>
      <c r="L93">
        <f ca="1">Montée!$B$19*((E93-E92)/60)*J93/10</f>
        <v>13.540968625930034</v>
      </c>
      <c r="M93">
        <f t="shared" ca="1" si="9"/>
        <v>1219.8394484476948</v>
      </c>
    </row>
    <row r="94" spans="5:13">
      <c r="E94" s="210">
        <f t="shared" si="5"/>
        <v>89</v>
      </c>
      <c r="F94">
        <f t="shared" ca="1" si="8"/>
        <v>13473.347812449569</v>
      </c>
      <c r="G94">
        <f t="shared" ca="1" si="6"/>
        <v>0.44668599305246282</v>
      </c>
      <c r="H94">
        <f ca="1">INDEX(Aerodynamique!$T$6:$T$546,MATCH(G94,Aerodynamique!$Y$6:$Y$546,1))</f>
        <v>1.5500000000000085</v>
      </c>
      <c r="I94">
        <f ca="1">INDEX(Aerodynamique!$Z$6:$Z$546,MATCH(G94,Aerodynamique!$Y$6:$Y$546,1))</f>
        <v>1.4386199449002265E-2</v>
      </c>
      <c r="J94">
        <f t="shared" ca="1" si="7"/>
        <v>4235.0645779089818</v>
      </c>
      <c r="K94" s="86">
        <f ca="1">INDEX(Aerodynamique!$AC$6:$AC$1006,MATCH(INDEX(Aerodynamique!$W$6:$W$546,MATCH(G94,Aerodynamique!$Y$6:$Y$546,1)),Aerodynamique!$AD$6:$AD$1006,-1))</f>
        <v>-4.5999999999999934</v>
      </c>
      <c r="L94">
        <f ca="1">Montée!$B$19*((E94-E93)/60)*J94/10</f>
        <v>13.540968625930034</v>
      </c>
      <c r="M94">
        <f t="shared" ca="1" si="9"/>
        <v>1233.3804170736248</v>
      </c>
    </row>
    <row r="95" spans="5:13">
      <c r="E95" s="210">
        <f t="shared" si="5"/>
        <v>90</v>
      </c>
      <c r="F95">
        <f t="shared" ca="1" si="8"/>
        <v>13459.806843823639</v>
      </c>
      <c r="G95">
        <f t="shared" ca="1" si="6"/>
        <v>0.44623706520603873</v>
      </c>
      <c r="H95">
        <f ca="1">INDEX(Aerodynamique!$T$6:$T$546,MATCH(G95,Aerodynamique!$Y$6:$Y$546,1))</f>
        <v>1.5500000000000085</v>
      </c>
      <c r="I95">
        <f ca="1">INDEX(Aerodynamique!$Z$6:$Z$546,MATCH(G95,Aerodynamique!$Y$6:$Y$546,1))</f>
        <v>1.4386199449002265E-2</v>
      </c>
      <c r="J95">
        <f t="shared" ca="1" si="7"/>
        <v>4235.0645779089818</v>
      </c>
      <c r="K95" s="86">
        <f ca="1">INDEX(Aerodynamique!$AC$6:$AC$1006,MATCH(INDEX(Aerodynamique!$W$6:$W$546,MATCH(G95,Aerodynamique!$Y$6:$Y$546,1)),Aerodynamique!$AD$6:$AD$1006,-1))</f>
        <v>-4.5999999999999934</v>
      </c>
      <c r="L95">
        <f ca="1">Montée!$B$19*((E95-E94)/60)*J95/10</f>
        <v>13.540968625930034</v>
      </c>
      <c r="M95">
        <f t="shared" ca="1" si="9"/>
        <v>1246.9213856995548</v>
      </c>
    </row>
    <row r="96" spans="5:13">
      <c r="E96" s="210">
        <f t="shared" si="5"/>
        <v>91</v>
      </c>
      <c r="F96">
        <f t="shared" ca="1" si="8"/>
        <v>13446.265875197709</v>
      </c>
      <c r="G96">
        <f t="shared" ca="1" si="6"/>
        <v>0.44578813735961464</v>
      </c>
      <c r="H96">
        <f ca="1">INDEX(Aerodynamique!$T$6:$T$546,MATCH(G96,Aerodynamique!$Y$6:$Y$546,1))</f>
        <v>1.5500000000000085</v>
      </c>
      <c r="I96">
        <f ca="1">INDEX(Aerodynamique!$Z$6:$Z$546,MATCH(G96,Aerodynamique!$Y$6:$Y$546,1))</f>
        <v>1.4386199449002265E-2</v>
      </c>
      <c r="J96">
        <f t="shared" ca="1" si="7"/>
        <v>4235.0645779089818</v>
      </c>
      <c r="K96" s="86">
        <f ca="1">INDEX(Aerodynamique!$AC$6:$AC$1006,MATCH(INDEX(Aerodynamique!$W$6:$W$546,MATCH(G96,Aerodynamique!$Y$6:$Y$546,1)),Aerodynamique!$AD$6:$AD$1006,-1))</f>
        <v>-4.5999999999999934</v>
      </c>
      <c r="L96">
        <f ca="1">Montée!$B$19*((E96-E95)/60)*J96/10</f>
        <v>13.540968625930034</v>
      </c>
      <c r="M96">
        <f t="shared" ca="1" si="9"/>
        <v>1260.4623543254847</v>
      </c>
    </row>
    <row r="97" spans="5:13">
      <c r="E97" s="210">
        <f t="shared" si="5"/>
        <v>92</v>
      </c>
      <c r="F97">
        <f t="shared" ca="1" si="8"/>
        <v>13432.724906571779</v>
      </c>
      <c r="G97">
        <f t="shared" ca="1" si="6"/>
        <v>0.4453392095131905</v>
      </c>
      <c r="H97">
        <f ca="1">INDEX(Aerodynamique!$T$6:$T$546,MATCH(G97,Aerodynamique!$Y$6:$Y$546,1))</f>
        <v>1.5500000000000085</v>
      </c>
      <c r="I97">
        <f ca="1">INDEX(Aerodynamique!$Z$6:$Z$546,MATCH(G97,Aerodynamique!$Y$6:$Y$546,1))</f>
        <v>1.4386199449002265E-2</v>
      </c>
      <c r="J97">
        <f t="shared" ca="1" si="7"/>
        <v>4235.0645779089818</v>
      </c>
      <c r="K97" s="86">
        <f ca="1">INDEX(Aerodynamique!$AC$6:$AC$1006,MATCH(INDEX(Aerodynamique!$W$6:$W$546,MATCH(G97,Aerodynamique!$Y$6:$Y$546,1)),Aerodynamique!$AD$6:$AD$1006,-1))</f>
        <v>-4.5999999999999934</v>
      </c>
      <c r="L97">
        <f ca="1">Montée!$B$19*((E97-E96)/60)*J97/10</f>
        <v>13.540968625930034</v>
      </c>
      <c r="M97">
        <f t="shared" ca="1" si="9"/>
        <v>1274.0033229514147</v>
      </c>
    </row>
    <row r="98" spans="5:13">
      <c r="E98" s="210">
        <f t="shared" si="5"/>
        <v>93</v>
      </c>
      <c r="F98">
        <f t="shared" ca="1" si="8"/>
        <v>13419.183937945849</v>
      </c>
      <c r="G98">
        <f t="shared" ca="1" si="6"/>
        <v>0.44489028166676642</v>
      </c>
      <c r="H98">
        <f ca="1">INDEX(Aerodynamique!$T$6:$T$546,MATCH(G98,Aerodynamique!$Y$6:$Y$546,1))</f>
        <v>1.5500000000000085</v>
      </c>
      <c r="I98">
        <f ca="1">INDEX(Aerodynamique!$Z$6:$Z$546,MATCH(G98,Aerodynamique!$Y$6:$Y$546,1))</f>
        <v>1.4386199449002265E-2</v>
      </c>
      <c r="J98">
        <f t="shared" ca="1" si="7"/>
        <v>4235.0645779089818</v>
      </c>
      <c r="K98" s="86">
        <f ca="1">INDEX(Aerodynamique!$AC$6:$AC$1006,MATCH(INDEX(Aerodynamique!$W$6:$W$546,MATCH(G98,Aerodynamique!$Y$6:$Y$546,1)),Aerodynamique!$AD$6:$AD$1006,-1))</f>
        <v>-4.5999999999999934</v>
      </c>
      <c r="L98">
        <f ca="1">Montée!$B$19*((E98-E97)/60)*J98/10</f>
        <v>13.540968625930034</v>
      </c>
      <c r="M98">
        <f t="shared" ca="1" si="9"/>
        <v>1287.5442915773447</v>
      </c>
    </row>
    <row r="99" spans="5:13">
      <c r="E99" s="210">
        <f t="shared" si="5"/>
        <v>94</v>
      </c>
      <c r="F99">
        <f t="shared" ca="1" si="8"/>
        <v>13405.642969319919</v>
      </c>
      <c r="G99">
        <f t="shared" ca="1" si="6"/>
        <v>0.44444135382034233</v>
      </c>
      <c r="H99">
        <f ca="1">INDEX(Aerodynamique!$T$6:$T$546,MATCH(G99,Aerodynamique!$Y$6:$Y$546,1))</f>
        <v>1.5000000000000084</v>
      </c>
      <c r="I99">
        <f ca="1">INDEX(Aerodynamique!$Z$6:$Z$546,MATCH(G99,Aerodynamique!$Y$6:$Y$546,1))</f>
        <v>1.4304665657652189E-2</v>
      </c>
      <c r="J99">
        <f t="shared" ca="1" si="7"/>
        <v>4211.062347655371</v>
      </c>
      <c r="K99" s="86">
        <f ca="1">INDEX(Aerodynamique!$AC$6:$AC$1006,MATCH(INDEX(Aerodynamique!$W$6:$W$546,MATCH(G99,Aerodynamique!$Y$6:$Y$546,1)),Aerodynamique!$AD$6:$AD$1006,-1))</f>
        <v>-4.5599999999999943</v>
      </c>
      <c r="L99">
        <f ca="1">Montée!$B$19*((E99-E98)/60)*J99/10</f>
        <v>13.464225180620645</v>
      </c>
      <c r="M99">
        <f t="shared" ca="1" si="9"/>
        <v>1301.0085167579653</v>
      </c>
    </row>
    <row r="100" spans="5:13">
      <c r="E100" s="210">
        <f t="shared" si="5"/>
        <v>95</v>
      </c>
      <c r="F100">
        <f t="shared" ca="1" si="8"/>
        <v>13392.178744139299</v>
      </c>
      <c r="G100">
        <f t="shared" ca="1" si="6"/>
        <v>0.44399497027267426</v>
      </c>
      <c r="H100">
        <f ca="1">INDEX(Aerodynamique!$T$6:$T$546,MATCH(G100,Aerodynamique!$Y$6:$Y$546,1))</f>
        <v>1.5000000000000084</v>
      </c>
      <c r="I100">
        <f ca="1">INDEX(Aerodynamique!$Z$6:$Z$546,MATCH(G100,Aerodynamique!$Y$6:$Y$546,1))</f>
        <v>1.4304665657652189E-2</v>
      </c>
      <c r="J100">
        <f t="shared" ca="1" si="7"/>
        <v>4211.062347655371</v>
      </c>
      <c r="K100" s="86">
        <f ca="1">INDEX(Aerodynamique!$AC$6:$AC$1006,MATCH(INDEX(Aerodynamique!$W$6:$W$546,MATCH(G100,Aerodynamique!$Y$6:$Y$546,1)),Aerodynamique!$AD$6:$AD$1006,-1))</f>
        <v>-4.5599999999999943</v>
      </c>
      <c r="L100">
        <f ca="1">Montée!$B$19*((E100-E99)/60)*J100/10</f>
        <v>13.464225180620645</v>
      </c>
      <c r="M100">
        <f t="shared" ca="1" si="9"/>
        <v>1314.4727419385858</v>
      </c>
    </row>
    <row r="101" spans="5:13">
      <c r="E101" s="210">
        <f t="shared" si="5"/>
        <v>96</v>
      </c>
      <c r="F101">
        <f t="shared" ca="1" si="8"/>
        <v>13378.714518958679</v>
      </c>
      <c r="G101">
        <f t="shared" ca="1" si="6"/>
        <v>0.44354858672500613</v>
      </c>
      <c r="H101">
        <f ca="1">INDEX(Aerodynamique!$T$6:$T$546,MATCH(G101,Aerodynamique!$Y$6:$Y$546,1))</f>
        <v>1.5000000000000084</v>
      </c>
      <c r="I101">
        <f ca="1">INDEX(Aerodynamique!$Z$6:$Z$546,MATCH(G101,Aerodynamique!$Y$6:$Y$546,1))</f>
        <v>1.4304665657652189E-2</v>
      </c>
      <c r="J101">
        <f t="shared" ca="1" si="7"/>
        <v>4211.062347655371</v>
      </c>
      <c r="K101" s="86">
        <f ca="1">INDEX(Aerodynamique!$AC$6:$AC$1006,MATCH(INDEX(Aerodynamique!$W$6:$W$546,MATCH(G101,Aerodynamique!$Y$6:$Y$546,1)),Aerodynamique!$AD$6:$AD$1006,-1))</f>
        <v>-4.5599999999999943</v>
      </c>
      <c r="L101">
        <f ca="1">Montée!$B$19*((E101-E100)/60)*J101/10</f>
        <v>13.464225180620645</v>
      </c>
      <c r="M101">
        <f t="shared" ca="1" si="9"/>
        <v>1327.9369671192064</v>
      </c>
    </row>
    <row r="102" spans="5:13">
      <c r="E102" s="210">
        <f t="shared" si="5"/>
        <v>97</v>
      </c>
      <c r="F102">
        <f t="shared" ca="1" si="8"/>
        <v>13365.250293778059</v>
      </c>
      <c r="G102">
        <f t="shared" ca="1" si="6"/>
        <v>0.44310220317733812</v>
      </c>
      <c r="H102">
        <f ca="1">INDEX(Aerodynamique!$T$6:$T$546,MATCH(G102,Aerodynamique!$Y$6:$Y$546,1))</f>
        <v>1.5000000000000084</v>
      </c>
      <c r="I102">
        <f ca="1">INDEX(Aerodynamique!$Z$6:$Z$546,MATCH(G102,Aerodynamique!$Y$6:$Y$546,1))</f>
        <v>1.4304665657652189E-2</v>
      </c>
      <c r="J102">
        <f t="shared" ca="1" si="7"/>
        <v>4211.062347655371</v>
      </c>
      <c r="K102" s="86">
        <f ca="1">INDEX(Aerodynamique!$AC$6:$AC$1006,MATCH(INDEX(Aerodynamique!$W$6:$W$546,MATCH(G102,Aerodynamique!$Y$6:$Y$546,1)),Aerodynamique!$AD$6:$AD$1006,-1))</f>
        <v>-4.5599999999999943</v>
      </c>
      <c r="L102">
        <f ca="1">Montée!$B$19*((E102-E101)/60)*J102/10</f>
        <v>13.464225180620645</v>
      </c>
      <c r="M102">
        <f t="shared" ca="1" si="9"/>
        <v>1341.401192299827</v>
      </c>
    </row>
    <row r="103" spans="5:13">
      <c r="E103" s="210">
        <f t="shared" si="5"/>
        <v>98</v>
      </c>
      <c r="F103">
        <f t="shared" ca="1" si="8"/>
        <v>13351.786068597439</v>
      </c>
      <c r="G103">
        <f t="shared" ca="1" si="6"/>
        <v>0.44265581962967004</v>
      </c>
      <c r="H103">
        <f ca="1">INDEX(Aerodynamique!$T$6:$T$546,MATCH(G103,Aerodynamique!$Y$6:$Y$546,1))</f>
        <v>1.5000000000000084</v>
      </c>
      <c r="I103">
        <f ca="1">INDEX(Aerodynamique!$Z$6:$Z$546,MATCH(G103,Aerodynamique!$Y$6:$Y$546,1))</f>
        <v>1.4304665657652189E-2</v>
      </c>
      <c r="J103">
        <f t="shared" ca="1" si="7"/>
        <v>4211.062347655371</v>
      </c>
      <c r="K103" s="86">
        <f ca="1">INDEX(Aerodynamique!$AC$6:$AC$1006,MATCH(INDEX(Aerodynamique!$W$6:$W$546,MATCH(G103,Aerodynamique!$Y$6:$Y$546,1)),Aerodynamique!$AD$6:$AD$1006,-1))</f>
        <v>-4.5599999999999943</v>
      </c>
      <c r="L103">
        <f ca="1">Montée!$B$19*((E103-E102)/60)*J103/10</f>
        <v>13.464225180620645</v>
      </c>
      <c r="M103">
        <f t="shared" ca="1" si="9"/>
        <v>1354.8654174804476</v>
      </c>
    </row>
    <row r="104" spans="5:13">
      <c r="E104" s="210">
        <f t="shared" si="5"/>
        <v>99</v>
      </c>
      <c r="F104">
        <f t="shared" ca="1" si="8"/>
        <v>13338.321843416819</v>
      </c>
      <c r="G104">
        <f t="shared" ca="1" si="6"/>
        <v>0.44220943608200192</v>
      </c>
      <c r="H104">
        <f ca="1">INDEX(Aerodynamique!$T$6:$T$546,MATCH(G104,Aerodynamique!$Y$6:$Y$546,1))</f>
        <v>1.5000000000000084</v>
      </c>
      <c r="I104">
        <f ca="1">INDEX(Aerodynamique!$Z$6:$Z$546,MATCH(G104,Aerodynamique!$Y$6:$Y$546,1))</f>
        <v>1.4304665657652189E-2</v>
      </c>
      <c r="J104">
        <f t="shared" ca="1" si="7"/>
        <v>4211.062347655371</v>
      </c>
      <c r="K104" s="86">
        <f ca="1">INDEX(Aerodynamique!$AC$6:$AC$1006,MATCH(INDEX(Aerodynamique!$W$6:$W$546,MATCH(G104,Aerodynamique!$Y$6:$Y$546,1)),Aerodynamique!$AD$6:$AD$1006,-1))</f>
        <v>-4.5599999999999943</v>
      </c>
      <c r="L104">
        <f ca="1">Montée!$B$19*((E104-E103)/60)*J104/10</f>
        <v>13.464225180620645</v>
      </c>
      <c r="M104">
        <f t="shared" ca="1" si="9"/>
        <v>1368.3296426610682</v>
      </c>
    </row>
    <row r="105" spans="5:13">
      <c r="E105" s="210">
        <f t="shared" si="5"/>
        <v>100</v>
      </c>
      <c r="F105">
        <f t="shared" ca="1" si="8"/>
        <v>13324.857618236199</v>
      </c>
      <c r="G105">
        <f t="shared" ca="1" si="6"/>
        <v>0.4417630525343339</v>
      </c>
      <c r="H105">
        <f ca="1">INDEX(Aerodynamique!$T$6:$T$546,MATCH(G105,Aerodynamique!$Y$6:$Y$546,1))</f>
        <v>1.5000000000000084</v>
      </c>
      <c r="I105">
        <f ca="1">INDEX(Aerodynamique!$Z$6:$Z$546,MATCH(G105,Aerodynamique!$Y$6:$Y$546,1))</f>
        <v>1.4304665657652189E-2</v>
      </c>
      <c r="J105">
        <f t="shared" ca="1" si="7"/>
        <v>4211.062347655371</v>
      </c>
      <c r="K105" s="86">
        <f ca="1">INDEX(Aerodynamique!$AC$6:$AC$1006,MATCH(INDEX(Aerodynamique!$W$6:$W$546,MATCH(G105,Aerodynamique!$Y$6:$Y$546,1)),Aerodynamique!$AD$6:$AD$1006,-1))</f>
        <v>-4.5599999999999943</v>
      </c>
      <c r="L105">
        <f ca="1">Montée!$B$19*((E105-E104)/60)*J105/10</f>
        <v>13.464225180620645</v>
      </c>
      <c r="M105">
        <f t="shared" ca="1" si="9"/>
        <v>1381.7938678416888</v>
      </c>
    </row>
    <row r="106" spans="5:13">
      <c r="E106" s="210">
        <f t="shared" si="5"/>
        <v>101</v>
      </c>
      <c r="F106">
        <f t="shared" ca="1" si="8"/>
        <v>13311.39339305558</v>
      </c>
      <c r="G106">
        <f t="shared" ca="1" si="6"/>
        <v>0.44131666898666577</v>
      </c>
      <c r="H106">
        <f ca="1">INDEX(Aerodynamique!$T$6:$T$546,MATCH(G106,Aerodynamique!$Y$6:$Y$546,1))</f>
        <v>1.5000000000000084</v>
      </c>
      <c r="I106">
        <f ca="1">INDEX(Aerodynamique!$Z$6:$Z$546,MATCH(G106,Aerodynamique!$Y$6:$Y$546,1))</f>
        <v>1.4304665657652189E-2</v>
      </c>
      <c r="J106">
        <f t="shared" ca="1" si="7"/>
        <v>4211.062347655371</v>
      </c>
      <c r="K106" s="86">
        <f ca="1">INDEX(Aerodynamique!$AC$6:$AC$1006,MATCH(INDEX(Aerodynamique!$W$6:$W$546,MATCH(G106,Aerodynamique!$Y$6:$Y$546,1)),Aerodynamique!$AD$6:$AD$1006,-1))</f>
        <v>-4.5599999999999943</v>
      </c>
      <c r="L106">
        <f ca="1">Montée!$B$19*((E106-E105)/60)*J106/10</f>
        <v>13.464225180620645</v>
      </c>
      <c r="M106">
        <f t="shared" ca="1" si="9"/>
        <v>1395.2580930223094</v>
      </c>
    </row>
    <row r="107" spans="5:13">
      <c r="E107" s="210">
        <f t="shared" si="5"/>
        <v>102</v>
      </c>
      <c r="F107">
        <f t="shared" ca="1" si="8"/>
        <v>13297.92916787496</v>
      </c>
      <c r="G107">
        <f t="shared" ca="1" si="6"/>
        <v>0.4408702854389977</v>
      </c>
      <c r="H107">
        <f ca="1">INDEX(Aerodynamique!$T$6:$T$546,MATCH(G107,Aerodynamique!$Y$6:$Y$546,1))</f>
        <v>1.5000000000000084</v>
      </c>
      <c r="I107">
        <f ca="1">INDEX(Aerodynamique!$Z$6:$Z$546,MATCH(G107,Aerodynamique!$Y$6:$Y$546,1))</f>
        <v>1.4304665657652189E-2</v>
      </c>
      <c r="J107">
        <f t="shared" ca="1" si="7"/>
        <v>4211.062347655371</v>
      </c>
      <c r="K107" s="86">
        <f ca="1">INDEX(Aerodynamique!$AC$6:$AC$1006,MATCH(INDEX(Aerodynamique!$W$6:$W$546,MATCH(G107,Aerodynamique!$Y$6:$Y$546,1)),Aerodynamique!$AD$6:$AD$1006,-1))</f>
        <v>-4.5599999999999943</v>
      </c>
      <c r="L107">
        <f ca="1">Montée!$B$19*((E107-E106)/60)*J107/10</f>
        <v>13.464225180620645</v>
      </c>
      <c r="M107">
        <f t="shared" ca="1" si="9"/>
        <v>1408.72231820293</v>
      </c>
    </row>
    <row r="108" spans="5:13">
      <c r="E108" s="210">
        <f t="shared" si="5"/>
        <v>103</v>
      </c>
      <c r="F108">
        <f t="shared" ca="1" si="8"/>
        <v>13284.46494269434</v>
      </c>
      <c r="G108">
        <f t="shared" ca="1" si="6"/>
        <v>0.44042390189132963</v>
      </c>
      <c r="H108">
        <f ca="1">INDEX(Aerodynamique!$T$6:$T$546,MATCH(G108,Aerodynamique!$Y$6:$Y$546,1))</f>
        <v>1.5000000000000084</v>
      </c>
      <c r="I108">
        <f ca="1">INDEX(Aerodynamique!$Z$6:$Z$546,MATCH(G108,Aerodynamique!$Y$6:$Y$546,1))</f>
        <v>1.4304665657652189E-2</v>
      </c>
      <c r="J108">
        <f t="shared" ca="1" si="7"/>
        <v>4211.062347655371</v>
      </c>
      <c r="K108" s="86">
        <f ca="1">INDEX(Aerodynamique!$AC$6:$AC$1006,MATCH(INDEX(Aerodynamique!$W$6:$W$546,MATCH(G108,Aerodynamique!$Y$6:$Y$546,1)),Aerodynamique!$AD$6:$AD$1006,-1))</f>
        <v>-4.5599999999999943</v>
      </c>
      <c r="L108">
        <f ca="1">Montée!$B$19*((E108-E107)/60)*J108/10</f>
        <v>13.464225180620645</v>
      </c>
      <c r="M108">
        <f t="shared" ca="1" si="9"/>
        <v>1422.1865433835505</v>
      </c>
    </row>
    <row r="109" spans="5:13">
      <c r="E109" s="210">
        <f t="shared" si="5"/>
        <v>104</v>
      </c>
      <c r="F109">
        <f t="shared" ca="1" si="8"/>
        <v>13271.00071751372</v>
      </c>
      <c r="G109">
        <f t="shared" ca="1" si="6"/>
        <v>0.43997751834366156</v>
      </c>
      <c r="H109">
        <f ca="1">INDEX(Aerodynamique!$T$6:$T$546,MATCH(G109,Aerodynamique!$Y$6:$Y$546,1))</f>
        <v>1.5000000000000084</v>
      </c>
      <c r="I109">
        <f ca="1">INDEX(Aerodynamique!$Z$6:$Z$546,MATCH(G109,Aerodynamique!$Y$6:$Y$546,1))</f>
        <v>1.4304665657652189E-2</v>
      </c>
      <c r="J109">
        <f t="shared" ca="1" si="7"/>
        <v>4211.062347655371</v>
      </c>
      <c r="K109" s="86">
        <f ca="1">INDEX(Aerodynamique!$AC$6:$AC$1006,MATCH(INDEX(Aerodynamique!$W$6:$W$546,MATCH(G109,Aerodynamique!$Y$6:$Y$546,1)),Aerodynamique!$AD$6:$AD$1006,-1))</f>
        <v>-4.5599999999999943</v>
      </c>
      <c r="L109">
        <f ca="1">Montée!$B$19*((E109-E108)/60)*J109/10</f>
        <v>13.464225180620645</v>
      </c>
      <c r="M109">
        <f t="shared" ca="1" si="9"/>
        <v>1435.6507685641711</v>
      </c>
    </row>
    <row r="110" spans="5:13">
      <c r="E110" s="210">
        <f t="shared" si="5"/>
        <v>105</v>
      </c>
      <c r="F110">
        <f t="shared" ca="1" si="8"/>
        <v>13257.5364923331</v>
      </c>
      <c r="G110">
        <f t="shared" ca="1" si="6"/>
        <v>0.43953113479599348</v>
      </c>
      <c r="H110">
        <f ca="1">INDEX(Aerodynamique!$T$6:$T$546,MATCH(G110,Aerodynamique!$Y$6:$Y$546,1))</f>
        <v>1.4500000000000084</v>
      </c>
      <c r="I110">
        <f ca="1">INDEX(Aerodynamique!$Z$6:$Z$546,MATCH(G110,Aerodynamique!$Y$6:$Y$546,1))</f>
        <v>1.4224199676314265E-2</v>
      </c>
      <c r="J110">
        <f t="shared" ca="1" si="7"/>
        <v>4187.3744634091554</v>
      </c>
      <c r="K110" s="86">
        <f ca="1">INDEX(Aerodynamique!$AC$6:$AC$1006,MATCH(INDEX(Aerodynamique!$W$6:$W$546,MATCH(G110,Aerodynamique!$Y$6:$Y$546,1)),Aerodynamique!$AD$6:$AD$1006,-1))</f>
        <v>-4.5199999999999951</v>
      </c>
      <c r="L110">
        <f ca="1">Montée!$B$19*((E110-E109)/60)*J110/10</f>
        <v>13.388486808397042</v>
      </c>
      <c r="M110">
        <f t="shared" ca="1" si="9"/>
        <v>1449.0392553725683</v>
      </c>
    </row>
    <row r="111" spans="5:13">
      <c r="E111" s="210">
        <f t="shared" si="5"/>
        <v>106</v>
      </c>
      <c r="F111">
        <f t="shared" ca="1" si="8"/>
        <v>13244.148005524703</v>
      </c>
      <c r="G111">
        <f t="shared" ca="1" si="6"/>
        <v>0.43908726222558803</v>
      </c>
      <c r="H111">
        <f ca="1">INDEX(Aerodynamique!$T$6:$T$546,MATCH(G111,Aerodynamique!$Y$6:$Y$546,1))</f>
        <v>1.4500000000000084</v>
      </c>
      <c r="I111">
        <f ca="1">INDEX(Aerodynamique!$Z$6:$Z$546,MATCH(G111,Aerodynamique!$Y$6:$Y$546,1))</f>
        <v>1.4224199676314265E-2</v>
      </c>
      <c r="J111">
        <f t="shared" ca="1" si="7"/>
        <v>4187.3744634091554</v>
      </c>
      <c r="K111" s="86">
        <f ca="1">INDEX(Aerodynamique!$AC$6:$AC$1006,MATCH(INDEX(Aerodynamique!$W$6:$W$546,MATCH(G111,Aerodynamique!$Y$6:$Y$546,1)),Aerodynamique!$AD$6:$AD$1006,-1))</f>
        <v>-4.5199999999999951</v>
      </c>
      <c r="L111">
        <f ca="1">Montée!$B$19*((E111-E110)/60)*J111/10</f>
        <v>13.388486808397042</v>
      </c>
      <c r="M111">
        <f t="shared" ca="1" si="9"/>
        <v>1462.4277421809654</v>
      </c>
    </row>
    <row r="112" spans="5:13">
      <c r="E112" s="210">
        <f t="shared" si="5"/>
        <v>107</v>
      </c>
      <c r="F112">
        <f t="shared" ca="1" si="8"/>
        <v>13230.759518716306</v>
      </c>
      <c r="G112">
        <f t="shared" ca="1" si="6"/>
        <v>0.43864338965518257</v>
      </c>
      <c r="H112">
        <f ca="1">INDEX(Aerodynamique!$T$6:$T$546,MATCH(G112,Aerodynamique!$Y$6:$Y$546,1))</f>
        <v>1.4500000000000084</v>
      </c>
      <c r="I112">
        <f ca="1">INDEX(Aerodynamique!$Z$6:$Z$546,MATCH(G112,Aerodynamique!$Y$6:$Y$546,1))</f>
        <v>1.4224199676314265E-2</v>
      </c>
      <c r="J112">
        <f t="shared" ca="1" si="7"/>
        <v>4187.3744634091554</v>
      </c>
      <c r="K112" s="86">
        <f ca="1">INDEX(Aerodynamique!$AC$6:$AC$1006,MATCH(INDEX(Aerodynamique!$W$6:$W$546,MATCH(G112,Aerodynamique!$Y$6:$Y$546,1)),Aerodynamique!$AD$6:$AD$1006,-1))</f>
        <v>-4.5199999999999951</v>
      </c>
      <c r="L112">
        <f ca="1">Montée!$B$19*((E112-E111)/60)*J112/10</f>
        <v>13.388486808397042</v>
      </c>
      <c r="M112">
        <f t="shared" ca="1" si="9"/>
        <v>1475.8162289893626</v>
      </c>
    </row>
    <row r="113" spans="5:13">
      <c r="E113" s="210">
        <f t="shared" si="5"/>
        <v>108</v>
      </c>
      <c r="F113">
        <f t="shared" ca="1" si="8"/>
        <v>13217.371031907909</v>
      </c>
      <c r="G113">
        <f t="shared" ca="1" si="6"/>
        <v>0.43819951708477711</v>
      </c>
      <c r="H113">
        <f ca="1">INDEX(Aerodynamique!$T$6:$T$546,MATCH(G113,Aerodynamique!$Y$6:$Y$546,1))</f>
        <v>1.4500000000000084</v>
      </c>
      <c r="I113">
        <f ca="1">INDEX(Aerodynamique!$Z$6:$Z$546,MATCH(G113,Aerodynamique!$Y$6:$Y$546,1))</f>
        <v>1.4224199676314265E-2</v>
      </c>
      <c r="J113">
        <f t="shared" ca="1" si="7"/>
        <v>4187.3744634091554</v>
      </c>
      <c r="K113" s="86">
        <f ca="1">INDEX(Aerodynamique!$AC$6:$AC$1006,MATCH(INDEX(Aerodynamique!$W$6:$W$546,MATCH(G113,Aerodynamique!$Y$6:$Y$546,1)),Aerodynamique!$AD$6:$AD$1006,-1))</f>
        <v>-4.5199999999999951</v>
      </c>
      <c r="L113">
        <f ca="1">Montée!$B$19*((E113-E112)/60)*J113/10</f>
        <v>13.388486808397042</v>
      </c>
      <c r="M113">
        <f t="shared" ca="1" si="9"/>
        <v>1489.2047157977597</v>
      </c>
    </row>
    <row r="114" spans="5:13">
      <c r="E114" s="210">
        <f t="shared" si="5"/>
        <v>109</v>
      </c>
      <c r="F114">
        <f t="shared" ca="1" si="8"/>
        <v>13203.982545099512</v>
      </c>
      <c r="G114">
        <f t="shared" ca="1" si="6"/>
        <v>0.43775564451437166</v>
      </c>
      <c r="H114">
        <f ca="1">INDEX(Aerodynamique!$T$6:$T$546,MATCH(G114,Aerodynamique!$Y$6:$Y$546,1))</f>
        <v>1.4500000000000084</v>
      </c>
      <c r="I114">
        <f ca="1">INDEX(Aerodynamique!$Z$6:$Z$546,MATCH(G114,Aerodynamique!$Y$6:$Y$546,1))</f>
        <v>1.4224199676314265E-2</v>
      </c>
      <c r="J114">
        <f t="shared" ca="1" si="7"/>
        <v>4187.3744634091554</v>
      </c>
      <c r="K114" s="86">
        <f ca="1">INDEX(Aerodynamique!$AC$6:$AC$1006,MATCH(INDEX(Aerodynamique!$W$6:$W$546,MATCH(G114,Aerodynamique!$Y$6:$Y$546,1)),Aerodynamique!$AD$6:$AD$1006,-1))</f>
        <v>-4.5199999999999951</v>
      </c>
      <c r="L114">
        <f ca="1">Montée!$B$19*((E114-E113)/60)*J114/10</f>
        <v>13.388486808397042</v>
      </c>
      <c r="M114">
        <f t="shared" ca="1" si="9"/>
        <v>1502.5932026061569</v>
      </c>
    </row>
    <row r="115" spans="5:13">
      <c r="E115" s="210">
        <f t="shared" si="5"/>
        <v>110</v>
      </c>
      <c r="F115">
        <f t="shared" ca="1" si="8"/>
        <v>13190.594058291115</v>
      </c>
      <c r="G115">
        <f t="shared" ca="1" si="6"/>
        <v>0.43731177194396625</v>
      </c>
      <c r="H115">
        <f ca="1">INDEX(Aerodynamique!$T$6:$T$546,MATCH(G115,Aerodynamique!$Y$6:$Y$546,1))</f>
        <v>1.4500000000000084</v>
      </c>
      <c r="I115">
        <f ca="1">INDEX(Aerodynamique!$Z$6:$Z$546,MATCH(G115,Aerodynamique!$Y$6:$Y$546,1))</f>
        <v>1.4224199676314265E-2</v>
      </c>
      <c r="J115">
        <f t="shared" ca="1" si="7"/>
        <v>4187.3744634091554</v>
      </c>
      <c r="K115" s="86">
        <f ca="1">INDEX(Aerodynamique!$AC$6:$AC$1006,MATCH(INDEX(Aerodynamique!$W$6:$W$546,MATCH(G115,Aerodynamique!$Y$6:$Y$546,1)),Aerodynamique!$AD$6:$AD$1006,-1))</f>
        <v>-4.5199999999999951</v>
      </c>
      <c r="L115">
        <f ca="1">Montée!$B$19*((E115-E114)/60)*J115/10</f>
        <v>13.388486808397042</v>
      </c>
      <c r="M115">
        <f t="shared" ca="1" si="9"/>
        <v>1515.981689414554</v>
      </c>
    </row>
    <row r="116" spans="5:13">
      <c r="E116" s="210">
        <f t="shared" si="5"/>
        <v>111</v>
      </c>
      <c r="F116">
        <f t="shared" ca="1" si="8"/>
        <v>13177.205571482718</v>
      </c>
      <c r="G116">
        <f t="shared" ca="1" si="6"/>
        <v>0.4368678993735608</v>
      </c>
      <c r="H116">
        <f ca="1">INDEX(Aerodynamique!$T$6:$T$546,MATCH(G116,Aerodynamique!$Y$6:$Y$546,1))</f>
        <v>1.4500000000000084</v>
      </c>
      <c r="I116">
        <f ca="1">INDEX(Aerodynamique!$Z$6:$Z$546,MATCH(G116,Aerodynamique!$Y$6:$Y$546,1))</f>
        <v>1.4224199676314265E-2</v>
      </c>
      <c r="J116">
        <f t="shared" ca="1" si="7"/>
        <v>4187.3744634091554</v>
      </c>
      <c r="K116" s="86">
        <f ca="1">INDEX(Aerodynamique!$AC$6:$AC$1006,MATCH(INDEX(Aerodynamique!$W$6:$W$546,MATCH(G116,Aerodynamique!$Y$6:$Y$546,1)),Aerodynamique!$AD$6:$AD$1006,-1))</f>
        <v>-4.5199999999999951</v>
      </c>
      <c r="L116">
        <f ca="1">Montée!$B$19*((E116-E115)/60)*J116/10</f>
        <v>13.388486808397042</v>
      </c>
      <c r="M116">
        <f t="shared" ca="1" si="9"/>
        <v>1529.3701762229512</v>
      </c>
    </row>
    <row r="117" spans="5:13">
      <c r="E117" s="210">
        <f t="shared" si="5"/>
        <v>112</v>
      </c>
      <c r="F117">
        <f t="shared" ca="1" si="8"/>
        <v>13163.817084674321</v>
      </c>
      <c r="G117">
        <f t="shared" ca="1" si="6"/>
        <v>0.43642402680315534</v>
      </c>
      <c r="H117">
        <f ca="1">INDEX(Aerodynamique!$T$6:$T$546,MATCH(G117,Aerodynamique!$Y$6:$Y$546,1))</f>
        <v>1.4500000000000084</v>
      </c>
      <c r="I117">
        <f ca="1">INDEX(Aerodynamique!$Z$6:$Z$546,MATCH(G117,Aerodynamique!$Y$6:$Y$546,1))</f>
        <v>1.4224199676314265E-2</v>
      </c>
      <c r="J117">
        <f t="shared" ca="1" si="7"/>
        <v>4187.3744634091554</v>
      </c>
      <c r="K117" s="86">
        <f ca="1">INDEX(Aerodynamique!$AC$6:$AC$1006,MATCH(INDEX(Aerodynamique!$W$6:$W$546,MATCH(G117,Aerodynamique!$Y$6:$Y$546,1)),Aerodynamique!$AD$6:$AD$1006,-1))</f>
        <v>-4.5199999999999951</v>
      </c>
      <c r="L117">
        <f ca="1">Montée!$B$19*((E117-E116)/60)*J117/10</f>
        <v>13.388486808397042</v>
      </c>
      <c r="M117">
        <f t="shared" ca="1" si="9"/>
        <v>1542.7586630313483</v>
      </c>
    </row>
    <row r="118" spans="5:13">
      <c r="E118" s="210">
        <f t="shared" si="5"/>
        <v>113</v>
      </c>
      <c r="F118">
        <f t="shared" ca="1" si="8"/>
        <v>13150.428597865925</v>
      </c>
      <c r="G118">
        <f t="shared" ca="1" si="6"/>
        <v>0.43598015423274988</v>
      </c>
      <c r="H118">
        <f ca="1">INDEX(Aerodynamique!$T$6:$T$546,MATCH(G118,Aerodynamique!$Y$6:$Y$546,1))</f>
        <v>1.4500000000000084</v>
      </c>
      <c r="I118">
        <f ca="1">INDEX(Aerodynamique!$Z$6:$Z$546,MATCH(G118,Aerodynamique!$Y$6:$Y$546,1))</f>
        <v>1.4224199676314265E-2</v>
      </c>
      <c r="J118">
        <f t="shared" ca="1" si="7"/>
        <v>4187.3744634091554</v>
      </c>
      <c r="K118" s="86">
        <f ca="1">INDEX(Aerodynamique!$AC$6:$AC$1006,MATCH(INDEX(Aerodynamique!$W$6:$W$546,MATCH(G118,Aerodynamique!$Y$6:$Y$546,1)),Aerodynamique!$AD$6:$AD$1006,-1))</f>
        <v>-4.5199999999999951</v>
      </c>
      <c r="L118">
        <f ca="1">Montée!$B$19*((E118-E117)/60)*J118/10</f>
        <v>13.388486808397042</v>
      </c>
      <c r="M118">
        <f t="shared" ca="1" si="9"/>
        <v>1556.1471498397455</v>
      </c>
    </row>
    <row r="119" spans="5:13">
      <c r="E119" s="210">
        <f t="shared" si="5"/>
        <v>114</v>
      </c>
      <c r="F119">
        <f t="shared" ca="1" si="8"/>
        <v>13137.040111057528</v>
      </c>
      <c r="G119">
        <f t="shared" ca="1" si="6"/>
        <v>0.43553628166234443</v>
      </c>
      <c r="H119">
        <f ca="1">INDEX(Aerodynamique!$T$6:$T$546,MATCH(G119,Aerodynamique!$Y$6:$Y$546,1))</f>
        <v>1.4500000000000084</v>
      </c>
      <c r="I119">
        <f ca="1">INDEX(Aerodynamique!$Z$6:$Z$546,MATCH(G119,Aerodynamique!$Y$6:$Y$546,1))</f>
        <v>1.4224199676314265E-2</v>
      </c>
      <c r="J119">
        <f t="shared" ca="1" si="7"/>
        <v>4187.3744634091554</v>
      </c>
      <c r="K119" s="86">
        <f ca="1">INDEX(Aerodynamique!$AC$6:$AC$1006,MATCH(INDEX(Aerodynamique!$W$6:$W$546,MATCH(G119,Aerodynamique!$Y$6:$Y$546,1)),Aerodynamique!$AD$6:$AD$1006,-1))</f>
        <v>-4.5199999999999951</v>
      </c>
      <c r="L119">
        <f ca="1">Montée!$B$19*((E119-E118)/60)*J119/10</f>
        <v>13.388486808397042</v>
      </c>
      <c r="M119">
        <f t="shared" ca="1" si="9"/>
        <v>1569.5356366481426</v>
      </c>
    </row>
    <row r="120" spans="5:13">
      <c r="E120" s="210">
        <f t="shared" si="5"/>
        <v>115</v>
      </c>
      <c r="F120">
        <f t="shared" ca="1" si="8"/>
        <v>13123.651624249131</v>
      </c>
      <c r="G120">
        <f t="shared" ca="1" si="6"/>
        <v>0.43509240909193903</v>
      </c>
      <c r="H120">
        <f ca="1">INDEX(Aerodynamique!$T$6:$T$546,MATCH(G120,Aerodynamique!$Y$6:$Y$546,1))</f>
        <v>1.4500000000000084</v>
      </c>
      <c r="I120">
        <f ca="1">INDEX(Aerodynamique!$Z$6:$Z$546,MATCH(G120,Aerodynamique!$Y$6:$Y$546,1))</f>
        <v>1.4224199676314265E-2</v>
      </c>
      <c r="J120">
        <f t="shared" ca="1" si="7"/>
        <v>4187.3744634091554</v>
      </c>
      <c r="K120" s="86">
        <f ca="1">INDEX(Aerodynamique!$AC$6:$AC$1006,MATCH(INDEX(Aerodynamique!$W$6:$W$546,MATCH(G120,Aerodynamique!$Y$6:$Y$546,1)),Aerodynamique!$AD$6:$AD$1006,-1))</f>
        <v>-4.5199999999999951</v>
      </c>
      <c r="L120">
        <f ca="1">Montée!$B$19*((E120-E119)/60)*J120/10</f>
        <v>13.388486808397042</v>
      </c>
      <c r="M120">
        <f t="shared" ca="1" si="9"/>
        <v>1582.9241234565397</v>
      </c>
    </row>
    <row r="121" spans="5:13">
      <c r="E121" s="210">
        <f t="shared" si="5"/>
        <v>116</v>
      </c>
      <c r="F121">
        <f t="shared" ca="1" si="8"/>
        <v>13110.263137440734</v>
      </c>
      <c r="G121">
        <f t="shared" ca="1" si="6"/>
        <v>0.43464853652153357</v>
      </c>
      <c r="H121">
        <f ca="1">INDEX(Aerodynamique!$T$6:$T$546,MATCH(G121,Aerodynamique!$Y$6:$Y$546,1))</f>
        <v>1.4000000000000083</v>
      </c>
      <c r="I121">
        <f ca="1">INDEX(Aerodynamique!$Z$6:$Z$546,MATCH(G121,Aerodynamique!$Y$6:$Y$546,1))</f>
        <v>1.4144801504988503E-2</v>
      </c>
      <c r="J121">
        <f t="shared" ca="1" si="7"/>
        <v>4164.0009251703395</v>
      </c>
      <c r="K121" s="86">
        <f ca="1">INDEX(Aerodynamique!$AC$6:$AC$1006,MATCH(INDEX(Aerodynamique!$W$6:$W$546,MATCH(G121,Aerodynamique!$Y$6:$Y$546,1)),Aerodynamique!$AD$6:$AD$1006,-1))</f>
        <v>-4.4599999999999964</v>
      </c>
      <c r="L121">
        <f ca="1">Montée!$B$19*((E121-E120)/60)*J121/10</f>
        <v>13.313753509259238</v>
      </c>
      <c r="M121">
        <f t="shared" ca="1" si="9"/>
        <v>1596.2378769657989</v>
      </c>
    </row>
    <row r="122" spans="5:13">
      <c r="E122" s="210">
        <f t="shared" si="5"/>
        <v>117</v>
      </c>
      <c r="F122">
        <f t="shared" ca="1" si="8"/>
        <v>13096.949383931475</v>
      </c>
      <c r="G122">
        <f t="shared" ca="1" si="6"/>
        <v>0.43420714160689744</v>
      </c>
      <c r="H122">
        <f ca="1">INDEX(Aerodynamique!$T$6:$T$546,MATCH(G122,Aerodynamique!$Y$6:$Y$546,1))</f>
        <v>1.4000000000000083</v>
      </c>
      <c r="I122">
        <f ca="1">INDEX(Aerodynamique!$Z$6:$Z$546,MATCH(G122,Aerodynamique!$Y$6:$Y$546,1))</f>
        <v>1.4144801504988503E-2</v>
      </c>
      <c r="J122">
        <f t="shared" ca="1" si="7"/>
        <v>4164.0009251703395</v>
      </c>
      <c r="K122" s="86">
        <f ca="1">INDEX(Aerodynamique!$AC$6:$AC$1006,MATCH(INDEX(Aerodynamique!$W$6:$W$546,MATCH(G122,Aerodynamique!$Y$6:$Y$546,1)),Aerodynamique!$AD$6:$AD$1006,-1))</f>
        <v>-4.4599999999999964</v>
      </c>
      <c r="L122">
        <f ca="1">Montée!$B$19*((E122-E121)/60)*J122/10</f>
        <v>13.313753509259238</v>
      </c>
      <c r="M122">
        <f t="shared" ca="1" si="9"/>
        <v>1609.5516304750581</v>
      </c>
    </row>
    <row r="123" spans="5:13">
      <c r="E123" s="210">
        <f t="shared" si="5"/>
        <v>118</v>
      </c>
      <c r="F123">
        <f t="shared" ca="1" si="8"/>
        <v>13083.635630422215</v>
      </c>
      <c r="G123">
        <f t="shared" ca="1" si="6"/>
        <v>0.43376574669226131</v>
      </c>
      <c r="H123">
        <f ca="1">INDEX(Aerodynamique!$T$6:$T$546,MATCH(G123,Aerodynamique!$Y$6:$Y$546,1))</f>
        <v>1.4000000000000083</v>
      </c>
      <c r="I123">
        <f ca="1">INDEX(Aerodynamique!$Z$6:$Z$546,MATCH(G123,Aerodynamique!$Y$6:$Y$546,1))</f>
        <v>1.4144801504988503E-2</v>
      </c>
      <c r="J123">
        <f t="shared" ca="1" si="7"/>
        <v>4164.0009251703395</v>
      </c>
      <c r="K123" s="86">
        <f ca="1">INDEX(Aerodynamique!$AC$6:$AC$1006,MATCH(INDEX(Aerodynamique!$W$6:$W$546,MATCH(G123,Aerodynamique!$Y$6:$Y$546,1)),Aerodynamique!$AD$6:$AD$1006,-1))</f>
        <v>-4.4599999999999964</v>
      </c>
      <c r="L123">
        <f ca="1">Montée!$B$19*((E123-E122)/60)*J123/10</f>
        <v>13.313753509259238</v>
      </c>
      <c r="M123">
        <f t="shared" ca="1" si="9"/>
        <v>1622.8653839843173</v>
      </c>
    </row>
    <row r="124" spans="5:13">
      <c r="E124" s="210">
        <f t="shared" si="5"/>
        <v>119</v>
      </c>
      <c r="F124">
        <f t="shared" ca="1" si="8"/>
        <v>13070.321876912956</v>
      </c>
      <c r="G124">
        <f t="shared" ca="1" si="6"/>
        <v>0.43332435177762513</v>
      </c>
      <c r="H124">
        <f ca="1">INDEX(Aerodynamique!$T$6:$T$546,MATCH(G124,Aerodynamique!$Y$6:$Y$546,1))</f>
        <v>1.4000000000000083</v>
      </c>
      <c r="I124">
        <f ca="1">INDEX(Aerodynamique!$Z$6:$Z$546,MATCH(G124,Aerodynamique!$Y$6:$Y$546,1))</f>
        <v>1.4144801504988503E-2</v>
      </c>
      <c r="J124">
        <f t="shared" ca="1" si="7"/>
        <v>4164.0009251703395</v>
      </c>
      <c r="K124" s="86">
        <f ca="1">INDEX(Aerodynamique!$AC$6:$AC$1006,MATCH(INDEX(Aerodynamique!$W$6:$W$546,MATCH(G124,Aerodynamique!$Y$6:$Y$546,1)),Aerodynamique!$AD$6:$AD$1006,-1))</f>
        <v>-4.4599999999999964</v>
      </c>
      <c r="L124">
        <f ca="1">Montée!$B$19*((E124-E123)/60)*J124/10</f>
        <v>13.313753509259238</v>
      </c>
      <c r="M124">
        <f t="shared" ca="1" si="9"/>
        <v>1636.1791374935765</v>
      </c>
    </row>
    <row r="125" spans="5:13">
      <c r="E125" s="210">
        <f t="shared" si="5"/>
        <v>120</v>
      </c>
      <c r="F125">
        <f t="shared" ca="1" si="8"/>
        <v>13057.008123403697</v>
      </c>
      <c r="G125">
        <f t="shared" ca="1" si="6"/>
        <v>0.432882956862989</v>
      </c>
      <c r="H125">
        <f ca="1">INDEX(Aerodynamique!$T$6:$T$546,MATCH(G125,Aerodynamique!$Y$6:$Y$546,1))</f>
        <v>1.4000000000000083</v>
      </c>
      <c r="I125">
        <f ca="1">INDEX(Aerodynamique!$Z$6:$Z$546,MATCH(G125,Aerodynamique!$Y$6:$Y$546,1))</f>
        <v>1.4144801504988503E-2</v>
      </c>
      <c r="J125">
        <f t="shared" ca="1" si="7"/>
        <v>4164.0009251703395</v>
      </c>
      <c r="K125" s="86">
        <f ca="1">INDEX(Aerodynamique!$AC$6:$AC$1006,MATCH(INDEX(Aerodynamique!$W$6:$W$546,MATCH(G125,Aerodynamique!$Y$6:$Y$546,1)),Aerodynamique!$AD$6:$AD$1006,-1))</f>
        <v>-4.4599999999999964</v>
      </c>
      <c r="L125">
        <f ca="1">Montée!$B$19*((E125-E124)/60)*J125/10</f>
        <v>13.313753509259238</v>
      </c>
      <c r="M125">
        <f t="shared" ca="1" si="9"/>
        <v>1649.4928910028357</v>
      </c>
    </row>
    <row r="126" spans="5:13">
      <c r="E126" s="210">
        <f t="shared" si="5"/>
        <v>121</v>
      </c>
      <c r="F126">
        <f t="shared" ca="1" si="8"/>
        <v>13043.694369894438</v>
      </c>
      <c r="G126">
        <f t="shared" ca="1" si="6"/>
        <v>0.43244156194835293</v>
      </c>
      <c r="H126">
        <f ca="1">INDEX(Aerodynamique!$T$6:$T$546,MATCH(G126,Aerodynamique!$Y$6:$Y$546,1))</f>
        <v>1.4000000000000083</v>
      </c>
      <c r="I126">
        <f ca="1">INDEX(Aerodynamique!$Z$6:$Z$546,MATCH(G126,Aerodynamique!$Y$6:$Y$546,1))</f>
        <v>1.4144801504988503E-2</v>
      </c>
      <c r="J126">
        <f t="shared" ca="1" si="7"/>
        <v>4164.0009251703395</v>
      </c>
      <c r="K126" s="86">
        <f ca="1">INDEX(Aerodynamique!$AC$6:$AC$1006,MATCH(INDEX(Aerodynamique!$W$6:$W$546,MATCH(G126,Aerodynamique!$Y$6:$Y$546,1)),Aerodynamique!$AD$6:$AD$1006,-1))</f>
        <v>-4.4599999999999964</v>
      </c>
      <c r="L126">
        <f ca="1">Montée!$B$19*((E126-E125)/60)*J126/10</f>
        <v>13.313753509259238</v>
      </c>
      <c r="M126">
        <f t="shared" ca="1" si="9"/>
        <v>1662.8066445120949</v>
      </c>
    </row>
    <row r="127" spans="5:13">
      <c r="E127" s="210">
        <f t="shared" si="5"/>
        <v>122</v>
      </c>
      <c r="F127">
        <f t="shared" ca="1" si="8"/>
        <v>13030.380616385179</v>
      </c>
      <c r="G127">
        <f t="shared" ca="1" si="6"/>
        <v>0.43200016703371674</v>
      </c>
      <c r="H127">
        <f ca="1">INDEX(Aerodynamique!$T$6:$T$546,MATCH(G127,Aerodynamique!$Y$6:$Y$546,1))</f>
        <v>1.4000000000000083</v>
      </c>
      <c r="I127">
        <f ca="1">INDEX(Aerodynamique!$Z$6:$Z$546,MATCH(G127,Aerodynamique!$Y$6:$Y$546,1))</f>
        <v>1.4144801504988503E-2</v>
      </c>
      <c r="J127">
        <f t="shared" ca="1" si="7"/>
        <v>4164.0009251703395</v>
      </c>
      <c r="K127" s="86">
        <f ca="1">INDEX(Aerodynamique!$AC$6:$AC$1006,MATCH(INDEX(Aerodynamique!$W$6:$W$546,MATCH(G127,Aerodynamique!$Y$6:$Y$546,1)),Aerodynamique!$AD$6:$AD$1006,-1))</f>
        <v>-4.4599999999999964</v>
      </c>
      <c r="L127">
        <f ca="1">Montée!$B$19*((E127-E126)/60)*J127/10</f>
        <v>13.313753509259238</v>
      </c>
      <c r="M127">
        <f t="shared" ca="1" si="9"/>
        <v>1676.120398021354</v>
      </c>
    </row>
    <row r="128" spans="5:13">
      <c r="E128" s="210">
        <f t="shared" si="5"/>
        <v>123</v>
      </c>
      <c r="F128">
        <f t="shared" ca="1" si="8"/>
        <v>13017.066862875919</v>
      </c>
      <c r="G128">
        <f t="shared" ca="1" si="6"/>
        <v>0.43155877211908061</v>
      </c>
      <c r="H128">
        <f ca="1">INDEX(Aerodynamique!$T$6:$T$546,MATCH(G128,Aerodynamique!$Y$6:$Y$546,1))</f>
        <v>1.4000000000000083</v>
      </c>
      <c r="I128">
        <f ca="1">INDEX(Aerodynamique!$Z$6:$Z$546,MATCH(G128,Aerodynamique!$Y$6:$Y$546,1))</f>
        <v>1.4144801504988503E-2</v>
      </c>
      <c r="J128">
        <f t="shared" ca="1" si="7"/>
        <v>4164.0009251703395</v>
      </c>
      <c r="K128" s="86">
        <f ca="1">INDEX(Aerodynamique!$AC$6:$AC$1006,MATCH(INDEX(Aerodynamique!$W$6:$W$546,MATCH(G128,Aerodynamique!$Y$6:$Y$546,1)),Aerodynamique!$AD$6:$AD$1006,-1))</f>
        <v>-4.4599999999999964</v>
      </c>
      <c r="L128">
        <f ca="1">Montée!$B$19*((E128-E127)/60)*J128/10</f>
        <v>13.313753509259238</v>
      </c>
      <c r="M128">
        <f t="shared" ca="1" si="9"/>
        <v>1689.4341515306132</v>
      </c>
    </row>
    <row r="129" spans="5:13">
      <c r="E129" s="210">
        <f t="shared" si="5"/>
        <v>124</v>
      </c>
      <c r="F129">
        <f t="shared" ca="1" si="8"/>
        <v>13003.75310936666</v>
      </c>
      <c r="G129">
        <f t="shared" ca="1" si="6"/>
        <v>0.43111737720444449</v>
      </c>
      <c r="H129">
        <f ca="1">INDEX(Aerodynamique!$T$6:$T$546,MATCH(G129,Aerodynamique!$Y$6:$Y$546,1))</f>
        <v>1.4000000000000083</v>
      </c>
      <c r="I129">
        <f ca="1">INDEX(Aerodynamique!$Z$6:$Z$546,MATCH(G129,Aerodynamique!$Y$6:$Y$546,1))</f>
        <v>1.4144801504988503E-2</v>
      </c>
      <c r="J129">
        <f t="shared" ca="1" si="7"/>
        <v>4164.0009251703395</v>
      </c>
      <c r="K129" s="86">
        <f ca="1">INDEX(Aerodynamique!$AC$6:$AC$1006,MATCH(INDEX(Aerodynamique!$W$6:$W$546,MATCH(G129,Aerodynamique!$Y$6:$Y$546,1)),Aerodynamique!$AD$6:$AD$1006,-1))</f>
        <v>-4.4599999999999964</v>
      </c>
      <c r="L129">
        <f ca="1">Montée!$B$19*((E129-E128)/60)*J129/10</f>
        <v>13.313753509259238</v>
      </c>
      <c r="M129">
        <f t="shared" ca="1" si="9"/>
        <v>1702.7479050398724</v>
      </c>
    </row>
    <row r="130" spans="5:13">
      <c r="E130" s="210">
        <f t="shared" si="5"/>
        <v>125</v>
      </c>
      <c r="F130">
        <f t="shared" ca="1" si="8"/>
        <v>12990.439355857401</v>
      </c>
      <c r="G130">
        <f t="shared" ca="1" si="6"/>
        <v>0.43067598228980836</v>
      </c>
      <c r="H130">
        <f ca="1">INDEX(Aerodynamique!$T$6:$T$546,MATCH(G130,Aerodynamique!$Y$6:$Y$546,1))</f>
        <v>1.4000000000000083</v>
      </c>
      <c r="I130">
        <f ca="1">INDEX(Aerodynamique!$Z$6:$Z$546,MATCH(G130,Aerodynamique!$Y$6:$Y$546,1))</f>
        <v>1.4144801504988503E-2</v>
      </c>
      <c r="J130">
        <f t="shared" ca="1" si="7"/>
        <v>4164.0009251703395</v>
      </c>
      <c r="K130" s="86">
        <f ca="1">INDEX(Aerodynamique!$AC$6:$AC$1006,MATCH(INDEX(Aerodynamique!$W$6:$W$546,MATCH(G130,Aerodynamique!$Y$6:$Y$546,1)),Aerodynamique!$AD$6:$AD$1006,-1))</f>
        <v>-4.4599999999999964</v>
      </c>
      <c r="L130">
        <f ca="1">Montée!$B$19*((E130-E129)/60)*J130/10</f>
        <v>13.313753509259238</v>
      </c>
      <c r="M130">
        <f t="shared" ca="1" si="9"/>
        <v>1716.0616585491316</v>
      </c>
    </row>
    <row r="131" spans="5:13">
      <c r="E131" s="210">
        <f t="shared" si="5"/>
        <v>126</v>
      </c>
      <c r="F131">
        <f t="shared" ca="1" si="8"/>
        <v>12977.125602348142</v>
      </c>
      <c r="G131">
        <f t="shared" ca="1" si="6"/>
        <v>0.43023458737517223</v>
      </c>
      <c r="H131">
        <f ca="1">INDEX(Aerodynamique!$T$6:$T$546,MATCH(G131,Aerodynamique!$Y$6:$Y$546,1))</f>
        <v>1.4000000000000083</v>
      </c>
      <c r="I131">
        <f ca="1">INDEX(Aerodynamique!$Z$6:$Z$546,MATCH(G131,Aerodynamique!$Y$6:$Y$546,1))</f>
        <v>1.4144801504988503E-2</v>
      </c>
      <c r="J131">
        <f t="shared" ca="1" si="7"/>
        <v>4164.0009251703395</v>
      </c>
      <c r="K131" s="86">
        <f ca="1">INDEX(Aerodynamique!$AC$6:$AC$1006,MATCH(INDEX(Aerodynamique!$W$6:$W$546,MATCH(G131,Aerodynamique!$Y$6:$Y$546,1)),Aerodynamique!$AD$6:$AD$1006,-1))</f>
        <v>-4.4599999999999964</v>
      </c>
      <c r="L131">
        <f ca="1">Montée!$B$19*((E131-E130)/60)*J131/10</f>
        <v>13.313753509259238</v>
      </c>
      <c r="M131">
        <f t="shared" ca="1" si="9"/>
        <v>1729.3754120583908</v>
      </c>
    </row>
    <row r="132" spans="5:13">
      <c r="E132" s="210">
        <f t="shared" si="5"/>
        <v>127</v>
      </c>
      <c r="F132">
        <f t="shared" ca="1" si="8"/>
        <v>12963.811848838883</v>
      </c>
      <c r="G132">
        <f t="shared" ca="1" si="6"/>
        <v>0.42979319246053604</v>
      </c>
      <c r="H132">
        <f ca="1">INDEX(Aerodynamique!$T$6:$T$546,MATCH(G132,Aerodynamique!$Y$6:$Y$546,1))</f>
        <v>1.3500000000000083</v>
      </c>
      <c r="I132">
        <f ca="1">INDEX(Aerodynamique!$Z$6:$Z$546,MATCH(G132,Aerodynamique!$Y$6:$Y$546,1))</f>
        <v>1.4066471143674901E-2</v>
      </c>
      <c r="J132">
        <f t="shared" ca="1" si="7"/>
        <v>4140.9417329389225</v>
      </c>
      <c r="K132" s="86">
        <f ca="1">INDEX(Aerodynamique!$AC$6:$AC$1006,MATCH(INDEX(Aerodynamique!$W$6:$W$546,MATCH(G132,Aerodynamique!$Y$6:$Y$546,1)),Aerodynamique!$AD$6:$AD$1006,-1))</f>
        <v>-4.4199999999999973</v>
      </c>
      <c r="L132">
        <f ca="1">Montée!$B$19*((E132-E131)/60)*J132/10</f>
        <v>13.240025283207235</v>
      </c>
      <c r="M132">
        <f t="shared" ca="1" si="9"/>
        <v>1742.615437341598</v>
      </c>
    </row>
    <row r="133" spans="5:13">
      <c r="E133" s="210">
        <f t="shared" si="5"/>
        <v>128</v>
      </c>
      <c r="F133">
        <f t="shared" ca="1" si="8"/>
        <v>12950.571823555676</v>
      </c>
      <c r="G133">
        <f t="shared" ca="1" si="6"/>
        <v>0.4293542418801759</v>
      </c>
      <c r="H133">
        <f ca="1">INDEX(Aerodynamique!$T$6:$T$546,MATCH(G133,Aerodynamique!$Y$6:$Y$546,1))</f>
        <v>1.3500000000000083</v>
      </c>
      <c r="I133">
        <f ca="1">INDEX(Aerodynamique!$Z$6:$Z$546,MATCH(G133,Aerodynamique!$Y$6:$Y$546,1))</f>
        <v>1.4066471143674901E-2</v>
      </c>
      <c r="J133">
        <f t="shared" ca="1" si="7"/>
        <v>4140.9417329389225</v>
      </c>
      <c r="K133" s="86">
        <f ca="1">INDEX(Aerodynamique!$AC$6:$AC$1006,MATCH(INDEX(Aerodynamique!$W$6:$W$546,MATCH(G133,Aerodynamique!$Y$6:$Y$546,1)),Aerodynamique!$AD$6:$AD$1006,-1))</f>
        <v>-4.4199999999999973</v>
      </c>
      <c r="L133">
        <f ca="1">Montée!$B$19*((E133-E132)/60)*J133/10</f>
        <v>13.240025283207235</v>
      </c>
      <c r="M133">
        <f t="shared" ca="1" si="9"/>
        <v>1755.8554626248051</v>
      </c>
    </row>
    <row r="134" spans="5:13">
      <c r="E134" s="210">
        <f t="shared" ref="E134:E197" si="10">E133+$E$3</f>
        <v>129</v>
      </c>
      <c r="F134">
        <f t="shared" ca="1" si="8"/>
        <v>12937.331798272469</v>
      </c>
      <c r="G134">
        <f t="shared" ref="G134:G197" ca="1" si="11">2*F134*g/(rho*V^2*SRef)</f>
        <v>0.42891529129981576</v>
      </c>
      <c r="H134">
        <f ca="1">INDEX(Aerodynamique!$T$6:$T$546,MATCH(G134,Aerodynamique!$Y$6:$Y$546,1))</f>
        <v>1.3500000000000083</v>
      </c>
      <c r="I134">
        <f ca="1">INDEX(Aerodynamique!$Z$6:$Z$546,MATCH(G134,Aerodynamique!$Y$6:$Y$546,1))</f>
        <v>1.4066471143674901E-2</v>
      </c>
      <c r="J134">
        <f t="shared" ref="J134:J197" ca="1" si="12">(1/2)*rho*V^2*SRef*I134</f>
        <v>4140.9417329389225</v>
      </c>
      <c r="K134" s="86">
        <f ca="1">INDEX(Aerodynamique!$AC$6:$AC$1006,MATCH(INDEX(Aerodynamique!$W$6:$W$546,MATCH(G134,Aerodynamique!$Y$6:$Y$546,1)),Aerodynamique!$AD$6:$AD$1006,-1))</f>
        <v>-4.4199999999999973</v>
      </c>
      <c r="L134">
        <f ca="1">Montée!$B$19*((E134-E133)/60)*J134/10</f>
        <v>13.240025283207235</v>
      </c>
      <c r="M134">
        <f t="shared" ca="1" si="9"/>
        <v>1769.0954879080123</v>
      </c>
    </row>
    <row r="135" spans="5:13">
      <c r="E135" s="210">
        <f t="shared" si="10"/>
        <v>130</v>
      </c>
      <c r="F135">
        <f t="shared" ref="F135:F198" ca="1" si="13">F134-L134</f>
        <v>12924.091772989263</v>
      </c>
      <c r="G135">
        <f t="shared" ca="1" si="11"/>
        <v>0.42847634071945562</v>
      </c>
      <c r="H135">
        <f ca="1">INDEX(Aerodynamique!$T$6:$T$546,MATCH(G135,Aerodynamique!$Y$6:$Y$546,1))</f>
        <v>1.3500000000000083</v>
      </c>
      <c r="I135">
        <f ca="1">INDEX(Aerodynamique!$Z$6:$Z$546,MATCH(G135,Aerodynamique!$Y$6:$Y$546,1))</f>
        <v>1.4066471143674901E-2</v>
      </c>
      <c r="J135">
        <f t="shared" ca="1" si="12"/>
        <v>4140.9417329389225</v>
      </c>
      <c r="K135" s="86">
        <f ca="1">INDEX(Aerodynamique!$AC$6:$AC$1006,MATCH(INDEX(Aerodynamique!$W$6:$W$546,MATCH(G135,Aerodynamique!$Y$6:$Y$546,1)),Aerodynamique!$AD$6:$AD$1006,-1))</f>
        <v>-4.4199999999999973</v>
      </c>
      <c r="L135">
        <f ca="1">Montée!$B$19*((E135-E134)/60)*J135/10</f>
        <v>13.240025283207235</v>
      </c>
      <c r="M135">
        <f t="shared" ca="1" si="9"/>
        <v>1782.3355131912194</v>
      </c>
    </row>
    <row r="136" spans="5:13">
      <c r="E136" s="210">
        <f t="shared" si="10"/>
        <v>131</v>
      </c>
      <c r="F136">
        <f t="shared" ca="1" si="13"/>
        <v>12910.851747706056</v>
      </c>
      <c r="G136">
        <f t="shared" ca="1" si="11"/>
        <v>0.42803739013909547</v>
      </c>
      <c r="H136">
        <f ca="1">INDEX(Aerodynamique!$T$6:$T$546,MATCH(G136,Aerodynamique!$Y$6:$Y$546,1))</f>
        <v>1.3500000000000083</v>
      </c>
      <c r="I136">
        <f ca="1">INDEX(Aerodynamique!$Z$6:$Z$546,MATCH(G136,Aerodynamique!$Y$6:$Y$546,1))</f>
        <v>1.4066471143674901E-2</v>
      </c>
      <c r="J136">
        <f t="shared" ca="1" si="12"/>
        <v>4140.9417329389225</v>
      </c>
      <c r="K136" s="86">
        <f ca="1">INDEX(Aerodynamique!$AC$6:$AC$1006,MATCH(INDEX(Aerodynamique!$W$6:$W$546,MATCH(G136,Aerodynamique!$Y$6:$Y$546,1)),Aerodynamique!$AD$6:$AD$1006,-1))</f>
        <v>-4.4199999999999973</v>
      </c>
      <c r="L136">
        <f ca="1">Montée!$B$19*((E136-E135)/60)*J136/10</f>
        <v>13.240025283207235</v>
      </c>
      <c r="M136">
        <f t="shared" ref="M136:M199" ca="1" si="14">M135+L136</f>
        <v>1795.5755384744266</v>
      </c>
    </row>
    <row r="137" spans="5:13">
      <c r="E137" s="210">
        <f t="shared" si="10"/>
        <v>132</v>
      </c>
      <c r="F137">
        <f t="shared" ca="1" si="13"/>
        <v>12897.611722422849</v>
      </c>
      <c r="G137">
        <f t="shared" ca="1" si="11"/>
        <v>0.42759843955873533</v>
      </c>
      <c r="H137">
        <f ca="1">INDEX(Aerodynamique!$T$6:$T$546,MATCH(G137,Aerodynamique!$Y$6:$Y$546,1))</f>
        <v>1.3500000000000083</v>
      </c>
      <c r="I137">
        <f ca="1">INDEX(Aerodynamique!$Z$6:$Z$546,MATCH(G137,Aerodynamique!$Y$6:$Y$546,1))</f>
        <v>1.4066471143674901E-2</v>
      </c>
      <c r="J137">
        <f t="shared" ca="1" si="12"/>
        <v>4140.9417329389225</v>
      </c>
      <c r="K137" s="86">
        <f ca="1">INDEX(Aerodynamique!$AC$6:$AC$1006,MATCH(INDEX(Aerodynamique!$W$6:$W$546,MATCH(G137,Aerodynamique!$Y$6:$Y$546,1)),Aerodynamique!$AD$6:$AD$1006,-1))</f>
        <v>-4.4199999999999973</v>
      </c>
      <c r="L137">
        <f ca="1">Montée!$B$19*((E137-E136)/60)*J137/10</f>
        <v>13.240025283207235</v>
      </c>
      <c r="M137">
        <f t="shared" ca="1" si="14"/>
        <v>1808.8155637576338</v>
      </c>
    </row>
    <row r="138" spans="5:13">
      <c r="E138" s="210">
        <f t="shared" si="10"/>
        <v>133</v>
      </c>
      <c r="F138">
        <f t="shared" ca="1" si="13"/>
        <v>12884.371697139642</v>
      </c>
      <c r="G138">
        <f t="shared" ca="1" si="11"/>
        <v>0.42715948897837519</v>
      </c>
      <c r="H138">
        <f ca="1">INDEX(Aerodynamique!$T$6:$T$546,MATCH(G138,Aerodynamique!$Y$6:$Y$546,1))</f>
        <v>1.3500000000000083</v>
      </c>
      <c r="I138">
        <f ca="1">INDEX(Aerodynamique!$Z$6:$Z$546,MATCH(G138,Aerodynamique!$Y$6:$Y$546,1))</f>
        <v>1.4066471143674901E-2</v>
      </c>
      <c r="J138">
        <f t="shared" ca="1" si="12"/>
        <v>4140.9417329389225</v>
      </c>
      <c r="K138" s="86">
        <f ca="1">INDEX(Aerodynamique!$AC$6:$AC$1006,MATCH(INDEX(Aerodynamique!$W$6:$W$546,MATCH(G138,Aerodynamique!$Y$6:$Y$546,1)),Aerodynamique!$AD$6:$AD$1006,-1))</f>
        <v>-4.4199999999999973</v>
      </c>
      <c r="L138">
        <f ca="1">Montée!$B$19*((E138-E137)/60)*J138/10</f>
        <v>13.240025283207235</v>
      </c>
      <c r="M138">
        <f t="shared" ca="1" si="14"/>
        <v>1822.0555890408409</v>
      </c>
    </row>
    <row r="139" spans="5:13">
      <c r="E139" s="210">
        <f t="shared" si="10"/>
        <v>134</v>
      </c>
      <c r="F139">
        <f t="shared" ca="1" si="13"/>
        <v>12871.131671856436</v>
      </c>
      <c r="G139">
        <f t="shared" ca="1" si="11"/>
        <v>0.42672053839801505</v>
      </c>
      <c r="H139">
        <f ca="1">INDEX(Aerodynamique!$T$6:$T$546,MATCH(G139,Aerodynamique!$Y$6:$Y$546,1))</f>
        <v>1.3500000000000083</v>
      </c>
      <c r="I139">
        <f ca="1">INDEX(Aerodynamique!$Z$6:$Z$546,MATCH(G139,Aerodynamique!$Y$6:$Y$546,1))</f>
        <v>1.4066471143674901E-2</v>
      </c>
      <c r="J139">
        <f t="shared" ca="1" si="12"/>
        <v>4140.9417329389225</v>
      </c>
      <c r="K139" s="86">
        <f ca="1">INDEX(Aerodynamique!$AC$6:$AC$1006,MATCH(INDEX(Aerodynamique!$W$6:$W$546,MATCH(G139,Aerodynamique!$Y$6:$Y$546,1)),Aerodynamique!$AD$6:$AD$1006,-1))</f>
        <v>-4.4199999999999973</v>
      </c>
      <c r="L139">
        <f ca="1">Montée!$B$19*((E139-E138)/60)*J139/10</f>
        <v>13.240025283207235</v>
      </c>
      <c r="M139">
        <f t="shared" ca="1" si="14"/>
        <v>1835.2956143240481</v>
      </c>
    </row>
    <row r="140" spans="5:13">
      <c r="E140" s="210">
        <f t="shared" si="10"/>
        <v>135</v>
      </c>
      <c r="F140">
        <f t="shared" ca="1" si="13"/>
        <v>12857.891646573229</v>
      </c>
      <c r="G140">
        <f t="shared" ca="1" si="11"/>
        <v>0.42628158781765491</v>
      </c>
      <c r="H140">
        <f ca="1">INDEX(Aerodynamique!$T$6:$T$546,MATCH(G140,Aerodynamique!$Y$6:$Y$546,1))</f>
        <v>1.3500000000000083</v>
      </c>
      <c r="I140">
        <f ca="1">INDEX(Aerodynamique!$Z$6:$Z$546,MATCH(G140,Aerodynamique!$Y$6:$Y$546,1))</f>
        <v>1.4066471143674901E-2</v>
      </c>
      <c r="J140">
        <f t="shared" ca="1" si="12"/>
        <v>4140.9417329389225</v>
      </c>
      <c r="K140" s="86">
        <f ca="1">INDEX(Aerodynamique!$AC$6:$AC$1006,MATCH(INDEX(Aerodynamique!$W$6:$W$546,MATCH(G140,Aerodynamique!$Y$6:$Y$546,1)),Aerodynamique!$AD$6:$AD$1006,-1))</f>
        <v>-4.4199999999999973</v>
      </c>
      <c r="L140">
        <f ca="1">Montée!$B$19*((E140-E139)/60)*J140/10</f>
        <v>13.240025283207235</v>
      </c>
      <c r="M140">
        <f t="shared" ca="1" si="14"/>
        <v>1848.5356396072552</v>
      </c>
    </row>
    <row r="141" spans="5:13">
      <c r="E141" s="210">
        <f t="shared" si="10"/>
        <v>136</v>
      </c>
      <c r="F141">
        <f t="shared" ca="1" si="13"/>
        <v>12844.651621290022</v>
      </c>
      <c r="G141">
        <f t="shared" ca="1" si="11"/>
        <v>0.42584263723729471</v>
      </c>
      <c r="H141">
        <f ca="1">INDEX(Aerodynamique!$T$6:$T$546,MATCH(G141,Aerodynamique!$Y$6:$Y$546,1))</f>
        <v>1.3500000000000083</v>
      </c>
      <c r="I141">
        <f ca="1">INDEX(Aerodynamique!$Z$6:$Z$546,MATCH(G141,Aerodynamique!$Y$6:$Y$546,1))</f>
        <v>1.4066471143674901E-2</v>
      </c>
      <c r="J141">
        <f t="shared" ca="1" si="12"/>
        <v>4140.9417329389225</v>
      </c>
      <c r="K141" s="86">
        <f ca="1">INDEX(Aerodynamique!$AC$6:$AC$1006,MATCH(INDEX(Aerodynamique!$W$6:$W$546,MATCH(G141,Aerodynamique!$Y$6:$Y$546,1)),Aerodynamique!$AD$6:$AD$1006,-1))</f>
        <v>-4.4199999999999973</v>
      </c>
      <c r="L141">
        <f ca="1">Montée!$B$19*((E141-E140)/60)*J141/10</f>
        <v>13.240025283207235</v>
      </c>
      <c r="M141">
        <f t="shared" ca="1" si="14"/>
        <v>1861.7756648904624</v>
      </c>
    </row>
    <row r="142" spans="5:13">
      <c r="E142" s="210">
        <f t="shared" si="10"/>
        <v>137</v>
      </c>
      <c r="F142">
        <f t="shared" ca="1" si="13"/>
        <v>12831.411596006816</v>
      </c>
      <c r="G142">
        <f t="shared" ca="1" si="11"/>
        <v>0.42540368665693457</v>
      </c>
      <c r="H142">
        <f ca="1">INDEX(Aerodynamique!$T$6:$T$546,MATCH(G142,Aerodynamique!$Y$6:$Y$546,1))</f>
        <v>1.3500000000000083</v>
      </c>
      <c r="I142">
        <f ca="1">INDEX(Aerodynamique!$Z$6:$Z$546,MATCH(G142,Aerodynamique!$Y$6:$Y$546,1))</f>
        <v>1.4066471143674901E-2</v>
      </c>
      <c r="J142">
        <f t="shared" ca="1" si="12"/>
        <v>4140.9417329389225</v>
      </c>
      <c r="K142" s="86">
        <f ca="1">INDEX(Aerodynamique!$AC$6:$AC$1006,MATCH(INDEX(Aerodynamique!$W$6:$W$546,MATCH(G142,Aerodynamique!$Y$6:$Y$546,1)),Aerodynamique!$AD$6:$AD$1006,-1))</f>
        <v>-4.4199999999999973</v>
      </c>
      <c r="L142">
        <f ca="1">Montée!$B$19*((E142-E141)/60)*J142/10</f>
        <v>13.240025283207235</v>
      </c>
      <c r="M142">
        <f t="shared" ca="1" si="14"/>
        <v>1875.0156901736696</v>
      </c>
    </row>
    <row r="143" spans="5:13">
      <c r="E143" s="210">
        <f t="shared" si="10"/>
        <v>138</v>
      </c>
      <c r="F143">
        <f t="shared" ca="1" si="13"/>
        <v>12818.171570723609</v>
      </c>
      <c r="G143">
        <f t="shared" ca="1" si="11"/>
        <v>0.42496473607657442</v>
      </c>
      <c r="H143">
        <f ca="1">INDEX(Aerodynamique!$T$6:$T$546,MATCH(G143,Aerodynamique!$Y$6:$Y$546,1))</f>
        <v>1.3500000000000083</v>
      </c>
      <c r="I143">
        <f ca="1">INDEX(Aerodynamique!$Z$6:$Z$546,MATCH(G143,Aerodynamique!$Y$6:$Y$546,1))</f>
        <v>1.4066471143674901E-2</v>
      </c>
      <c r="J143">
        <f t="shared" ca="1" si="12"/>
        <v>4140.9417329389225</v>
      </c>
      <c r="K143" s="86">
        <f ca="1">INDEX(Aerodynamique!$AC$6:$AC$1006,MATCH(INDEX(Aerodynamique!$W$6:$W$546,MATCH(G143,Aerodynamique!$Y$6:$Y$546,1)),Aerodynamique!$AD$6:$AD$1006,-1))</f>
        <v>-4.4199999999999973</v>
      </c>
      <c r="L143">
        <f ca="1">Montée!$B$19*((E143-E142)/60)*J143/10</f>
        <v>13.240025283207235</v>
      </c>
      <c r="M143">
        <f t="shared" ca="1" si="14"/>
        <v>1888.2557154568767</v>
      </c>
    </row>
    <row r="144" spans="5:13">
      <c r="E144" s="210">
        <f t="shared" si="10"/>
        <v>139</v>
      </c>
      <c r="F144">
        <f t="shared" ca="1" si="13"/>
        <v>12804.931545440402</v>
      </c>
      <c r="G144">
        <f t="shared" ca="1" si="11"/>
        <v>0.42452578549621428</v>
      </c>
      <c r="H144">
        <f ca="1">INDEX(Aerodynamique!$T$6:$T$546,MATCH(G144,Aerodynamique!$Y$6:$Y$546,1))</f>
        <v>1.3000000000000083</v>
      </c>
      <c r="I144">
        <f ca="1">INDEX(Aerodynamique!$Z$6:$Z$546,MATCH(G144,Aerodynamique!$Y$6:$Y$546,1))</f>
        <v>1.3989208592373452E-2</v>
      </c>
      <c r="J144">
        <f t="shared" ca="1" si="12"/>
        <v>4118.1968867149026</v>
      </c>
      <c r="K144" s="86">
        <f ca="1">INDEX(Aerodynamique!$AC$6:$AC$1006,MATCH(INDEX(Aerodynamique!$W$6:$W$546,MATCH(G144,Aerodynamique!$Y$6:$Y$546,1)),Aerodynamique!$AD$6:$AD$1006,-1))</f>
        <v>-4.3799999999999981</v>
      </c>
      <c r="L144">
        <f ca="1">Montée!$B$19*((E144-E143)/60)*J144/10</f>
        <v>13.167302130241023</v>
      </c>
      <c r="M144">
        <f t="shared" ca="1" si="14"/>
        <v>1901.4230175871178</v>
      </c>
    </row>
    <row r="145" spans="5:13">
      <c r="E145" s="210">
        <f t="shared" si="10"/>
        <v>140</v>
      </c>
      <c r="F145">
        <f t="shared" ca="1" si="13"/>
        <v>12791.764243310161</v>
      </c>
      <c r="G145">
        <f t="shared" ca="1" si="11"/>
        <v>0.42408924592863673</v>
      </c>
      <c r="H145">
        <f ca="1">INDEX(Aerodynamique!$T$6:$T$546,MATCH(G145,Aerodynamique!$Y$6:$Y$546,1))</f>
        <v>1.3000000000000083</v>
      </c>
      <c r="I145">
        <f ca="1">INDEX(Aerodynamique!$Z$6:$Z$546,MATCH(G145,Aerodynamique!$Y$6:$Y$546,1))</f>
        <v>1.3989208592373452E-2</v>
      </c>
      <c r="J145">
        <f t="shared" ca="1" si="12"/>
        <v>4118.1968867149026</v>
      </c>
      <c r="K145" s="86">
        <f ca="1">INDEX(Aerodynamique!$AC$6:$AC$1006,MATCH(INDEX(Aerodynamique!$W$6:$W$546,MATCH(G145,Aerodynamique!$Y$6:$Y$546,1)),Aerodynamique!$AD$6:$AD$1006,-1))</f>
        <v>-4.3799999999999981</v>
      </c>
      <c r="L145">
        <f ca="1">Montée!$B$19*((E145-E144)/60)*J145/10</f>
        <v>13.167302130241023</v>
      </c>
      <c r="M145">
        <f t="shared" ca="1" si="14"/>
        <v>1914.5903197173589</v>
      </c>
    </row>
    <row r="146" spans="5:13">
      <c r="E146" s="210">
        <f t="shared" si="10"/>
        <v>141</v>
      </c>
      <c r="F146">
        <f t="shared" ca="1" si="13"/>
        <v>12778.59694117992</v>
      </c>
      <c r="G146">
        <f t="shared" ca="1" si="11"/>
        <v>0.42365270636105917</v>
      </c>
      <c r="H146">
        <f ca="1">INDEX(Aerodynamique!$T$6:$T$546,MATCH(G146,Aerodynamique!$Y$6:$Y$546,1))</f>
        <v>1.3000000000000083</v>
      </c>
      <c r="I146">
        <f ca="1">INDEX(Aerodynamique!$Z$6:$Z$546,MATCH(G146,Aerodynamique!$Y$6:$Y$546,1))</f>
        <v>1.3989208592373452E-2</v>
      </c>
      <c r="J146">
        <f t="shared" ca="1" si="12"/>
        <v>4118.1968867149026</v>
      </c>
      <c r="K146" s="86">
        <f ca="1">INDEX(Aerodynamique!$AC$6:$AC$1006,MATCH(INDEX(Aerodynamique!$W$6:$W$546,MATCH(G146,Aerodynamique!$Y$6:$Y$546,1)),Aerodynamique!$AD$6:$AD$1006,-1))</f>
        <v>-4.3799999999999981</v>
      </c>
      <c r="L146">
        <f ca="1">Montée!$B$19*((E146-E145)/60)*J146/10</f>
        <v>13.167302130241023</v>
      </c>
      <c r="M146">
        <f t="shared" ca="1" si="14"/>
        <v>1927.7576218475999</v>
      </c>
    </row>
    <row r="147" spans="5:13">
      <c r="E147" s="210">
        <f t="shared" si="10"/>
        <v>142</v>
      </c>
      <c r="F147">
        <f t="shared" ca="1" si="13"/>
        <v>12765.429639049678</v>
      </c>
      <c r="G147">
        <f t="shared" ca="1" si="11"/>
        <v>0.42321616679348162</v>
      </c>
      <c r="H147">
        <f ca="1">INDEX(Aerodynamique!$T$6:$T$546,MATCH(G147,Aerodynamique!$Y$6:$Y$546,1))</f>
        <v>1.3000000000000083</v>
      </c>
      <c r="I147">
        <f ca="1">INDEX(Aerodynamique!$Z$6:$Z$546,MATCH(G147,Aerodynamique!$Y$6:$Y$546,1))</f>
        <v>1.3989208592373452E-2</v>
      </c>
      <c r="J147">
        <f t="shared" ca="1" si="12"/>
        <v>4118.1968867149026</v>
      </c>
      <c r="K147" s="86">
        <f ca="1">INDEX(Aerodynamique!$AC$6:$AC$1006,MATCH(INDEX(Aerodynamique!$W$6:$W$546,MATCH(G147,Aerodynamique!$Y$6:$Y$546,1)),Aerodynamique!$AD$6:$AD$1006,-1))</f>
        <v>-4.3799999999999981</v>
      </c>
      <c r="L147">
        <f ca="1">Montée!$B$19*((E147-E146)/60)*J147/10</f>
        <v>13.167302130241023</v>
      </c>
      <c r="M147">
        <f t="shared" ca="1" si="14"/>
        <v>1940.924923977841</v>
      </c>
    </row>
    <row r="148" spans="5:13">
      <c r="E148" s="210">
        <f t="shared" si="10"/>
        <v>143</v>
      </c>
      <c r="F148">
        <f t="shared" ca="1" si="13"/>
        <v>12752.262336919437</v>
      </c>
      <c r="G148">
        <f t="shared" ca="1" si="11"/>
        <v>0.42277962722590406</v>
      </c>
      <c r="H148">
        <f ca="1">INDEX(Aerodynamique!$T$6:$T$546,MATCH(G148,Aerodynamique!$Y$6:$Y$546,1))</f>
        <v>1.3000000000000083</v>
      </c>
      <c r="I148">
        <f ca="1">INDEX(Aerodynamique!$Z$6:$Z$546,MATCH(G148,Aerodynamique!$Y$6:$Y$546,1))</f>
        <v>1.3989208592373452E-2</v>
      </c>
      <c r="J148">
        <f t="shared" ca="1" si="12"/>
        <v>4118.1968867149026</v>
      </c>
      <c r="K148" s="86">
        <f ca="1">INDEX(Aerodynamique!$AC$6:$AC$1006,MATCH(INDEX(Aerodynamique!$W$6:$W$546,MATCH(G148,Aerodynamique!$Y$6:$Y$546,1)),Aerodynamique!$AD$6:$AD$1006,-1))</f>
        <v>-4.3799999999999981</v>
      </c>
      <c r="L148">
        <f ca="1">Montée!$B$19*((E148-E147)/60)*J148/10</f>
        <v>13.167302130241023</v>
      </c>
      <c r="M148">
        <f t="shared" ca="1" si="14"/>
        <v>1954.0922261080821</v>
      </c>
    </row>
    <row r="149" spans="5:13">
      <c r="E149" s="210">
        <f t="shared" si="10"/>
        <v>144</v>
      </c>
      <c r="F149">
        <f t="shared" ca="1" si="13"/>
        <v>12739.095034789196</v>
      </c>
      <c r="G149">
        <f t="shared" ca="1" si="11"/>
        <v>0.42234308765832651</v>
      </c>
      <c r="H149">
        <f ca="1">INDEX(Aerodynamique!$T$6:$T$546,MATCH(G149,Aerodynamique!$Y$6:$Y$546,1))</f>
        <v>1.3000000000000083</v>
      </c>
      <c r="I149">
        <f ca="1">INDEX(Aerodynamique!$Z$6:$Z$546,MATCH(G149,Aerodynamique!$Y$6:$Y$546,1))</f>
        <v>1.3989208592373452E-2</v>
      </c>
      <c r="J149">
        <f t="shared" ca="1" si="12"/>
        <v>4118.1968867149026</v>
      </c>
      <c r="K149" s="86">
        <f ca="1">INDEX(Aerodynamique!$AC$6:$AC$1006,MATCH(INDEX(Aerodynamique!$W$6:$W$546,MATCH(G149,Aerodynamique!$Y$6:$Y$546,1)),Aerodynamique!$AD$6:$AD$1006,-1))</f>
        <v>-4.3799999999999981</v>
      </c>
      <c r="L149">
        <f ca="1">Montée!$B$19*((E149-E148)/60)*J149/10</f>
        <v>13.167302130241023</v>
      </c>
      <c r="M149">
        <f t="shared" ca="1" si="14"/>
        <v>1967.2595282383231</v>
      </c>
    </row>
    <row r="150" spans="5:13">
      <c r="E150" s="210">
        <f t="shared" si="10"/>
        <v>145</v>
      </c>
      <c r="F150">
        <f t="shared" ca="1" si="13"/>
        <v>12725.927732658954</v>
      </c>
      <c r="G150">
        <f t="shared" ca="1" si="11"/>
        <v>0.42190654809074896</v>
      </c>
      <c r="H150">
        <f ca="1">INDEX(Aerodynamique!$T$6:$T$546,MATCH(G150,Aerodynamique!$Y$6:$Y$546,1))</f>
        <v>1.3000000000000083</v>
      </c>
      <c r="I150">
        <f ca="1">INDEX(Aerodynamique!$Z$6:$Z$546,MATCH(G150,Aerodynamique!$Y$6:$Y$546,1))</f>
        <v>1.3989208592373452E-2</v>
      </c>
      <c r="J150">
        <f t="shared" ca="1" si="12"/>
        <v>4118.1968867149026</v>
      </c>
      <c r="K150" s="86">
        <f ca="1">INDEX(Aerodynamique!$AC$6:$AC$1006,MATCH(INDEX(Aerodynamique!$W$6:$W$546,MATCH(G150,Aerodynamique!$Y$6:$Y$546,1)),Aerodynamique!$AD$6:$AD$1006,-1))</f>
        <v>-4.3799999999999981</v>
      </c>
      <c r="L150">
        <f ca="1">Montée!$B$19*((E150-E149)/60)*J150/10</f>
        <v>13.167302130241023</v>
      </c>
      <c r="M150">
        <f t="shared" ca="1" si="14"/>
        <v>1980.4268303685642</v>
      </c>
    </row>
    <row r="151" spans="5:13">
      <c r="E151" s="210">
        <f t="shared" si="10"/>
        <v>146</v>
      </c>
      <c r="F151">
        <f t="shared" ca="1" si="13"/>
        <v>12712.760430528713</v>
      </c>
      <c r="G151">
        <f t="shared" ca="1" si="11"/>
        <v>0.4214700085231714</v>
      </c>
      <c r="H151">
        <f ca="1">INDEX(Aerodynamique!$T$6:$T$546,MATCH(G151,Aerodynamique!$Y$6:$Y$546,1))</f>
        <v>1.3000000000000083</v>
      </c>
      <c r="I151">
        <f ca="1">INDEX(Aerodynamique!$Z$6:$Z$546,MATCH(G151,Aerodynamique!$Y$6:$Y$546,1))</f>
        <v>1.3989208592373452E-2</v>
      </c>
      <c r="J151">
        <f t="shared" ca="1" si="12"/>
        <v>4118.1968867149026</v>
      </c>
      <c r="K151" s="86">
        <f ca="1">INDEX(Aerodynamique!$AC$6:$AC$1006,MATCH(INDEX(Aerodynamique!$W$6:$W$546,MATCH(G151,Aerodynamique!$Y$6:$Y$546,1)),Aerodynamique!$AD$6:$AD$1006,-1))</f>
        <v>-4.3799999999999981</v>
      </c>
      <c r="L151">
        <f ca="1">Montée!$B$19*((E151-E150)/60)*J151/10</f>
        <v>13.167302130241023</v>
      </c>
      <c r="M151">
        <f t="shared" ca="1" si="14"/>
        <v>1993.5941324988053</v>
      </c>
    </row>
    <row r="152" spans="5:13">
      <c r="E152" s="210">
        <f t="shared" si="10"/>
        <v>147</v>
      </c>
      <c r="F152">
        <f t="shared" ca="1" si="13"/>
        <v>12699.593128398472</v>
      </c>
      <c r="G152">
        <f t="shared" ca="1" si="11"/>
        <v>0.4210334689555939</v>
      </c>
      <c r="H152">
        <f ca="1">INDEX(Aerodynamique!$T$6:$T$546,MATCH(G152,Aerodynamique!$Y$6:$Y$546,1))</f>
        <v>1.3000000000000083</v>
      </c>
      <c r="I152">
        <f ca="1">INDEX(Aerodynamique!$Z$6:$Z$546,MATCH(G152,Aerodynamique!$Y$6:$Y$546,1))</f>
        <v>1.3989208592373452E-2</v>
      </c>
      <c r="J152">
        <f t="shared" ca="1" si="12"/>
        <v>4118.1968867149026</v>
      </c>
      <c r="K152" s="86">
        <f ca="1">INDEX(Aerodynamique!$AC$6:$AC$1006,MATCH(INDEX(Aerodynamique!$W$6:$W$546,MATCH(G152,Aerodynamique!$Y$6:$Y$546,1)),Aerodynamique!$AD$6:$AD$1006,-1))</f>
        <v>-4.3799999999999981</v>
      </c>
      <c r="L152">
        <f ca="1">Montée!$B$19*((E152-E151)/60)*J152/10</f>
        <v>13.167302130241023</v>
      </c>
      <c r="M152">
        <f t="shared" ca="1" si="14"/>
        <v>2006.7614346290463</v>
      </c>
    </row>
    <row r="153" spans="5:13">
      <c r="E153" s="210">
        <f t="shared" si="10"/>
        <v>148</v>
      </c>
      <c r="F153">
        <f t="shared" ca="1" si="13"/>
        <v>12686.425826268231</v>
      </c>
      <c r="G153">
        <f t="shared" ca="1" si="11"/>
        <v>0.42059692938801629</v>
      </c>
      <c r="H153">
        <f ca="1">INDEX(Aerodynamique!$T$6:$T$546,MATCH(G153,Aerodynamique!$Y$6:$Y$546,1))</f>
        <v>1.3000000000000083</v>
      </c>
      <c r="I153">
        <f ca="1">INDEX(Aerodynamique!$Z$6:$Z$546,MATCH(G153,Aerodynamique!$Y$6:$Y$546,1))</f>
        <v>1.3989208592373452E-2</v>
      </c>
      <c r="J153">
        <f t="shared" ca="1" si="12"/>
        <v>4118.1968867149026</v>
      </c>
      <c r="K153" s="86">
        <f ca="1">INDEX(Aerodynamique!$AC$6:$AC$1006,MATCH(INDEX(Aerodynamique!$W$6:$W$546,MATCH(G153,Aerodynamique!$Y$6:$Y$546,1)),Aerodynamique!$AD$6:$AD$1006,-1))</f>
        <v>-4.3799999999999981</v>
      </c>
      <c r="L153">
        <f ca="1">Montée!$B$19*((E153-E152)/60)*J153/10</f>
        <v>13.167302130241023</v>
      </c>
      <c r="M153">
        <f t="shared" ca="1" si="14"/>
        <v>2019.9287367592874</v>
      </c>
    </row>
    <row r="154" spans="5:13">
      <c r="E154" s="210">
        <f t="shared" si="10"/>
        <v>149</v>
      </c>
      <c r="F154">
        <f t="shared" ca="1" si="13"/>
        <v>12673.258524137989</v>
      </c>
      <c r="G154">
        <f t="shared" ca="1" si="11"/>
        <v>0.4201603898204388</v>
      </c>
      <c r="H154">
        <f ca="1">INDEX(Aerodynamique!$T$6:$T$546,MATCH(G154,Aerodynamique!$Y$6:$Y$546,1))</f>
        <v>1.3000000000000083</v>
      </c>
      <c r="I154">
        <f ca="1">INDEX(Aerodynamique!$Z$6:$Z$546,MATCH(G154,Aerodynamique!$Y$6:$Y$546,1))</f>
        <v>1.3989208592373452E-2</v>
      </c>
      <c r="J154">
        <f t="shared" ca="1" si="12"/>
        <v>4118.1968867149026</v>
      </c>
      <c r="K154" s="86">
        <f ca="1">INDEX(Aerodynamique!$AC$6:$AC$1006,MATCH(INDEX(Aerodynamique!$W$6:$W$546,MATCH(G154,Aerodynamique!$Y$6:$Y$546,1)),Aerodynamique!$AD$6:$AD$1006,-1))</f>
        <v>-4.3799999999999981</v>
      </c>
      <c r="L154">
        <f ca="1">Montée!$B$19*((E154-E153)/60)*J154/10</f>
        <v>13.167302130241023</v>
      </c>
      <c r="M154">
        <f t="shared" ca="1" si="14"/>
        <v>2033.0960388895285</v>
      </c>
    </row>
    <row r="155" spans="5:13">
      <c r="E155" s="210">
        <f t="shared" si="10"/>
        <v>150</v>
      </c>
      <c r="F155">
        <f t="shared" ca="1" si="13"/>
        <v>12660.091222007748</v>
      </c>
      <c r="G155">
        <f t="shared" ca="1" si="11"/>
        <v>0.41972385025286124</v>
      </c>
      <c r="H155">
        <f ca="1">INDEX(Aerodynamique!$T$6:$T$546,MATCH(G155,Aerodynamique!$Y$6:$Y$546,1))</f>
        <v>1.2500000000000082</v>
      </c>
      <c r="I155">
        <f ca="1">INDEX(Aerodynamique!$Z$6:$Z$546,MATCH(G155,Aerodynamique!$Y$6:$Y$546,1))</f>
        <v>1.3913013851084165E-2</v>
      </c>
      <c r="J155">
        <f t="shared" ca="1" si="12"/>
        <v>4095.7663864982819</v>
      </c>
      <c r="K155" s="86">
        <f ca="1">INDEX(Aerodynamique!$AC$6:$AC$1006,MATCH(INDEX(Aerodynamique!$W$6:$W$546,MATCH(G155,Aerodynamique!$Y$6:$Y$546,1)),Aerodynamique!$AD$6:$AD$1006,-1))</f>
        <v>-4.339999999999999</v>
      </c>
      <c r="L155">
        <f ca="1">Montée!$B$19*((E155-E154)/60)*J155/10</f>
        <v>13.09558405036061</v>
      </c>
      <c r="M155">
        <f t="shared" ca="1" si="14"/>
        <v>2046.1916229398892</v>
      </c>
    </row>
    <row r="156" spans="5:13">
      <c r="E156" s="210">
        <f t="shared" si="10"/>
        <v>151</v>
      </c>
      <c r="F156">
        <f t="shared" ca="1" si="13"/>
        <v>12646.995637957387</v>
      </c>
      <c r="G156">
        <f t="shared" ca="1" si="11"/>
        <v>0.41928968837657299</v>
      </c>
      <c r="H156">
        <f ca="1">INDEX(Aerodynamique!$T$6:$T$546,MATCH(G156,Aerodynamique!$Y$6:$Y$546,1))</f>
        <v>1.2500000000000082</v>
      </c>
      <c r="I156">
        <f ca="1">INDEX(Aerodynamique!$Z$6:$Z$546,MATCH(G156,Aerodynamique!$Y$6:$Y$546,1))</f>
        <v>1.3913013851084165E-2</v>
      </c>
      <c r="J156">
        <f t="shared" ca="1" si="12"/>
        <v>4095.7663864982819</v>
      </c>
      <c r="K156" s="86">
        <f ca="1">INDEX(Aerodynamique!$AC$6:$AC$1006,MATCH(INDEX(Aerodynamique!$W$6:$W$546,MATCH(G156,Aerodynamique!$Y$6:$Y$546,1)),Aerodynamique!$AD$6:$AD$1006,-1))</f>
        <v>-4.339999999999999</v>
      </c>
      <c r="L156">
        <f ca="1">Montée!$B$19*((E156-E155)/60)*J156/10</f>
        <v>13.09558405036061</v>
      </c>
      <c r="M156">
        <f t="shared" ca="1" si="14"/>
        <v>2059.2872069902496</v>
      </c>
    </row>
    <row r="157" spans="5:13">
      <c r="E157" s="210">
        <f t="shared" si="10"/>
        <v>152</v>
      </c>
      <c r="F157">
        <f t="shared" ca="1" si="13"/>
        <v>12633.900053907026</v>
      </c>
      <c r="G157">
        <f t="shared" ca="1" si="11"/>
        <v>0.41885552650028468</v>
      </c>
      <c r="H157">
        <f ca="1">INDEX(Aerodynamique!$T$6:$T$546,MATCH(G157,Aerodynamique!$Y$6:$Y$546,1))</f>
        <v>1.2500000000000082</v>
      </c>
      <c r="I157">
        <f ca="1">INDEX(Aerodynamique!$Z$6:$Z$546,MATCH(G157,Aerodynamique!$Y$6:$Y$546,1))</f>
        <v>1.3913013851084165E-2</v>
      </c>
      <c r="J157">
        <f t="shared" ca="1" si="12"/>
        <v>4095.7663864982819</v>
      </c>
      <c r="K157" s="86">
        <f ca="1">INDEX(Aerodynamique!$AC$6:$AC$1006,MATCH(INDEX(Aerodynamique!$W$6:$W$546,MATCH(G157,Aerodynamique!$Y$6:$Y$546,1)),Aerodynamique!$AD$6:$AD$1006,-1))</f>
        <v>-4.339999999999999</v>
      </c>
      <c r="L157">
        <f ca="1">Montée!$B$19*((E157-E156)/60)*J157/10</f>
        <v>13.09558405036061</v>
      </c>
      <c r="M157">
        <f t="shared" ca="1" si="14"/>
        <v>2072.3827910406103</v>
      </c>
    </row>
    <row r="158" spans="5:13">
      <c r="E158" s="210">
        <f t="shared" si="10"/>
        <v>153</v>
      </c>
      <c r="F158">
        <f t="shared" ca="1" si="13"/>
        <v>12620.804469856665</v>
      </c>
      <c r="G158">
        <f t="shared" ca="1" si="11"/>
        <v>0.41842136462399643</v>
      </c>
      <c r="H158">
        <f ca="1">INDEX(Aerodynamique!$T$6:$T$546,MATCH(G158,Aerodynamique!$Y$6:$Y$546,1))</f>
        <v>1.2500000000000082</v>
      </c>
      <c r="I158">
        <f ca="1">INDEX(Aerodynamique!$Z$6:$Z$546,MATCH(G158,Aerodynamique!$Y$6:$Y$546,1))</f>
        <v>1.3913013851084165E-2</v>
      </c>
      <c r="J158">
        <f t="shared" ca="1" si="12"/>
        <v>4095.7663864982819</v>
      </c>
      <c r="K158" s="86">
        <f ca="1">INDEX(Aerodynamique!$AC$6:$AC$1006,MATCH(INDEX(Aerodynamique!$W$6:$W$546,MATCH(G158,Aerodynamique!$Y$6:$Y$546,1)),Aerodynamique!$AD$6:$AD$1006,-1))</f>
        <v>-4.339999999999999</v>
      </c>
      <c r="L158">
        <f ca="1">Montée!$B$19*((E158-E157)/60)*J158/10</f>
        <v>13.09558405036061</v>
      </c>
      <c r="M158">
        <f t="shared" ca="1" si="14"/>
        <v>2085.478375090971</v>
      </c>
    </row>
    <row r="159" spans="5:13">
      <c r="E159" s="210">
        <f t="shared" si="10"/>
        <v>154</v>
      </c>
      <c r="F159">
        <f t="shared" ca="1" si="13"/>
        <v>12607.708885806303</v>
      </c>
      <c r="G159">
        <f t="shared" ca="1" si="11"/>
        <v>0.41798720274770818</v>
      </c>
      <c r="H159">
        <f ca="1">INDEX(Aerodynamique!$T$6:$T$546,MATCH(G159,Aerodynamique!$Y$6:$Y$546,1))</f>
        <v>1.2500000000000082</v>
      </c>
      <c r="I159">
        <f ca="1">INDEX(Aerodynamique!$Z$6:$Z$546,MATCH(G159,Aerodynamique!$Y$6:$Y$546,1))</f>
        <v>1.3913013851084165E-2</v>
      </c>
      <c r="J159">
        <f t="shared" ca="1" si="12"/>
        <v>4095.7663864982819</v>
      </c>
      <c r="K159" s="86">
        <f ca="1">INDEX(Aerodynamique!$AC$6:$AC$1006,MATCH(INDEX(Aerodynamique!$W$6:$W$546,MATCH(G159,Aerodynamique!$Y$6:$Y$546,1)),Aerodynamique!$AD$6:$AD$1006,-1))</f>
        <v>-4.339999999999999</v>
      </c>
      <c r="L159">
        <f ca="1">Montée!$B$19*((E159-E158)/60)*J159/10</f>
        <v>13.09558405036061</v>
      </c>
      <c r="M159">
        <f t="shared" ca="1" si="14"/>
        <v>2098.5739591413317</v>
      </c>
    </row>
    <row r="160" spans="5:13">
      <c r="E160" s="210">
        <f t="shared" si="10"/>
        <v>155</v>
      </c>
      <c r="F160">
        <f t="shared" ca="1" si="13"/>
        <v>12594.613301755942</v>
      </c>
      <c r="G160">
        <f t="shared" ca="1" si="11"/>
        <v>0.41755304087141987</v>
      </c>
      <c r="H160">
        <f ca="1">INDEX(Aerodynamique!$T$6:$T$546,MATCH(G160,Aerodynamique!$Y$6:$Y$546,1))</f>
        <v>1.2500000000000082</v>
      </c>
      <c r="I160">
        <f ca="1">INDEX(Aerodynamique!$Z$6:$Z$546,MATCH(G160,Aerodynamique!$Y$6:$Y$546,1))</f>
        <v>1.3913013851084165E-2</v>
      </c>
      <c r="J160">
        <f t="shared" ca="1" si="12"/>
        <v>4095.7663864982819</v>
      </c>
      <c r="K160" s="86">
        <f ca="1">INDEX(Aerodynamique!$AC$6:$AC$1006,MATCH(INDEX(Aerodynamique!$W$6:$W$546,MATCH(G160,Aerodynamique!$Y$6:$Y$546,1)),Aerodynamique!$AD$6:$AD$1006,-1))</f>
        <v>-4.339999999999999</v>
      </c>
      <c r="L160">
        <f ca="1">Montée!$B$19*((E160-E159)/60)*J160/10</f>
        <v>13.09558405036061</v>
      </c>
      <c r="M160">
        <f t="shared" ca="1" si="14"/>
        <v>2111.6695431916924</v>
      </c>
    </row>
    <row r="161" spans="5:13">
      <c r="E161" s="210">
        <f t="shared" si="10"/>
        <v>156</v>
      </c>
      <c r="F161">
        <f t="shared" ca="1" si="13"/>
        <v>12581.517717705581</v>
      </c>
      <c r="G161">
        <f t="shared" ca="1" si="11"/>
        <v>0.41711887899513161</v>
      </c>
      <c r="H161">
        <f ca="1">INDEX(Aerodynamique!$T$6:$T$546,MATCH(G161,Aerodynamique!$Y$6:$Y$546,1))</f>
        <v>1.2500000000000082</v>
      </c>
      <c r="I161">
        <f ca="1">INDEX(Aerodynamique!$Z$6:$Z$546,MATCH(G161,Aerodynamique!$Y$6:$Y$546,1))</f>
        <v>1.3913013851084165E-2</v>
      </c>
      <c r="J161">
        <f t="shared" ca="1" si="12"/>
        <v>4095.7663864982819</v>
      </c>
      <c r="K161" s="86">
        <f ca="1">INDEX(Aerodynamique!$AC$6:$AC$1006,MATCH(INDEX(Aerodynamique!$W$6:$W$546,MATCH(G161,Aerodynamique!$Y$6:$Y$546,1)),Aerodynamique!$AD$6:$AD$1006,-1))</f>
        <v>-4.339999999999999</v>
      </c>
      <c r="L161">
        <f ca="1">Montée!$B$19*((E161-E160)/60)*J161/10</f>
        <v>13.09558405036061</v>
      </c>
      <c r="M161">
        <f t="shared" ca="1" si="14"/>
        <v>2124.765127242053</v>
      </c>
    </row>
    <row r="162" spans="5:13">
      <c r="E162" s="210">
        <f t="shared" si="10"/>
        <v>157</v>
      </c>
      <c r="F162">
        <f t="shared" ca="1" si="13"/>
        <v>12568.42213365522</v>
      </c>
      <c r="G162">
        <f t="shared" ca="1" si="11"/>
        <v>0.41668471711884331</v>
      </c>
      <c r="H162">
        <f ca="1">INDEX(Aerodynamique!$T$6:$T$546,MATCH(G162,Aerodynamique!$Y$6:$Y$546,1))</f>
        <v>1.2500000000000082</v>
      </c>
      <c r="I162">
        <f ca="1">INDEX(Aerodynamique!$Z$6:$Z$546,MATCH(G162,Aerodynamique!$Y$6:$Y$546,1))</f>
        <v>1.3913013851084165E-2</v>
      </c>
      <c r="J162">
        <f t="shared" ca="1" si="12"/>
        <v>4095.7663864982819</v>
      </c>
      <c r="K162" s="86">
        <f ca="1">INDEX(Aerodynamique!$AC$6:$AC$1006,MATCH(INDEX(Aerodynamique!$W$6:$W$546,MATCH(G162,Aerodynamique!$Y$6:$Y$546,1)),Aerodynamique!$AD$6:$AD$1006,-1))</f>
        <v>-4.339999999999999</v>
      </c>
      <c r="L162">
        <f ca="1">Montée!$B$19*((E162-E161)/60)*J162/10</f>
        <v>13.09558405036061</v>
      </c>
      <c r="M162">
        <f t="shared" ca="1" si="14"/>
        <v>2137.8607112924137</v>
      </c>
    </row>
    <row r="163" spans="5:13">
      <c r="E163" s="210">
        <f t="shared" si="10"/>
        <v>158</v>
      </c>
      <c r="F163">
        <f t="shared" ca="1" si="13"/>
        <v>12555.326549604859</v>
      </c>
      <c r="G163">
        <f t="shared" ca="1" si="11"/>
        <v>0.41625055524255511</v>
      </c>
      <c r="H163">
        <f ca="1">INDEX(Aerodynamique!$T$6:$T$546,MATCH(G163,Aerodynamique!$Y$6:$Y$546,1))</f>
        <v>1.2500000000000082</v>
      </c>
      <c r="I163">
        <f ca="1">INDEX(Aerodynamique!$Z$6:$Z$546,MATCH(G163,Aerodynamique!$Y$6:$Y$546,1))</f>
        <v>1.3913013851084165E-2</v>
      </c>
      <c r="J163">
        <f t="shared" ca="1" si="12"/>
        <v>4095.7663864982819</v>
      </c>
      <c r="K163" s="86">
        <f ca="1">INDEX(Aerodynamique!$AC$6:$AC$1006,MATCH(INDEX(Aerodynamique!$W$6:$W$546,MATCH(G163,Aerodynamique!$Y$6:$Y$546,1)),Aerodynamique!$AD$6:$AD$1006,-1))</f>
        <v>-4.339999999999999</v>
      </c>
      <c r="L163">
        <f ca="1">Montée!$B$19*((E163-E162)/60)*J163/10</f>
        <v>13.09558405036061</v>
      </c>
      <c r="M163">
        <f t="shared" ca="1" si="14"/>
        <v>2150.9562953427744</v>
      </c>
    </row>
    <row r="164" spans="5:13">
      <c r="E164" s="210">
        <f t="shared" si="10"/>
        <v>159</v>
      </c>
      <c r="F164">
        <f t="shared" ca="1" si="13"/>
        <v>12542.230965554498</v>
      </c>
      <c r="G164">
        <f t="shared" ca="1" si="11"/>
        <v>0.4158163933662668</v>
      </c>
      <c r="H164">
        <f ca="1">INDEX(Aerodynamique!$T$6:$T$546,MATCH(G164,Aerodynamique!$Y$6:$Y$546,1))</f>
        <v>1.2500000000000082</v>
      </c>
      <c r="I164">
        <f ca="1">INDEX(Aerodynamique!$Z$6:$Z$546,MATCH(G164,Aerodynamique!$Y$6:$Y$546,1))</f>
        <v>1.3913013851084165E-2</v>
      </c>
      <c r="J164">
        <f t="shared" ca="1" si="12"/>
        <v>4095.7663864982819</v>
      </c>
      <c r="K164" s="86">
        <f ca="1">INDEX(Aerodynamique!$AC$6:$AC$1006,MATCH(INDEX(Aerodynamique!$W$6:$W$546,MATCH(G164,Aerodynamique!$Y$6:$Y$546,1)),Aerodynamique!$AD$6:$AD$1006,-1))</f>
        <v>-4.339999999999999</v>
      </c>
      <c r="L164">
        <f ca="1">Montée!$B$19*((E164-E163)/60)*J164/10</f>
        <v>13.09558405036061</v>
      </c>
      <c r="M164">
        <f t="shared" ca="1" si="14"/>
        <v>2164.0518793931351</v>
      </c>
    </row>
    <row r="165" spans="5:13">
      <c r="E165" s="210">
        <f t="shared" si="10"/>
        <v>160</v>
      </c>
      <c r="F165">
        <f t="shared" ca="1" si="13"/>
        <v>12529.135381504137</v>
      </c>
      <c r="G165">
        <f t="shared" ca="1" si="11"/>
        <v>0.41538223148997855</v>
      </c>
      <c r="H165">
        <f ca="1">INDEX(Aerodynamique!$T$6:$T$546,MATCH(G165,Aerodynamique!$Y$6:$Y$546,1))</f>
        <v>1.2500000000000082</v>
      </c>
      <c r="I165">
        <f ca="1">INDEX(Aerodynamique!$Z$6:$Z$546,MATCH(G165,Aerodynamique!$Y$6:$Y$546,1))</f>
        <v>1.3913013851084165E-2</v>
      </c>
      <c r="J165">
        <f t="shared" ca="1" si="12"/>
        <v>4095.7663864982819</v>
      </c>
      <c r="K165" s="86">
        <f ca="1">INDEX(Aerodynamique!$AC$6:$AC$1006,MATCH(INDEX(Aerodynamique!$W$6:$W$546,MATCH(G165,Aerodynamique!$Y$6:$Y$546,1)),Aerodynamique!$AD$6:$AD$1006,-1))</f>
        <v>-4.339999999999999</v>
      </c>
      <c r="L165">
        <f ca="1">Montée!$B$19*((E165-E164)/60)*J165/10</f>
        <v>13.09558405036061</v>
      </c>
      <c r="M165">
        <f t="shared" ca="1" si="14"/>
        <v>2177.1474634434958</v>
      </c>
    </row>
    <row r="166" spans="5:13">
      <c r="E166" s="210">
        <f t="shared" si="10"/>
        <v>161</v>
      </c>
      <c r="F166">
        <f t="shared" ca="1" si="13"/>
        <v>12516.039797453775</v>
      </c>
      <c r="G166">
        <f t="shared" ca="1" si="11"/>
        <v>0.4149480696136903</v>
      </c>
      <c r="H166">
        <f ca="1">INDEX(Aerodynamique!$T$6:$T$546,MATCH(G166,Aerodynamique!$Y$6:$Y$546,1))</f>
        <v>1.2000000000000082</v>
      </c>
      <c r="I166">
        <f ca="1">INDEX(Aerodynamique!$Z$6:$Z$546,MATCH(G166,Aerodynamique!$Y$6:$Y$546,1))</f>
        <v>1.3837886919807035E-2</v>
      </c>
      <c r="J166">
        <f t="shared" ca="1" si="12"/>
        <v>4073.6502322890583</v>
      </c>
      <c r="K166" s="86">
        <f ca="1">INDEX(Aerodynamique!$AC$6:$AC$1006,MATCH(INDEX(Aerodynamique!$W$6:$W$546,MATCH(G166,Aerodynamique!$Y$6:$Y$546,1)),Aerodynamique!$AD$6:$AD$1006,-1))</f>
        <v>-4.3</v>
      </c>
      <c r="L166">
        <f ca="1">Montée!$B$19*((E166-E165)/60)*J166/10</f>
        <v>13.024871043565994</v>
      </c>
      <c r="M166">
        <f t="shared" ca="1" si="14"/>
        <v>2190.1723344870616</v>
      </c>
    </row>
    <row r="167" spans="5:13">
      <c r="E167" s="210">
        <f t="shared" si="10"/>
        <v>162</v>
      </c>
      <c r="F167">
        <f t="shared" ca="1" si="13"/>
        <v>12503.014926410209</v>
      </c>
      <c r="G167">
        <f t="shared" ca="1" si="11"/>
        <v>0.41451625210719795</v>
      </c>
      <c r="H167">
        <f ca="1">INDEX(Aerodynamique!$T$6:$T$546,MATCH(G167,Aerodynamique!$Y$6:$Y$546,1))</f>
        <v>1.2000000000000082</v>
      </c>
      <c r="I167">
        <f ca="1">INDEX(Aerodynamique!$Z$6:$Z$546,MATCH(G167,Aerodynamique!$Y$6:$Y$546,1))</f>
        <v>1.3837886919807035E-2</v>
      </c>
      <c r="J167">
        <f t="shared" ca="1" si="12"/>
        <v>4073.6502322890583</v>
      </c>
      <c r="K167" s="86">
        <f ca="1">INDEX(Aerodynamique!$AC$6:$AC$1006,MATCH(INDEX(Aerodynamique!$W$6:$W$546,MATCH(G167,Aerodynamique!$Y$6:$Y$546,1)),Aerodynamique!$AD$6:$AD$1006,-1))</f>
        <v>-4.3</v>
      </c>
      <c r="L167">
        <f ca="1">Montée!$B$19*((E167-E166)/60)*J167/10</f>
        <v>13.024871043565994</v>
      </c>
      <c r="M167">
        <f t="shared" ca="1" si="14"/>
        <v>2203.1972055306273</v>
      </c>
    </row>
    <row r="168" spans="5:13">
      <c r="E168" s="210">
        <f t="shared" si="10"/>
        <v>163</v>
      </c>
      <c r="F168">
        <f t="shared" ca="1" si="13"/>
        <v>12489.990055366643</v>
      </c>
      <c r="G168">
        <f t="shared" ca="1" si="11"/>
        <v>0.41408443460070565</v>
      </c>
      <c r="H168">
        <f ca="1">INDEX(Aerodynamique!$T$6:$T$546,MATCH(G168,Aerodynamique!$Y$6:$Y$546,1))</f>
        <v>1.2000000000000082</v>
      </c>
      <c r="I168">
        <f ca="1">INDEX(Aerodynamique!$Z$6:$Z$546,MATCH(G168,Aerodynamique!$Y$6:$Y$546,1))</f>
        <v>1.3837886919807035E-2</v>
      </c>
      <c r="J168">
        <f t="shared" ca="1" si="12"/>
        <v>4073.6502322890583</v>
      </c>
      <c r="K168" s="86">
        <f ca="1">INDEX(Aerodynamique!$AC$6:$AC$1006,MATCH(INDEX(Aerodynamique!$W$6:$W$546,MATCH(G168,Aerodynamique!$Y$6:$Y$546,1)),Aerodynamique!$AD$6:$AD$1006,-1))</f>
        <v>-4.3</v>
      </c>
      <c r="L168">
        <f ca="1">Montée!$B$19*((E168-E167)/60)*J168/10</f>
        <v>13.024871043565994</v>
      </c>
      <c r="M168">
        <f t="shared" ca="1" si="14"/>
        <v>2216.2220765741931</v>
      </c>
    </row>
    <row r="169" spans="5:13">
      <c r="E169" s="210">
        <f t="shared" si="10"/>
        <v>164</v>
      </c>
      <c r="F169">
        <f t="shared" ca="1" si="13"/>
        <v>12476.965184323077</v>
      </c>
      <c r="G169">
        <f t="shared" ca="1" si="11"/>
        <v>0.41365261709421336</v>
      </c>
      <c r="H169">
        <f ca="1">INDEX(Aerodynamique!$T$6:$T$546,MATCH(G169,Aerodynamique!$Y$6:$Y$546,1))</f>
        <v>1.2000000000000082</v>
      </c>
      <c r="I169">
        <f ca="1">INDEX(Aerodynamique!$Z$6:$Z$546,MATCH(G169,Aerodynamique!$Y$6:$Y$546,1))</f>
        <v>1.3837886919807035E-2</v>
      </c>
      <c r="J169">
        <f t="shared" ca="1" si="12"/>
        <v>4073.6502322890583</v>
      </c>
      <c r="K169" s="86">
        <f ca="1">INDEX(Aerodynamique!$AC$6:$AC$1006,MATCH(INDEX(Aerodynamique!$W$6:$W$546,MATCH(G169,Aerodynamique!$Y$6:$Y$546,1)),Aerodynamique!$AD$6:$AD$1006,-1))</f>
        <v>-4.3</v>
      </c>
      <c r="L169">
        <f ca="1">Montée!$B$19*((E169-E168)/60)*J169/10</f>
        <v>13.024871043565994</v>
      </c>
      <c r="M169">
        <f t="shared" ca="1" si="14"/>
        <v>2229.2469476177589</v>
      </c>
    </row>
    <row r="170" spans="5:13">
      <c r="E170" s="210">
        <f t="shared" si="10"/>
        <v>165</v>
      </c>
      <c r="F170">
        <f t="shared" ca="1" si="13"/>
        <v>12463.940313279511</v>
      </c>
      <c r="G170">
        <f t="shared" ca="1" si="11"/>
        <v>0.41322079958772101</v>
      </c>
      <c r="H170">
        <f ca="1">INDEX(Aerodynamique!$T$6:$T$546,MATCH(G170,Aerodynamique!$Y$6:$Y$546,1))</f>
        <v>1.2000000000000082</v>
      </c>
      <c r="I170">
        <f ca="1">INDEX(Aerodynamique!$Z$6:$Z$546,MATCH(G170,Aerodynamique!$Y$6:$Y$546,1))</f>
        <v>1.3837886919807035E-2</v>
      </c>
      <c r="J170">
        <f t="shared" ca="1" si="12"/>
        <v>4073.6502322890583</v>
      </c>
      <c r="K170" s="86">
        <f ca="1">INDEX(Aerodynamique!$AC$6:$AC$1006,MATCH(INDEX(Aerodynamique!$W$6:$W$546,MATCH(G170,Aerodynamique!$Y$6:$Y$546,1)),Aerodynamique!$AD$6:$AD$1006,-1))</f>
        <v>-4.3</v>
      </c>
      <c r="L170">
        <f ca="1">Montée!$B$19*((E170-E169)/60)*J170/10</f>
        <v>13.024871043565994</v>
      </c>
      <c r="M170">
        <f t="shared" ca="1" si="14"/>
        <v>2242.2718186613247</v>
      </c>
    </row>
    <row r="171" spans="5:13">
      <c r="E171" s="210">
        <f t="shared" si="10"/>
        <v>166</v>
      </c>
      <c r="F171">
        <f t="shared" ca="1" si="13"/>
        <v>12450.915442235944</v>
      </c>
      <c r="G171">
        <f t="shared" ca="1" si="11"/>
        <v>0.41278898208122866</v>
      </c>
      <c r="H171">
        <f ca="1">INDEX(Aerodynamique!$T$6:$T$546,MATCH(G171,Aerodynamique!$Y$6:$Y$546,1))</f>
        <v>1.2000000000000082</v>
      </c>
      <c r="I171">
        <f ca="1">INDEX(Aerodynamique!$Z$6:$Z$546,MATCH(G171,Aerodynamique!$Y$6:$Y$546,1))</f>
        <v>1.3837886919807035E-2</v>
      </c>
      <c r="J171">
        <f t="shared" ca="1" si="12"/>
        <v>4073.6502322890583</v>
      </c>
      <c r="K171" s="86">
        <f ca="1">INDEX(Aerodynamique!$AC$6:$AC$1006,MATCH(INDEX(Aerodynamique!$W$6:$W$546,MATCH(G171,Aerodynamique!$Y$6:$Y$546,1)),Aerodynamique!$AD$6:$AD$1006,-1))</f>
        <v>-4.3</v>
      </c>
      <c r="L171">
        <f ca="1">Montée!$B$19*((E171-E170)/60)*J171/10</f>
        <v>13.024871043565994</v>
      </c>
      <c r="M171">
        <f t="shared" ca="1" si="14"/>
        <v>2255.2966897048905</v>
      </c>
    </row>
    <row r="172" spans="5:13">
      <c r="E172" s="210">
        <f t="shared" si="10"/>
        <v>167</v>
      </c>
      <c r="F172">
        <f t="shared" ca="1" si="13"/>
        <v>12437.890571192378</v>
      </c>
      <c r="G172">
        <f t="shared" ca="1" si="11"/>
        <v>0.41235716457473637</v>
      </c>
      <c r="H172">
        <f ca="1">INDEX(Aerodynamique!$T$6:$T$546,MATCH(G172,Aerodynamique!$Y$6:$Y$546,1))</f>
        <v>1.2000000000000082</v>
      </c>
      <c r="I172">
        <f ca="1">INDEX(Aerodynamique!$Z$6:$Z$546,MATCH(G172,Aerodynamique!$Y$6:$Y$546,1))</f>
        <v>1.3837886919807035E-2</v>
      </c>
      <c r="J172">
        <f t="shared" ca="1" si="12"/>
        <v>4073.6502322890583</v>
      </c>
      <c r="K172" s="86">
        <f ca="1">INDEX(Aerodynamique!$AC$6:$AC$1006,MATCH(INDEX(Aerodynamique!$W$6:$W$546,MATCH(G172,Aerodynamique!$Y$6:$Y$546,1)),Aerodynamique!$AD$6:$AD$1006,-1))</f>
        <v>-4.3</v>
      </c>
      <c r="L172">
        <f ca="1">Montée!$B$19*((E172-E171)/60)*J172/10</f>
        <v>13.024871043565994</v>
      </c>
      <c r="M172">
        <f t="shared" ca="1" si="14"/>
        <v>2268.3215607484562</v>
      </c>
    </row>
    <row r="173" spans="5:13">
      <c r="E173" s="210">
        <f t="shared" si="10"/>
        <v>168</v>
      </c>
      <c r="F173">
        <f t="shared" ca="1" si="13"/>
        <v>12424.865700148812</v>
      </c>
      <c r="G173">
        <f t="shared" ca="1" si="11"/>
        <v>0.41192534706824407</v>
      </c>
      <c r="H173">
        <f ca="1">INDEX(Aerodynamique!$T$6:$T$546,MATCH(G173,Aerodynamique!$Y$6:$Y$546,1))</f>
        <v>1.2000000000000082</v>
      </c>
      <c r="I173">
        <f ca="1">INDEX(Aerodynamique!$Z$6:$Z$546,MATCH(G173,Aerodynamique!$Y$6:$Y$546,1))</f>
        <v>1.3837886919807035E-2</v>
      </c>
      <c r="J173">
        <f t="shared" ca="1" si="12"/>
        <v>4073.6502322890583</v>
      </c>
      <c r="K173" s="86">
        <f ca="1">INDEX(Aerodynamique!$AC$6:$AC$1006,MATCH(INDEX(Aerodynamique!$W$6:$W$546,MATCH(G173,Aerodynamique!$Y$6:$Y$546,1)),Aerodynamique!$AD$6:$AD$1006,-1))</f>
        <v>-4.3</v>
      </c>
      <c r="L173">
        <f ca="1">Montée!$B$19*((E173-E172)/60)*J173/10</f>
        <v>13.024871043565994</v>
      </c>
      <c r="M173">
        <f t="shared" ca="1" si="14"/>
        <v>2281.346431792022</v>
      </c>
    </row>
    <row r="174" spans="5:13">
      <c r="E174" s="210">
        <f t="shared" si="10"/>
        <v>169</v>
      </c>
      <c r="F174">
        <f t="shared" ca="1" si="13"/>
        <v>12411.840829105246</v>
      </c>
      <c r="G174">
        <f t="shared" ca="1" si="11"/>
        <v>0.41149352956175173</v>
      </c>
      <c r="H174">
        <f ca="1">INDEX(Aerodynamique!$T$6:$T$546,MATCH(G174,Aerodynamique!$Y$6:$Y$546,1))</f>
        <v>1.2000000000000082</v>
      </c>
      <c r="I174">
        <f ca="1">INDEX(Aerodynamique!$Z$6:$Z$546,MATCH(G174,Aerodynamique!$Y$6:$Y$546,1))</f>
        <v>1.3837886919807035E-2</v>
      </c>
      <c r="J174">
        <f t="shared" ca="1" si="12"/>
        <v>4073.6502322890583</v>
      </c>
      <c r="K174" s="86">
        <f ca="1">INDEX(Aerodynamique!$AC$6:$AC$1006,MATCH(INDEX(Aerodynamique!$W$6:$W$546,MATCH(G174,Aerodynamique!$Y$6:$Y$546,1)),Aerodynamique!$AD$6:$AD$1006,-1))</f>
        <v>-4.3</v>
      </c>
      <c r="L174">
        <f ca="1">Montée!$B$19*((E174-E173)/60)*J174/10</f>
        <v>13.024871043565994</v>
      </c>
      <c r="M174">
        <f t="shared" ca="1" si="14"/>
        <v>2294.3713028355878</v>
      </c>
    </row>
    <row r="175" spans="5:13">
      <c r="E175" s="210">
        <f t="shared" si="10"/>
        <v>170</v>
      </c>
      <c r="F175">
        <f t="shared" ca="1" si="13"/>
        <v>12398.815958061679</v>
      </c>
      <c r="G175">
        <f t="shared" ca="1" si="11"/>
        <v>0.41106171205525943</v>
      </c>
      <c r="H175">
        <f ca="1">INDEX(Aerodynamique!$T$6:$T$546,MATCH(G175,Aerodynamique!$Y$6:$Y$546,1))</f>
        <v>1.2000000000000082</v>
      </c>
      <c r="I175">
        <f ca="1">INDEX(Aerodynamique!$Z$6:$Z$546,MATCH(G175,Aerodynamique!$Y$6:$Y$546,1))</f>
        <v>1.3837886919807035E-2</v>
      </c>
      <c r="J175">
        <f t="shared" ca="1" si="12"/>
        <v>4073.6502322890583</v>
      </c>
      <c r="K175" s="86">
        <f ca="1">INDEX(Aerodynamique!$AC$6:$AC$1006,MATCH(INDEX(Aerodynamique!$W$6:$W$546,MATCH(G175,Aerodynamique!$Y$6:$Y$546,1)),Aerodynamique!$AD$6:$AD$1006,-1))</f>
        <v>-4.3</v>
      </c>
      <c r="L175">
        <f ca="1">Montée!$B$19*((E175-E174)/60)*J175/10</f>
        <v>13.024871043565994</v>
      </c>
      <c r="M175">
        <f t="shared" ca="1" si="14"/>
        <v>2307.3961738791536</v>
      </c>
    </row>
    <row r="176" spans="5:13">
      <c r="E176" s="210">
        <f t="shared" si="10"/>
        <v>171</v>
      </c>
      <c r="F176">
        <f t="shared" ca="1" si="13"/>
        <v>12385.791087018113</v>
      </c>
      <c r="G176">
        <f t="shared" ca="1" si="11"/>
        <v>0.41062989454876714</v>
      </c>
      <c r="H176">
        <f ca="1">INDEX(Aerodynamique!$T$6:$T$546,MATCH(G176,Aerodynamique!$Y$6:$Y$546,1))</f>
        <v>1.2000000000000082</v>
      </c>
      <c r="I176">
        <f ca="1">INDEX(Aerodynamique!$Z$6:$Z$546,MATCH(G176,Aerodynamique!$Y$6:$Y$546,1))</f>
        <v>1.3837886919807035E-2</v>
      </c>
      <c r="J176">
        <f t="shared" ca="1" si="12"/>
        <v>4073.6502322890583</v>
      </c>
      <c r="K176" s="86">
        <f ca="1">INDEX(Aerodynamique!$AC$6:$AC$1006,MATCH(INDEX(Aerodynamique!$W$6:$W$546,MATCH(G176,Aerodynamique!$Y$6:$Y$546,1)),Aerodynamique!$AD$6:$AD$1006,-1))</f>
        <v>-4.3</v>
      </c>
      <c r="L176">
        <f ca="1">Montée!$B$19*((E176-E175)/60)*J176/10</f>
        <v>13.024871043565994</v>
      </c>
      <c r="M176">
        <f t="shared" ca="1" si="14"/>
        <v>2320.4210449227194</v>
      </c>
    </row>
    <row r="177" spans="5:13">
      <c r="E177" s="210">
        <f t="shared" si="10"/>
        <v>172</v>
      </c>
      <c r="F177">
        <f t="shared" ca="1" si="13"/>
        <v>12372.766215974547</v>
      </c>
      <c r="G177">
        <f t="shared" ca="1" si="11"/>
        <v>0.41019807704227484</v>
      </c>
      <c r="H177">
        <f ca="1">INDEX(Aerodynamique!$T$6:$T$546,MATCH(G177,Aerodynamique!$Y$6:$Y$546,1))</f>
        <v>1.2000000000000082</v>
      </c>
      <c r="I177">
        <f ca="1">INDEX(Aerodynamique!$Z$6:$Z$546,MATCH(G177,Aerodynamique!$Y$6:$Y$546,1))</f>
        <v>1.3837886919807035E-2</v>
      </c>
      <c r="J177">
        <f t="shared" ca="1" si="12"/>
        <v>4073.6502322890583</v>
      </c>
      <c r="K177" s="86">
        <f ca="1">INDEX(Aerodynamique!$AC$6:$AC$1006,MATCH(INDEX(Aerodynamique!$W$6:$W$546,MATCH(G177,Aerodynamique!$Y$6:$Y$546,1)),Aerodynamique!$AD$6:$AD$1006,-1))</f>
        <v>-4.3</v>
      </c>
      <c r="L177">
        <f ca="1">Montée!$B$19*((E177-E176)/60)*J177/10</f>
        <v>13.024871043565994</v>
      </c>
      <c r="M177">
        <f t="shared" ca="1" si="14"/>
        <v>2333.4459159662852</v>
      </c>
    </row>
    <row r="178" spans="5:13">
      <c r="E178" s="210">
        <f t="shared" si="10"/>
        <v>173</v>
      </c>
      <c r="F178">
        <f t="shared" ca="1" si="13"/>
        <v>12359.741344930981</v>
      </c>
      <c r="G178">
        <f t="shared" ca="1" si="11"/>
        <v>0.4097662595357825</v>
      </c>
      <c r="H178">
        <f ca="1">INDEX(Aerodynamique!$T$6:$T$546,MATCH(G178,Aerodynamique!$Y$6:$Y$546,1))</f>
        <v>1.1500000000000081</v>
      </c>
      <c r="I178">
        <f ca="1">INDEX(Aerodynamique!$Z$6:$Z$546,MATCH(G178,Aerodynamique!$Y$6:$Y$546,1))</f>
        <v>1.3763827798542065E-2</v>
      </c>
      <c r="J178">
        <f t="shared" ca="1" si="12"/>
        <v>4051.848424087234</v>
      </c>
      <c r="K178" s="86">
        <f ca="1">INDEX(Aerodynamique!$AC$6:$AC$1006,MATCH(INDEX(Aerodynamique!$W$6:$W$546,MATCH(G178,Aerodynamique!$Y$6:$Y$546,1)),Aerodynamique!$AD$6:$AD$1006,-1))</f>
        <v>-4.2600000000000007</v>
      </c>
      <c r="L178">
        <f ca="1">Montée!$B$19*((E178-E177)/60)*J178/10</f>
        <v>12.955163109857173</v>
      </c>
      <c r="M178">
        <f t="shared" ca="1" si="14"/>
        <v>2346.4010790761422</v>
      </c>
    </row>
    <row r="179" spans="5:13">
      <c r="E179" s="210">
        <f t="shared" si="10"/>
        <v>174</v>
      </c>
      <c r="F179">
        <f t="shared" ca="1" si="13"/>
        <v>12346.786181821124</v>
      </c>
      <c r="G179">
        <f t="shared" ca="1" si="11"/>
        <v>0.40933675307759282</v>
      </c>
      <c r="H179">
        <f ca="1">INDEX(Aerodynamique!$T$6:$T$546,MATCH(G179,Aerodynamique!$Y$6:$Y$546,1))</f>
        <v>1.1500000000000081</v>
      </c>
      <c r="I179">
        <f ca="1">INDEX(Aerodynamique!$Z$6:$Z$546,MATCH(G179,Aerodynamique!$Y$6:$Y$546,1))</f>
        <v>1.3763827798542065E-2</v>
      </c>
      <c r="J179">
        <f t="shared" ca="1" si="12"/>
        <v>4051.848424087234</v>
      </c>
      <c r="K179" s="86">
        <f ca="1">INDEX(Aerodynamique!$AC$6:$AC$1006,MATCH(INDEX(Aerodynamique!$W$6:$W$546,MATCH(G179,Aerodynamique!$Y$6:$Y$546,1)),Aerodynamique!$AD$6:$AD$1006,-1))</f>
        <v>-4.2600000000000007</v>
      </c>
      <c r="L179">
        <f ca="1">Montée!$B$19*((E179-E178)/60)*J179/10</f>
        <v>12.955163109857173</v>
      </c>
      <c r="M179">
        <f t="shared" ca="1" si="14"/>
        <v>2359.3562421859992</v>
      </c>
    </row>
    <row r="180" spans="5:13">
      <c r="E180" s="210">
        <f t="shared" si="10"/>
        <v>175</v>
      </c>
      <c r="F180">
        <f t="shared" ca="1" si="13"/>
        <v>12333.831018711267</v>
      </c>
      <c r="G180">
        <f t="shared" ca="1" si="11"/>
        <v>0.40890724661940314</v>
      </c>
      <c r="H180">
        <f ca="1">INDEX(Aerodynamique!$T$6:$T$546,MATCH(G180,Aerodynamique!$Y$6:$Y$546,1))</f>
        <v>1.1500000000000081</v>
      </c>
      <c r="I180">
        <f ca="1">INDEX(Aerodynamique!$Z$6:$Z$546,MATCH(G180,Aerodynamique!$Y$6:$Y$546,1))</f>
        <v>1.3763827798542065E-2</v>
      </c>
      <c r="J180">
        <f t="shared" ca="1" si="12"/>
        <v>4051.848424087234</v>
      </c>
      <c r="K180" s="86">
        <f ca="1">INDEX(Aerodynamique!$AC$6:$AC$1006,MATCH(INDEX(Aerodynamique!$W$6:$W$546,MATCH(G180,Aerodynamique!$Y$6:$Y$546,1)),Aerodynamique!$AD$6:$AD$1006,-1))</f>
        <v>-4.2600000000000007</v>
      </c>
      <c r="L180">
        <f ca="1">Montée!$B$19*((E180-E179)/60)*J180/10</f>
        <v>12.955163109857173</v>
      </c>
      <c r="M180">
        <f t="shared" ca="1" si="14"/>
        <v>2372.3114052958563</v>
      </c>
    </row>
    <row r="181" spans="5:13">
      <c r="E181" s="210">
        <f t="shared" si="10"/>
        <v>176</v>
      </c>
      <c r="F181">
        <f t="shared" ca="1" si="13"/>
        <v>12320.875855601411</v>
      </c>
      <c r="G181">
        <f t="shared" ca="1" si="11"/>
        <v>0.40847774016121341</v>
      </c>
      <c r="H181">
        <f ca="1">INDEX(Aerodynamique!$T$6:$T$546,MATCH(G181,Aerodynamique!$Y$6:$Y$546,1))</f>
        <v>1.1500000000000081</v>
      </c>
      <c r="I181">
        <f ca="1">INDEX(Aerodynamique!$Z$6:$Z$546,MATCH(G181,Aerodynamique!$Y$6:$Y$546,1))</f>
        <v>1.3763827798542065E-2</v>
      </c>
      <c r="J181">
        <f t="shared" ca="1" si="12"/>
        <v>4051.848424087234</v>
      </c>
      <c r="K181" s="86">
        <f ca="1">INDEX(Aerodynamique!$AC$6:$AC$1006,MATCH(INDEX(Aerodynamique!$W$6:$W$546,MATCH(G181,Aerodynamique!$Y$6:$Y$546,1)),Aerodynamique!$AD$6:$AD$1006,-1))</f>
        <v>-4.2600000000000007</v>
      </c>
      <c r="L181">
        <f ca="1">Montée!$B$19*((E181-E180)/60)*J181/10</f>
        <v>12.955163109857173</v>
      </c>
      <c r="M181">
        <f t="shared" ca="1" si="14"/>
        <v>2385.2665684057133</v>
      </c>
    </row>
    <row r="182" spans="5:13">
      <c r="E182" s="210">
        <f t="shared" si="10"/>
        <v>177</v>
      </c>
      <c r="F182">
        <f t="shared" ca="1" si="13"/>
        <v>12307.920692491554</v>
      </c>
      <c r="G182">
        <f t="shared" ca="1" si="11"/>
        <v>0.40804823370302373</v>
      </c>
      <c r="H182">
        <f ca="1">INDEX(Aerodynamique!$T$6:$T$546,MATCH(G182,Aerodynamique!$Y$6:$Y$546,1))</f>
        <v>1.1500000000000081</v>
      </c>
      <c r="I182">
        <f ca="1">INDEX(Aerodynamique!$Z$6:$Z$546,MATCH(G182,Aerodynamique!$Y$6:$Y$546,1))</f>
        <v>1.3763827798542065E-2</v>
      </c>
      <c r="J182">
        <f t="shared" ca="1" si="12"/>
        <v>4051.848424087234</v>
      </c>
      <c r="K182" s="86">
        <f ca="1">INDEX(Aerodynamique!$AC$6:$AC$1006,MATCH(INDEX(Aerodynamique!$W$6:$W$546,MATCH(G182,Aerodynamique!$Y$6:$Y$546,1)),Aerodynamique!$AD$6:$AD$1006,-1))</f>
        <v>-4.2600000000000007</v>
      </c>
      <c r="L182">
        <f ca="1">Montée!$B$19*((E182-E181)/60)*J182/10</f>
        <v>12.955163109857173</v>
      </c>
      <c r="M182">
        <f t="shared" ca="1" si="14"/>
        <v>2398.2217315155704</v>
      </c>
    </row>
    <row r="183" spans="5:13">
      <c r="E183" s="210">
        <f t="shared" si="10"/>
        <v>178</v>
      </c>
      <c r="F183">
        <f t="shared" ca="1" si="13"/>
        <v>12294.965529381698</v>
      </c>
      <c r="G183">
        <f t="shared" ca="1" si="11"/>
        <v>0.40761872724483406</v>
      </c>
      <c r="H183">
        <f ca="1">INDEX(Aerodynamique!$T$6:$T$546,MATCH(G183,Aerodynamique!$Y$6:$Y$546,1))</f>
        <v>1.1500000000000081</v>
      </c>
      <c r="I183">
        <f ca="1">INDEX(Aerodynamique!$Z$6:$Z$546,MATCH(G183,Aerodynamique!$Y$6:$Y$546,1))</f>
        <v>1.3763827798542065E-2</v>
      </c>
      <c r="J183">
        <f t="shared" ca="1" si="12"/>
        <v>4051.848424087234</v>
      </c>
      <c r="K183" s="86">
        <f ca="1">INDEX(Aerodynamique!$AC$6:$AC$1006,MATCH(INDEX(Aerodynamique!$W$6:$W$546,MATCH(G183,Aerodynamique!$Y$6:$Y$546,1)),Aerodynamique!$AD$6:$AD$1006,-1))</f>
        <v>-4.2600000000000007</v>
      </c>
      <c r="L183">
        <f ca="1">Montée!$B$19*((E183-E182)/60)*J183/10</f>
        <v>12.955163109857173</v>
      </c>
      <c r="M183">
        <f t="shared" ca="1" si="14"/>
        <v>2411.1768946254274</v>
      </c>
    </row>
    <row r="184" spans="5:13">
      <c r="E184" s="210">
        <f t="shared" si="10"/>
        <v>179</v>
      </c>
      <c r="F184">
        <f t="shared" ca="1" si="13"/>
        <v>12282.010366271841</v>
      </c>
      <c r="G184">
        <f t="shared" ca="1" si="11"/>
        <v>0.40718922078664438</v>
      </c>
      <c r="H184">
        <f ca="1">INDEX(Aerodynamique!$T$6:$T$546,MATCH(G184,Aerodynamique!$Y$6:$Y$546,1))</f>
        <v>1.1500000000000081</v>
      </c>
      <c r="I184">
        <f ca="1">INDEX(Aerodynamique!$Z$6:$Z$546,MATCH(G184,Aerodynamique!$Y$6:$Y$546,1))</f>
        <v>1.3763827798542065E-2</v>
      </c>
      <c r="J184">
        <f t="shared" ca="1" si="12"/>
        <v>4051.848424087234</v>
      </c>
      <c r="K184" s="86">
        <f ca="1">INDEX(Aerodynamique!$AC$6:$AC$1006,MATCH(INDEX(Aerodynamique!$W$6:$W$546,MATCH(G184,Aerodynamique!$Y$6:$Y$546,1)),Aerodynamique!$AD$6:$AD$1006,-1))</f>
        <v>-4.2600000000000007</v>
      </c>
      <c r="L184">
        <f ca="1">Montée!$B$19*((E184-E183)/60)*J184/10</f>
        <v>12.955163109857173</v>
      </c>
      <c r="M184">
        <f t="shared" ca="1" si="14"/>
        <v>2424.1320577352844</v>
      </c>
    </row>
    <row r="185" spans="5:13">
      <c r="E185" s="210">
        <f t="shared" si="10"/>
        <v>180</v>
      </c>
      <c r="F185">
        <f t="shared" ca="1" si="13"/>
        <v>12269.055203161985</v>
      </c>
      <c r="G185">
        <f t="shared" ca="1" si="11"/>
        <v>0.4067597143284547</v>
      </c>
      <c r="H185">
        <f ca="1">INDEX(Aerodynamique!$T$6:$T$546,MATCH(G185,Aerodynamique!$Y$6:$Y$546,1))</f>
        <v>1.1500000000000081</v>
      </c>
      <c r="I185">
        <f ca="1">INDEX(Aerodynamique!$Z$6:$Z$546,MATCH(G185,Aerodynamique!$Y$6:$Y$546,1))</f>
        <v>1.3763827798542065E-2</v>
      </c>
      <c r="J185">
        <f t="shared" ca="1" si="12"/>
        <v>4051.848424087234</v>
      </c>
      <c r="K185" s="86">
        <f ca="1">INDEX(Aerodynamique!$AC$6:$AC$1006,MATCH(INDEX(Aerodynamique!$W$6:$W$546,MATCH(G185,Aerodynamique!$Y$6:$Y$546,1)),Aerodynamique!$AD$6:$AD$1006,-1))</f>
        <v>-4.2600000000000007</v>
      </c>
      <c r="L185">
        <f ca="1">Montée!$B$19*((E185-E184)/60)*J185/10</f>
        <v>12.955163109857173</v>
      </c>
      <c r="M185">
        <f t="shared" ca="1" si="14"/>
        <v>2437.0872208451415</v>
      </c>
    </row>
    <row r="186" spans="5:13">
      <c r="E186" s="210">
        <f t="shared" si="10"/>
        <v>181</v>
      </c>
      <c r="F186">
        <f t="shared" ca="1" si="13"/>
        <v>12256.100040052128</v>
      </c>
      <c r="G186">
        <f t="shared" ca="1" si="11"/>
        <v>0.40633020787026503</v>
      </c>
      <c r="H186">
        <f ca="1">INDEX(Aerodynamique!$T$6:$T$546,MATCH(G186,Aerodynamique!$Y$6:$Y$546,1))</f>
        <v>1.1500000000000081</v>
      </c>
      <c r="I186">
        <f ca="1">INDEX(Aerodynamique!$Z$6:$Z$546,MATCH(G186,Aerodynamique!$Y$6:$Y$546,1))</f>
        <v>1.3763827798542065E-2</v>
      </c>
      <c r="J186">
        <f t="shared" ca="1" si="12"/>
        <v>4051.848424087234</v>
      </c>
      <c r="K186" s="86">
        <f ca="1">INDEX(Aerodynamique!$AC$6:$AC$1006,MATCH(INDEX(Aerodynamique!$W$6:$W$546,MATCH(G186,Aerodynamique!$Y$6:$Y$546,1)),Aerodynamique!$AD$6:$AD$1006,-1))</f>
        <v>-4.2600000000000007</v>
      </c>
      <c r="L186">
        <f ca="1">Montée!$B$19*((E186-E185)/60)*J186/10</f>
        <v>12.955163109857173</v>
      </c>
      <c r="M186">
        <f t="shared" ca="1" si="14"/>
        <v>2450.0423839549985</v>
      </c>
    </row>
    <row r="187" spans="5:13">
      <c r="E187" s="210">
        <f t="shared" si="10"/>
        <v>182</v>
      </c>
      <c r="F187">
        <f t="shared" ca="1" si="13"/>
        <v>12243.144876942271</v>
      </c>
      <c r="G187">
        <f t="shared" ca="1" si="11"/>
        <v>0.40590070141207535</v>
      </c>
      <c r="H187">
        <f ca="1">INDEX(Aerodynamique!$T$6:$T$546,MATCH(G187,Aerodynamique!$Y$6:$Y$546,1))</f>
        <v>1.1500000000000081</v>
      </c>
      <c r="I187">
        <f ca="1">INDEX(Aerodynamique!$Z$6:$Z$546,MATCH(G187,Aerodynamique!$Y$6:$Y$546,1))</f>
        <v>1.3763827798542065E-2</v>
      </c>
      <c r="J187">
        <f t="shared" ca="1" si="12"/>
        <v>4051.848424087234</v>
      </c>
      <c r="K187" s="86">
        <f ca="1">INDEX(Aerodynamique!$AC$6:$AC$1006,MATCH(INDEX(Aerodynamique!$W$6:$W$546,MATCH(G187,Aerodynamique!$Y$6:$Y$546,1)),Aerodynamique!$AD$6:$AD$1006,-1))</f>
        <v>-4.2600000000000007</v>
      </c>
      <c r="L187">
        <f ca="1">Montée!$B$19*((E187-E186)/60)*J187/10</f>
        <v>12.955163109857173</v>
      </c>
      <c r="M187">
        <f t="shared" ca="1" si="14"/>
        <v>2462.9975470648556</v>
      </c>
    </row>
    <row r="188" spans="5:13">
      <c r="E188" s="210">
        <f t="shared" si="10"/>
        <v>183</v>
      </c>
      <c r="F188">
        <f t="shared" ca="1" si="13"/>
        <v>12230.189713832415</v>
      </c>
      <c r="G188">
        <f t="shared" ca="1" si="11"/>
        <v>0.40547119495388567</v>
      </c>
      <c r="H188">
        <f ca="1">INDEX(Aerodynamique!$T$6:$T$546,MATCH(G188,Aerodynamique!$Y$6:$Y$546,1))</f>
        <v>1.1500000000000081</v>
      </c>
      <c r="I188">
        <f ca="1">INDEX(Aerodynamique!$Z$6:$Z$546,MATCH(G188,Aerodynamique!$Y$6:$Y$546,1))</f>
        <v>1.3763827798542065E-2</v>
      </c>
      <c r="J188">
        <f t="shared" ca="1" si="12"/>
        <v>4051.848424087234</v>
      </c>
      <c r="K188" s="86">
        <f ca="1">INDEX(Aerodynamique!$AC$6:$AC$1006,MATCH(INDEX(Aerodynamique!$W$6:$W$546,MATCH(G188,Aerodynamique!$Y$6:$Y$546,1)),Aerodynamique!$AD$6:$AD$1006,-1))</f>
        <v>-4.2600000000000007</v>
      </c>
      <c r="L188">
        <f ca="1">Montée!$B$19*((E188-E187)/60)*J188/10</f>
        <v>12.955163109857173</v>
      </c>
      <c r="M188">
        <f t="shared" ca="1" si="14"/>
        <v>2475.9527101747126</v>
      </c>
    </row>
    <row r="189" spans="5:13">
      <c r="E189" s="210">
        <f t="shared" si="10"/>
        <v>184</v>
      </c>
      <c r="F189">
        <f t="shared" ca="1" si="13"/>
        <v>12217.234550722558</v>
      </c>
      <c r="G189">
        <f t="shared" ca="1" si="11"/>
        <v>0.405041688495696</v>
      </c>
      <c r="H189">
        <f ca="1">INDEX(Aerodynamique!$T$6:$T$546,MATCH(G189,Aerodynamique!$Y$6:$Y$546,1))</f>
        <v>1.1000000000000081</v>
      </c>
      <c r="I189">
        <f ca="1">INDEX(Aerodynamique!$Z$6:$Z$546,MATCH(G189,Aerodynamique!$Y$6:$Y$546,1))</f>
        <v>1.369083648728925E-2</v>
      </c>
      <c r="J189">
        <f t="shared" ca="1" si="12"/>
        <v>4030.3609618928067</v>
      </c>
      <c r="K189" s="86">
        <f ca="1">INDEX(Aerodynamique!$AC$6:$AC$1006,MATCH(INDEX(Aerodynamique!$W$6:$W$546,MATCH(G189,Aerodynamique!$Y$6:$Y$546,1)),Aerodynamique!$AD$6:$AD$1006,-1))</f>
        <v>-4.2200000000000015</v>
      </c>
      <c r="L189">
        <f ca="1">Montée!$B$19*((E189-E188)/60)*J189/10</f>
        <v>12.886460249234148</v>
      </c>
      <c r="M189">
        <f t="shared" ca="1" si="14"/>
        <v>2488.8391704239466</v>
      </c>
    </row>
    <row r="190" spans="5:13">
      <c r="E190" s="210">
        <f t="shared" si="10"/>
        <v>185</v>
      </c>
      <c r="F190">
        <f t="shared" ca="1" si="13"/>
        <v>12204.348090473324</v>
      </c>
      <c r="G190">
        <f t="shared" ca="1" si="11"/>
        <v>0.40461445976431554</v>
      </c>
      <c r="H190">
        <f ca="1">INDEX(Aerodynamique!$T$6:$T$546,MATCH(G190,Aerodynamique!$Y$6:$Y$546,1))</f>
        <v>1.1000000000000081</v>
      </c>
      <c r="I190">
        <f ca="1">INDEX(Aerodynamique!$Z$6:$Z$546,MATCH(G190,Aerodynamique!$Y$6:$Y$546,1))</f>
        <v>1.369083648728925E-2</v>
      </c>
      <c r="J190">
        <f t="shared" ca="1" si="12"/>
        <v>4030.3609618928067</v>
      </c>
      <c r="K190" s="86">
        <f ca="1">INDEX(Aerodynamique!$AC$6:$AC$1006,MATCH(INDEX(Aerodynamique!$W$6:$W$546,MATCH(G190,Aerodynamique!$Y$6:$Y$546,1)),Aerodynamique!$AD$6:$AD$1006,-1))</f>
        <v>-4.2200000000000015</v>
      </c>
      <c r="L190">
        <f ca="1">Montée!$B$19*((E190-E189)/60)*J190/10</f>
        <v>12.886460249234148</v>
      </c>
      <c r="M190">
        <f t="shared" ca="1" si="14"/>
        <v>2501.7256306731806</v>
      </c>
    </row>
    <row r="191" spans="5:13">
      <c r="E191" s="210">
        <f t="shared" si="10"/>
        <v>186</v>
      </c>
      <c r="F191">
        <f t="shared" ca="1" si="13"/>
        <v>12191.46163022409</v>
      </c>
      <c r="G191">
        <f t="shared" ca="1" si="11"/>
        <v>0.40418723103293513</v>
      </c>
      <c r="H191">
        <f ca="1">INDEX(Aerodynamique!$T$6:$T$546,MATCH(G191,Aerodynamique!$Y$6:$Y$546,1))</f>
        <v>1.1000000000000081</v>
      </c>
      <c r="I191">
        <f ca="1">INDEX(Aerodynamique!$Z$6:$Z$546,MATCH(G191,Aerodynamique!$Y$6:$Y$546,1))</f>
        <v>1.369083648728925E-2</v>
      </c>
      <c r="J191">
        <f t="shared" ca="1" si="12"/>
        <v>4030.3609618928067</v>
      </c>
      <c r="K191" s="86">
        <f ca="1">INDEX(Aerodynamique!$AC$6:$AC$1006,MATCH(INDEX(Aerodynamique!$W$6:$W$546,MATCH(G191,Aerodynamique!$Y$6:$Y$546,1)),Aerodynamique!$AD$6:$AD$1006,-1))</f>
        <v>-4.2200000000000015</v>
      </c>
      <c r="L191">
        <f ca="1">Montée!$B$19*((E191-E190)/60)*J191/10</f>
        <v>12.886460249234148</v>
      </c>
      <c r="M191">
        <f t="shared" ca="1" si="14"/>
        <v>2514.6120909224146</v>
      </c>
    </row>
    <row r="192" spans="5:13">
      <c r="E192" s="210">
        <f t="shared" si="10"/>
        <v>187</v>
      </c>
      <c r="F192">
        <f t="shared" ca="1" si="13"/>
        <v>12178.575169974856</v>
      </c>
      <c r="G192">
        <f t="shared" ca="1" si="11"/>
        <v>0.40376000230155468</v>
      </c>
      <c r="H192">
        <f ca="1">INDEX(Aerodynamique!$T$6:$T$546,MATCH(G192,Aerodynamique!$Y$6:$Y$546,1))</f>
        <v>1.1000000000000081</v>
      </c>
      <c r="I192">
        <f ca="1">INDEX(Aerodynamique!$Z$6:$Z$546,MATCH(G192,Aerodynamique!$Y$6:$Y$546,1))</f>
        <v>1.369083648728925E-2</v>
      </c>
      <c r="J192">
        <f t="shared" ca="1" si="12"/>
        <v>4030.3609618928067</v>
      </c>
      <c r="K192" s="86">
        <f ca="1">INDEX(Aerodynamique!$AC$6:$AC$1006,MATCH(INDEX(Aerodynamique!$W$6:$W$546,MATCH(G192,Aerodynamique!$Y$6:$Y$546,1)),Aerodynamique!$AD$6:$AD$1006,-1))</f>
        <v>-4.2200000000000015</v>
      </c>
      <c r="L192">
        <f ca="1">Montée!$B$19*((E192-E191)/60)*J192/10</f>
        <v>12.886460249234148</v>
      </c>
      <c r="M192">
        <f t="shared" ca="1" si="14"/>
        <v>2527.4985511716486</v>
      </c>
    </row>
    <row r="193" spans="5:13">
      <c r="E193" s="210">
        <f t="shared" si="10"/>
        <v>188</v>
      </c>
      <c r="F193">
        <f t="shared" ca="1" si="13"/>
        <v>12165.688709725622</v>
      </c>
      <c r="G193">
        <f t="shared" ca="1" si="11"/>
        <v>0.40333277357017427</v>
      </c>
      <c r="H193">
        <f ca="1">INDEX(Aerodynamique!$T$6:$T$546,MATCH(G193,Aerodynamique!$Y$6:$Y$546,1))</f>
        <v>1.1000000000000081</v>
      </c>
      <c r="I193">
        <f ca="1">INDEX(Aerodynamique!$Z$6:$Z$546,MATCH(G193,Aerodynamique!$Y$6:$Y$546,1))</f>
        <v>1.369083648728925E-2</v>
      </c>
      <c r="J193">
        <f t="shared" ca="1" si="12"/>
        <v>4030.3609618928067</v>
      </c>
      <c r="K193" s="86">
        <f ca="1">INDEX(Aerodynamique!$AC$6:$AC$1006,MATCH(INDEX(Aerodynamique!$W$6:$W$546,MATCH(G193,Aerodynamique!$Y$6:$Y$546,1)),Aerodynamique!$AD$6:$AD$1006,-1))</f>
        <v>-4.2200000000000015</v>
      </c>
      <c r="L193">
        <f ca="1">Montée!$B$19*((E193-E192)/60)*J193/10</f>
        <v>12.886460249234148</v>
      </c>
      <c r="M193">
        <f t="shared" ca="1" si="14"/>
        <v>2540.3850114208826</v>
      </c>
    </row>
    <row r="194" spans="5:13">
      <c r="E194" s="210">
        <f t="shared" si="10"/>
        <v>189</v>
      </c>
      <c r="F194">
        <f t="shared" ca="1" si="13"/>
        <v>12152.802249476388</v>
      </c>
      <c r="G194">
        <f t="shared" ca="1" si="11"/>
        <v>0.40290554483879382</v>
      </c>
      <c r="H194">
        <f ca="1">INDEX(Aerodynamique!$T$6:$T$546,MATCH(G194,Aerodynamique!$Y$6:$Y$546,1))</f>
        <v>1.1000000000000081</v>
      </c>
      <c r="I194">
        <f ca="1">INDEX(Aerodynamique!$Z$6:$Z$546,MATCH(G194,Aerodynamique!$Y$6:$Y$546,1))</f>
        <v>1.369083648728925E-2</v>
      </c>
      <c r="J194">
        <f t="shared" ca="1" si="12"/>
        <v>4030.3609618928067</v>
      </c>
      <c r="K194" s="86">
        <f ca="1">INDEX(Aerodynamique!$AC$6:$AC$1006,MATCH(INDEX(Aerodynamique!$W$6:$W$546,MATCH(G194,Aerodynamique!$Y$6:$Y$546,1)),Aerodynamique!$AD$6:$AD$1006,-1))</f>
        <v>-4.2200000000000015</v>
      </c>
      <c r="L194">
        <f ca="1">Montée!$B$19*((E194-E193)/60)*J194/10</f>
        <v>12.886460249234148</v>
      </c>
      <c r="M194">
        <f t="shared" ca="1" si="14"/>
        <v>2553.2714716701166</v>
      </c>
    </row>
    <row r="195" spans="5:13">
      <c r="E195" s="210">
        <f t="shared" si="10"/>
        <v>190</v>
      </c>
      <c r="F195">
        <f t="shared" ca="1" si="13"/>
        <v>12139.915789227154</v>
      </c>
      <c r="G195">
        <f t="shared" ca="1" si="11"/>
        <v>0.40247831610741341</v>
      </c>
      <c r="H195">
        <f ca="1">INDEX(Aerodynamique!$T$6:$T$546,MATCH(G195,Aerodynamique!$Y$6:$Y$546,1))</f>
        <v>1.1000000000000081</v>
      </c>
      <c r="I195">
        <f ca="1">INDEX(Aerodynamique!$Z$6:$Z$546,MATCH(G195,Aerodynamique!$Y$6:$Y$546,1))</f>
        <v>1.369083648728925E-2</v>
      </c>
      <c r="J195">
        <f t="shared" ca="1" si="12"/>
        <v>4030.3609618928067</v>
      </c>
      <c r="K195" s="86">
        <f ca="1">INDEX(Aerodynamique!$AC$6:$AC$1006,MATCH(INDEX(Aerodynamique!$W$6:$W$546,MATCH(G195,Aerodynamique!$Y$6:$Y$546,1)),Aerodynamique!$AD$6:$AD$1006,-1))</f>
        <v>-4.2200000000000015</v>
      </c>
      <c r="L195">
        <f ca="1">Montée!$B$19*((E195-E194)/60)*J195/10</f>
        <v>12.886460249234148</v>
      </c>
      <c r="M195">
        <f t="shared" ca="1" si="14"/>
        <v>2566.1579319193506</v>
      </c>
    </row>
    <row r="196" spans="5:13">
      <c r="E196" s="210">
        <f t="shared" si="10"/>
        <v>191</v>
      </c>
      <c r="F196">
        <f t="shared" ca="1" si="13"/>
        <v>12127.02932897792</v>
      </c>
      <c r="G196">
        <f t="shared" ca="1" si="11"/>
        <v>0.40205108737603296</v>
      </c>
      <c r="H196">
        <f ca="1">INDEX(Aerodynamique!$T$6:$T$546,MATCH(G196,Aerodynamique!$Y$6:$Y$546,1))</f>
        <v>1.1000000000000081</v>
      </c>
      <c r="I196">
        <f ca="1">INDEX(Aerodynamique!$Z$6:$Z$546,MATCH(G196,Aerodynamique!$Y$6:$Y$546,1))</f>
        <v>1.369083648728925E-2</v>
      </c>
      <c r="J196">
        <f t="shared" ca="1" si="12"/>
        <v>4030.3609618928067</v>
      </c>
      <c r="K196" s="86">
        <f ca="1">INDEX(Aerodynamique!$AC$6:$AC$1006,MATCH(INDEX(Aerodynamique!$W$6:$W$546,MATCH(G196,Aerodynamique!$Y$6:$Y$546,1)),Aerodynamique!$AD$6:$AD$1006,-1))</f>
        <v>-4.2200000000000015</v>
      </c>
      <c r="L196">
        <f ca="1">Montée!$B$19*((E196-E195)/60)*J196/10</f>
        <v>12.886460249234148</v>
      </c>
      <c r="M196">
        <f t="shared" ca="1" si="14"/>
        <v>2579.0443921685846</v>
      </c>
    </row>
    <row r="197" spans="5:13">
      <c r="E197" s="210">
        <f t="shared" si="10"/>
        <v>192</v>
      </c>
      <c r="F197">
        <f t="shared" ca="1" si="13"/>
        <v>12114.142868728686</v>
      </c>
      <c r="G197">
        <f t="shared" ca="1" si="11"/>
        <v>0.40162385864465255</v>
      </c>
      <c r="H197">
        <f ca="1">INDEX(Aerodynamique!$T$6:$T$546,MATCH(G197,Aerodynamique!$Y$6:$Y$546,1))</f>
        <v>1.1000000000000081</v>
      </c>
      <c r="I197">
        <f ca="1">INDEX(Aerodynamique!$Z$6:$Z$546,MATCH(G197,Aerodynamique!$Y$6:$Y$546,1))</f>
        <v>1.369083648728925E-2</v>
      </c>
      <c r="J197">
        <f t="shared" ca="1" si="12"/>
        <v>4030.3609618928067</v>
      </c>
      <c r="K197" s="86">
        <f ca="1">INDEX(Aerodynamique!$AC$6:$AC$1006,MATCH(INDEX(Aerodynamique!$W$6:$W$546,MATCH(G197,Aerodynamique!$Y$6:$Y$546,1)),Aerodynamique!$AD$6:$AD$1006,-1))</f>
        <v>-4.2200000000000015</v>
      </c>
      <c r="L197">
        <f ca="1">Montée!$B$19*((E197-E196)/60)*J197/10</f>
        <v>12.886460249234148</v>
      </c>
      <c r="M197">
        <f t="shared" ca="1" si="14"/>
        <v>2591.9308524178186</v>
      </c>
    </row>
    <row r="198" spans="5:13">
      <c r="E198" s="210">
        <f t="shared" ref="E198:E261" si="15">E197+$E$3</f>
        <v>193</v>
      </c>
      <c r="F198">
        <f t="shared" ca="1" si="13"/>
        <v>12101.256408479452</v>
      </c>
      <c r="G198">
        <f t="shared" ref="G198:G261" ca="1" si="16">2*F198*g/(rho*V^2*SRef)</f>
        <v>0.40119662991327204</v>
      </c>
      <c r="H198">
        <f ca="1">INDEX(Aerodynamique!$T$6:$T$546,MATCH(G198,Aerodynamique!$Y$6:$Y$546,1))</f>
        <v>1.1000000000000081</v>
      </c>
      <c r="I198">
        <f ca="1">INDEX(Aerodynamique!$Z$6:$Z$546,MATCH(G198,Aerodynamique!$Y$6:$Y$546,1))</f>
        <v>1.369083648728925E-2</v>
      </c>
      <c r="J198">
        <f t="shared" ref="J198:J261" ca="1" si="17">(1/2)*rho*V^2*SRef*I198</f>
        <v>4030.3609618928067</v>
      </c>
      <c r="K198" s="86">
        <f ca="1">INDEX(Aerodynamique!$AC$6:$AC$1006,MATCH(INDEX(Aerodynamique!$W$6:$W$546,MATCH(G198,Aerodynamique!$Y$6:$Y$546,1)),Aerodynamique!$AD$6:$AD$1006,-1))</f>
        <v>-4.2200000000000015</v>
      </c>
      <c r="L198">
        <f ca="1">Montée!$B$19*((E198-E197)/60)*J198/10</f>
        <v>12.886460249234148</v>
      </c>
      <c r="M198">
        <f t="shared" ca="1" si="14"/>
        <v>2604.8173126670526</v>
      </c>
    </row>
    <row r="199" spans="5:13">
      <c r="E199" s="210">
        <f t="shared" si="15"/>
        <v>194</v>
      </c>
      <c r="F199">
        <f t="shared" ref="F199:F262" ca="1" si="18">F198-L198</f>
        <v>12088.369948230218</v>
      </c>
      <c r="G199">
        <f t="shared" ca="1" si="16"/>
        <v>0.40076940118189164</v>
      </c>
      <c r="H199">
        <f ca="1">INDEX(Aerodynamique!$T$6:$T$546,MATCH(G199,Aerodynamique!$Y$6:$Y$546,1))</f>
        <v>1.1000000000000081</v>
      </c>
      <c r="I199">
        <f ca="1">INDEX(Aerodynamique!$Z$6:$Z$546,MATCH(G199,Aerodynamique!$Y$6:$Y$546,1))</f>
        <v>1.369083648728925E-2</v>
      </c>
      <c r="J199">
        <f t="shared" ca="1" si="17"/>
        <v>4030.3609618928067</v>
      </c>
      <c r="K199" s="86">
        <f ca="1">INDEX(Aerodynamique!$AC$6:$AC$1006,MATCH(INDEX(Aerodynamique!$W$6:$W$546,MATCH(G199,Aerodynamique!$Y$6:$Y$546,1)),Aerodynamique!$AD$6:$AD$1006,-1))</f>
        <v>-4.2200000000000015</v>
      </c>
      <c r="L199">
        <f ca="1">Montée!$B$19*((E199-E198)/60)*J199/10</f>
        <v>12.886460249234148</v>
      </c>
      <c r="M199">
        <f t="shared" ca="1" si="14"/>
        <v>2617.7037729162867</v>
      </c>
    </row>
    <row r="200" spans="5:13">
      <c r="E200" s="210">
        <f t="shared" si="15"/>
        <v>195</v>
      </c>
      <c r="F200">
        <f t="shared" ca="1" si="18"/>
        <v>12075.483487980984</v>
      </c>
      <c r="G200">
        <f t="shared" ca="1" si="16"/>
        <v>0.40034217245051118</v>
      </c>
      <c r="H200">
        <f ca="1">INDEX(Aerodynamique!$T$6:$T$546,MATCH(G200,Aerodynamique!$Y$6:$Y$546,1))</f>
        <v>1.1000000000000081</v>
      </c>
      <c r="I200">
        <f ca="1">INDEX(Aerodynamique!$Z$6:$Z$546,MATCH(G200,Aerodynamique!$Y$6:$Y$546,1))</f>
        <v>1.369083648728925E-2</v>
      </c>
      <c r="J200">
        <f t="shared" ca="1" si="17"/>
        <v>4030.3609618928067</v>
      </c>
      <c r="K200" s="86">
        <f ca="1">INDEX(Aerodynamique!$AC$6:$AC$1006,MATCH(INDEX(Aerodynamique!$W$6:$W$546,MATCH(G200,Aerodynamique!$Y$6:$Y$546,1)),Aerodynamique!$AD$6:$AD$1006,-1))</f>
        <v>-4.2200000000000015</v>
      </c>
      <c r="L200">
        <f ca="1">Montée!$B$19*((E200-E199)/60)*J200/10</f>
        <v>12.886460249234148</v>
      </c>
      <c r="M200">
        <f t="shared" ref="M200:M263" ca="1" si="19">M199+L200</f>
        <v>2630.5902331655207</v>
      </c>
    </row>
    <row r="201" spans="5:13">
      <c r="E201" s="210">
        <f t="shared" si="15"/>
        <v>196</v>
      </c>
      <c r="F201">
        <f t="shared" ca="1" si="18"/>
        <v>12062.59702773175</v>
      </c>
      <c r="G201">
        <f t="shared" ca="1" si="16"/>
        <v>0.39991494371913078</v>
      </c>
      <c r="H201">
        <f ca="1">INDEX(Aerodynamique!$T$6:$T$546,MATCH(G201,Aerodynamique!$Y$6:$Y$546,1))</f>
        <v>1.050000000000008</v>
      </c>
      <c r="I201">
        <f ca="1">INDEX(Aerodynamique!$Z$6:$Z$546,MATCH(G201,Aerodynamique!$Y$6:$Y$546,1))</f>
        <v>1.3618912986048594E-2</v>
      </c>
      <c r="J201">
        <f t="shared" ca="1" si="17"/>
        <v>4009.1878457057778</v>
      </c>
      <c r="K201" s="86">
        <f ca="1">INDEX(Aerodynamique!$AC$6:$AC$1006,MATCH(INDEX(Aerodynamique!$W$6:$W$546,MATCH(G201,Aerodynamique!$Y$6:$Y$546,1)),Aerodynamique!$AD$6:$AD$1006,-1))</f>
        <v>-4.1800000000000024</v>
      </c>
      <c r="L201">
        <f ca="1">Montée!$B$19*((E201-E200)/60)*J201/10</f>
        <v>12.818762461696917</v>
      </c>
      <c r="M201">
        <f t="shared" ca="1" si="19"/>
        <v>2643.4089956272178</v>
      </c>
    </row>
    <row r="202" spans="5:13">
      <c r="E202" s="210">
        <f t="shared" si="15"/>
        <v>197</v>
      </c>
      <c r="F202">
        <f t="shared" ca="1" si="18"/>
        <v>12049.778265270053</v>
      </c>
      <c r="G202">
        <f t="shared" ca="1" si="16"/>
        <v>0.39948995939306625</v>
      </c>
      <c r="H202">
        <f ca="1">INDEX(Aerodynamique!$T$6:$T$546,MATCH(G202,Aerodynamique!$Y$6:$Y$546,1))</f>
        <v>1.050000000000008</v>
      </c>
      <c r="I202">
        <f ca="1">INDEX(Aerodynamique!$Z$6:$Z$546,MATCH(G202,Aerodynamique!$Y$6:$Y$546,1))</f>
        <v>1.3618912986048594E-2</v>
      </c>
      <c r="J202">
        <f t="shared" ca="1" si="17"/>
        <v>4009.1878457057778</v>
      </c>
      <c r="K202" s="86">
        <f ca="1">INDEX(Aerodynamique!$AC$6:$AC$1006,MATCH(INDEX(Aerodynamique!$W$6:$W$546,MATCH(G202,Aerodynamique!$Y$6:$Y$546,1)),Aerodynamique!$AD$6:$AD$1006,-1))</f>
        <v>-4.1800000000000024</v>
      </c>
      <c r="L202">
        <f ca="1">Montée!$B$19*((E202-E201)/60)*J202/10</f>
        <v>12.818762461696917</v>
      </c>
      <c r="M202">
        <f t="shared" ca="1" si="19"/>
        <v>2656.2277580889149</v>
      </c>
    </row>
    <row r="203" spans="5:13">
      <c r="E203" s="210">
        <f t="shared" si="15"/>
        <v>198</v>
      </c>
      <c r="F203">
        <f t="shared" ca="1" si="18"/>
        <v>12036.959502808357</v>
      </c>
      <c r="G203">
        <f t="shared" ca="1" si="16"/>
        <v>0.39906497506700173</v>
      </c>
      <c r="H203">
        <f ca="1">INDEX(Aerodynamique!$T$6:$T$546,MATCH(G203,Aerodynamique!$Y$6:$Y$546,1))</f>
        <v>1.050000000000008</v>
      </c>
      <c r="I203">
        <f ca="1">INDEX(Aerodynamique!$Z$6:$Z$546,MATCH(G203,Aerodynamique!$Y$6:$Y$546,1))</f>
        <v>1.3618912986048594E-2</v>
      </c>
      <c r="J203">
        <f t="shared" ca="1" si="17"/>
        <v>4009.1878457057778</v>
      </c>
      <c r="K203" s="86">
        <f ca="1">INDEX(Aerodynamique!$AC$6:$AC$1006,MATCH(INDEX(Aerodynamique!$W$6:$W$546,MATCH(G203,Aerodynamique!$Y$6:$Y$546,1)),Aerodynamique!$AD$6:$AD$1006,-1))</f>
        <v>-4.1800000000000024</v>
      </c>
      <c r="L203">
        <f ca="1">Montée!$B$19*((E203-E202)/60)*J203/10</f>
        <v>12.818762461696917</v>
      </c>
      <c r="M203">
        <f t="shared" ca="1" si="19"/>
        <v>2669.0465205506121</v>
      </c>
    </row>
    <row r="204" spans="5:13">
      <c r="E204" s="210">
        <f t="shared" si="15"/>
        <v>199</v>
      </c>
      <c r="F204">
        <f t="shared" ca="1" si="18"/>
        <v>12024.14074034666</v>
      </c>
      <c r="G204">
        <f t="shared" ca="1" si="16"/>
        <v>0.39863999074093726</v>
      </c>
      <c r="H204">
        <f ca="1">INDEX(Aerodynamique!$T$6:$T$546,MATCH(G204,Aerodynamique!$Y$6:$Y$546,1))</f>
        <v>1.050000000000008</v>
      </c>
      <c r="I204">
        <f ca="1">INDEX(Aerodynamique!$Z$6:$Z$546,MATCH(G204,Aerodynamique!$Y$6:$Y$546,1))</f>
        <v>1.3618912986048594E-2</v>
      </c>
      <c r="J204">
        <f t="shared" ca="1" si="17"/>
        <v>4009.1878457057778</v>
      </c>
      <c r="K204" s="86">
        <f ca="1">INDEX(Aerodynamique!$AC$6:$AC$1006,MATCH(INDEX(Aerodynamique!$W$6:$W$546,MATCH(G204,Aerodynamique!$Y$6:$Y$546,1)),Aerodynamique!$AD$6:$AD$1006,-1))</f>
        <v>-4.1800000000000024</v>
      </c>
      <c r="L204">
        <f ca="1">Montée!$B$19*((E204-E203)/60)*J204/10</f>
        <v>12.818762461696917</v>
      </c>
      <c r="M204">
        <f t="shared" ca="1" si="19"/>
        <v>2681.8652830123092</v>
      </c>
    </row>
    <row r="205" spans="5:13">
      <c r="E205" s="210">
        <f t="shared" si="15"/>
        <v>200</v>
      </c>
      <c r="F205">
        <f t="shared" ca="1" si="18"/>
        <v>12011.321977884963</v>
      </c>
      <c r="G205">
        <f t="shared" ca="1" si="16"/>
        <v>0.39821500641487279</v>
      </c>
      <c r="H205">
        <f ca="1">INDEX(Aerodynamique!$T$6:$T$546,MATCH(G205,Aerodynamique!$Y$6:$Y$546,1))</f>
        <v>1.050000000000008</v>
      </c>
      <c r="I205">
        <f ca="1">INDEX(Aerodynamique!$Z$6:$Z$546,MATCH(G205,Aerodynamique!$Y$6:$Y$546,1))</f>
        <v>1.3618912986048594E-2</v>
      </c>
      <c r="J205">
        <f t="shared" ca="1" si="17"/>
        <v>4009.1878457057778</v>
      </c>
      <c r="K205" s="86">
        <f ca="1">INDEX(Aerodynamique!$AC$6:$AC$1006,MATCH(INDEX(Aerodynamique!$W$6:$W$546,MATCH(G205,Aerodynamique!$Y$6:$Y$546,1)),Aerodynamique!$AD$6:$AD$1006,-1))</f>
        <v>-4.1800000000000024</v>
      </c>
      <c r="L205">
        <f ca="1">Montée!$B$19*((E205-E204)/60)*J205/10</f>
        <v>12.818762461696917</v>
      </c>
      <c r="M205">
        <f t="shared" ca="1" si="19"/>
        <v>2694.6840454740063</v>
      </c>
    </row>
    <row r="206" spans="5:13">
      <c r="E206" s="210">
        <f t="shared" si="15"/>
        <v>201</v>
      </c>
      <c r="F206">
        <f t="shared" ca="1" si="18"/>
        <v>11998.503215423267</v>
      </c>
      <c r="G206">
        <f t="shared" ca="1" si="16"/>
        <v>0.3977900220888082</v>
      </c>
      <c r="H206">
        <f ca="1">INDEX(Aerodynamique!$T$6:$T$546,MATCH(G206,Aerodynamique!$Y$6:$Y$546,1))</f>
        <v>1.050000000000008</v>
      </c>
      <c r="I206">
        <f ca="1">INDEX(Aerodynamique!$Z$6:$Z$546,MATCH(G206,Aerodynamique!$Y$6:$Y$546,1))</f>
        <v>1.3618912986048594E-2</v>
      </c>
      <c r="J206">
        <f t="shared" ca="1" si="17"/>
        <v>4009.1878457057778</v>
      </c>
      <c r="K206" s="86">
        <f ca="1">INDEX(Aerodynamique!$AC$6:$AC$1006,MATCH(INDEX(Aerodynamique!$W$6:$W$546,MATCH(G206,Aerodynamique!$Y$6:$Y$546,1)),Aerodynamique!$AD$6:$AD$1006,-1))</f>
        <v>-4.1800000000000024</v>
      </c>
      <c r="L206">
        <f ca="1">Montée!$B$19*((E206-E205)/60)*J206/10</f>
        <v>12.818762461696917</v>
      </c>
      <c r="M206">
        <f t="shared" ca="1" si="19"/>
        <v>2707.5028079357035</v>
      </c>
    </row>
    <row r="207" spans="5:13">
      <c r="E207" s="210">
        <f t="shared" si="15"/>
        <v>202</v>
      </c>
      <c r="F207">
        <f t="shared" ca="1" si="18"/>
        <v>11985.68445296157</v>
      </c>
      <c r="G207">
        <f t="shared" ca="1" si="16"/>
        <v>0.39736503776274373</v>
      </c>
      <c r="H207">
        <f ca="1">INDEX(Aerodynamique!$T$6:$T$546,MATCH(G207,Aerodynamique!$Y$6:$Y$546,1))</f>
        <v>1.050000000000008</v>
      </c>
      <c r="I207">
        <f ca="1">INDEX(Aerodynamique!$Z$6:$Z$546,MATCH(G207,Aerodynamique!$Y$6:$Y$546,1))</f>
        <v>1.3618912986048594E-2</v>
      </c>
      <c r="J207">
        <f t="shared" ca="1" si="17"/>
        <v>4009.1878457057778</v>
      </c>
      <c r="K207" s="86">
        <f ca="1">INDEX(Aerodynamique!$AC$6:$AC$1006,MATCH(INDEX(Aerodynamique!$W$6:$W$546,MATCH(G207,Aerodynamique!$Y$6:$Y$546,1)),Aerodynamique!$AD$6:$AD$1006,-1))</f>
        <v>-4.1800000000000024</v>
      </c>
      <c r="L207">
        <f ca="1">Montée!$B$19*((E207-E206)/60)*J207/10</f>
        <v>12.818762461696917</v>
      </c>
      <c r="M207">
        <f t="shared" ca="1" si="19"/>
        <v>2720.3215703974006</v>
      </c>
    </row>
    <row r="208" spans="5:13">
      <c r="E208" s="210">
        <f t="shared" si="15"/>
        <v>203</v>
      </c>
      <c r="F208">
        <f t="shared" ca="1" si="18"/>
        <v>11972.865690499873</v>
      </c>
      <c r="G208">
        <f t="shared" ca="1" si="16"/>
        <v>0.39694005343667921</v>
      </c>
      <c r="H208">
        <f ca="1">INDEX(Aerodynamique!$T$6:$T$546,MATCH(G208,Aerodynamique!$Y$6:$Y$546,1))</f>
        <v>1.050000000000008</v>
      </c>
      <c r="I208">
        <f ca="1">INDEX(Aerodynamique!$Z$6:$Z$546,MATCH(G208,Aerodynamique!$Y$6:$Y$546,1))</f>
        <v>1.3618912986048594E-2</v>
      </c>
      <c r="J208">
        <f t="shared" ca="1" si="17"/>
        <v>4009.1878457057778</v>
      </c>
      <c r="K208" s="86">
        <f ca="1">INDEX(Aerodynamique!$AC$6:$AC$1006,MATCH(INDEX(Aerodynamique!$W$6:$W$546,MATCH(G208,Aerodynamique!$Y$6:$Y$546,1)),Aerodynamique!$AD$6:$AD$1006,-1))</f>
        <v>-4.1800000000000024</v>
      </c>
      <c r="L208">
        <f ca="1">Montée!$B$19*((E208-E207)/60)*J208/10</f>
        <v>12.818762461696917</v>
      </c>
      <c r="M208">
        <f t="shared" ca="1" si="19"/>
        <v>2733.1403328590977</v>
      </c>
    </row>
    <row r="209" spans="5:13">
      <c r="E209" s="210">
        <f t="shared" si="15"/>
        <v>204</v>
      </c>
      <c r="F209">
        <f t="shared" ca="1" si="18"/>
        <v>11960.046928038177</v>
      </c>
      <c r="G209">
        <f t="shared" ca="1" si="16"/>
        <v>0.39651506911061468</v>
      </c>
      <c r="H209">
        <f ca="1">INDEX(Aerodynamique!$T$6:$T$546,MATCH(G209,Aerodynamique!$Y$6:$Y$546,1))</f>
        <v>1.050000000000008</v>
      </c>
      <c r="I209">
        <f ca="1">INDEX(Aerodynamique!$Z$6:$Z$546,MATCH(G209,Aerodynamique!$Y$6:$Y$546,1))</f>
        <v>1.3618912986048594E-2</v>
      </c>
      <c r="J209">
        <f t="shared" ca="1" si="17"/>
        <v>4009.1878457057778</v>
      </c>
      <c r="K209" s="86">
        <f ca="1">INDEX(Aerodynamique!$AC$6:$AC$1006,MATCH(INDEX(Aerodynamique!$W$6:$W$546,MATCH(G209,Aerodynamique!$Y$6:$Y$546,1)),Aerodynamique!$AD$6:$AD$1006,-1))</f>
        <v>-4.1800000000000024</v>
      </c>
      <c r="L209">
        <f ca="1">Montée!$B$19*((E209-E208)/60)*J209/10</f>
        <v>12.818762461696917</v>
      </c>
      <c r="M209">
        <f t="shared" ca="1" si="19"/>
        <v>2745.9590953207949</v>
      </c>
    </row>
    <row r="210" spans="5:13">
      <c r="E210" s="210">
        <f t="shared" si="15"/>
        <v>205</v>
      </c>
      <c r="F210">
        <f t="shared" ca="1" si="18"/>
        <v>11947.22816557648</v>
      </c>
      <c r="G210">
        <f t="shared" ca="1" si="16"/>
        <v>0.39609008478455021</v>
      </c>
      <c r="H210">
        <f ca="1">INDEX(Aerodynamique!$T$6:$T$546,MATCH(G210,Aerodynamique!$Y$6:$Y$546,1))</f>
        <v>1.050000000000008</v>
      </c>
      <c r="I210">
        <f ca="1">INDEX(Aerodynamique!$Z$6:$Z$546,MATCH(G210,Aerodynamique!$Y$6:$Y$546,1))</f>
        <v>1.3618912986048594E-2</v>
      </c>
      <c r="J210">
        <f t="shared" ca="1" si="17"/>
        <v>4009.1878457057778</v>
      </c>
      <c r="K210" s="86">
        <f ca="1">INDEX(Aerodynamique!$AC$6:$AC$1006,MATCH(INDEX(Aerodynamique!$W$6:$W$546,MATCH(G210,Aerodynamique!$Y$6:$Y$546,1)),Aerodynamique!$AD$6:$AD$1006,-1))</f>
        <v>-4.1800000000000024</v>
      </c>
      <c r="L210">
        <f ca="1">Montée!$B$19*((E210-E209)/60)*J210/10</f>
        <v>12.818762461696917</v>
      </c>
      <c r="M210">
        <f t="shared" ca="1" si="19"/>
        <v>2758.777857782492</v>
      </c>
    </row>
    <row r="211" spans="5:13">
      <c r="E211" s="210">
        <f t="shared" si="15"/>
        <v>206</v>
      </c>
      <c r="F211">
        <f t="shared" ca="1" si="18"/>
        <v>11934.409403114783</v>
      </c>
      <c r="G211">
        <f t="shared" ca="1" si="16"/>
        <v>0.39566510045848569</v>
      </c>
      <c r="H211">
        <f ca="1">INDEX(Aerodynamique!$T$6:$T$546,MATCH(G211,Aerodynamique!$Y$6:$Y$546,1))</f>
        <v>1.050000000000008</v>
      </c>
      <c r="I211">
        <f ca="1">INDEX(Aerodynamique!$Z$6:$Z$546,MATCH(G211,Aerodynamique!$Y$6:$Y$546,1))</f>
        <v>1.3618912986048594E-2</v>
      </c>
      <c r="J211">
        <f t="shared" ca="1" si="17"/>
        <v>4009.1878457057778</v>
      </c>
      <c r="K211" s="86">
        <f ca="1">INDEX(Aerodynamique!$AC$6:$AC$1006,MATCH(INDEX(Aerodynamique!$W$6:$W$546,MATCH(G211,Aerodynamique!$Y$6:$Y$546,1)),Aerodynamique!$AD$6:$AD$1006,-1))</f>
        <v>-4.1800000000000024</v>
      </c>
      <c r="L211">
        <f ca="1">Montée!$B$19*((E211-E210)/60)*J211/10</f>
        <v>12.818762461696917</v>
      </c>
      <c r="M211">
        <f t="shared" ca="1" si="19"/>
        <v>2771.5966202441891</v>
      </c>
    </row>
    <row r="212" spans="5:13">
      <c r="E212" s="210">
        <f t="shared" si="15"/>
        <v>207</v>
      </c>
      <c r="F212">
        <f t="shared" ca="1" si="18"/>
        <v>11921.590640653087</v>
      </c>
      <c r="G212">
        <f t="shared" ca="1" si="16"/>
        <v>0.39524011613242116</v>
      </c>
      <c r="H212">
        <f ca="1">INDEX(Aerodynamique!$T$6:$T$546,MATCH(G212,Aerodynamique!$Y$6:$Y$546,1))</f>
        <v>1.050000000000008</v>
      </c>
      <c r="I212">
        <f ca="1">INDEX(Aerodynamique!$Z$6:$Z$546,MATCH(G212,Aerodynamique!$Y$6:$Y$546,1))</f>
        <v>1.3618912986048594E-2</v>
      </c>
      <c r="J212">
        <f t="shared" ca="1" si="17"/>
        <v>4009.1878457057778</v>
      </c>
      <c r="K212" s="86">
        <f ca="1">INDEX(Aerodynamique!$AC$6:$AC$1006,MATCH(INDEX(Aerodynamique!$W$6:$W$546,MATCH(G212,Aerodynamique!$Y$6:$Y$546,1)),Aerodynamique!$AD$6:$AD$1006,-1))</f>
        <v>-4.1800000000000024</v>
      </c>
      <c r="L212">
        <f ca="1">Montée!$B$19*((E212-E211)/60)*J212/10</f>
        <v>12.818762461696917</v>
      </c>
      <c r="M212">
        <f t="shared" ca="1" si="19"/>
        <v>2784.4153827058863</v>
      </c>
    </row>
    <row r="213" spans="5:13">
      <c r="E213" s="210">
        <f t="shared" si="15"/>
        <v>208</v>
      </c>
      <c r="F213">
        <f t="shared" ca="1" si="18"/>
        <v>11908.77187819139</v>
      </c>
      <c r="G213">
        <f t="shared" ca="1" si="16"/>
        <v>0.39481513180635663</v>
      </c>
      <c r="H213">
        <f ca="1">INDEX(Aerodynamique!$T$6:$T$546,MATCH(G213,Aerodynamique!$Y$6:$Y$546,1))</f>
        <v>1.000000000000008</v>
      </c>
      <c r="I213">
        <f ca="1">INDEX(Aerodynamique!$Z$6:$Z$546,MATCH(G213,Aerodynamique!$Y$6:$Y$546,1))</f>
        <v>1.3548057294820096E-2</v>
      </c>
      <c r="J213">
        <f t="shared" ca="1" si="17"/>
        <v>3988.3290755261473</v>
      </c>
      <c r="K213" s="86">
        <f ca="1">INDEX(Aerodynamique!$AC$6:$AC$1006,MATCH(INDEX(Aerodynamique!$W$6:$W$546,MATCH(G213,Aerodynamique!$Y$6:$Y$546,1)),Aerodynamique!$AD$6:$AD$1006,-1))</f>
        <v>-4.1400000000000032</v>
      </c>
      <c r="L213">
        <f ca="1">Montée!$B$19*((E213-E212)/60)*J213/10</f>
        <v>12.752069747245486</v>
      </c>
      <c r="M213">
        <f t="shared" ca="1" si="19"/>
        <v>2797.1674524531318</v>
      </c>
    </row>
    <row r="214" spans="5:13">
      <c r="E214" s="210">
        <f t="shared" si="15"/>
        <v>209</v>
      </c>
      <c r="F214">
        <f t="shared" ca="1" si="18"/>
        <v>11896.019808444145</v>
      </c>
      <c r="G214">
        <f t="shared" ca="1" si="16"/>
        <v>0.39439235856411475</v>
      </c>
      <c r="H214">
        <f ca="1">INDEX(Aerodynamique!$T$6:$T$546,MATCH(G214,Aerodynamique!$Y$6:$Y$546,1))</f>
        <v>1.000000000000008</v>
      </c>
      <c r="I214">
        <f ca="1">INDEX(Aerodynamique!$Z$6:$Z$546,MATCH(G214,Aerodynamique!$Y$6:$Y$546,1))</f>
        <v>1.3548057294820096E-2</v>
      </c>
      <c r="J214">
        <f t="shared" ca="1" si="17"/>
        <v>3988.3290755261473</v>
      </c>
      <c r="K214" s="86">
        <f ca="1">INDEX(Aerodynamique!$AC$6:$AC$1006,MATCH(INDEX(Aerodynamique!$W$6:$W$546,MATCH(G214,Aerodynamique!$Y$6:$Y$546,1)),Aerodynamique!$AD$6:$AD$1006,-1))</f>
        <v>-4.1400000000000032</v>
      </c>
      <c r="L214">
        <f ca="1">Montée!$B$19*((E214-E213)/60)*J214/10</f>
        <v>12.752069747245486</v>
      </c>
      <c r="M214">
        <f t="shared" ca="1" si="19"/>
        <v>2809.9195222003773</v>
      </c>
    </row>
    <row r="215" spans="5:13">
      <c r="E215" s="210">
        <f t="shared" si="15"/>
        <v>210</v>
      </c>
      <c r="F215">
        <f t="shared" ca="1" si="18"/>
        <v>11883.267738696901</v>
      </c>
      <c r="G215">
        <f t="shared" ca="1" si="16"/>
        <v>0.39396958532187287</v>
      </c>
      <c r="H215">
        <f ca="1">INDEX(Aerodynamique!$T$6:$T$546,MATCH(G215,Aerodynamique!$Y$6:$Y$546,1))</f>
        <v>1.000000000000008</v>
      </c>
      <c r="I215">
        <f ca="1">INDEX(Aerodynamique!$Z$6:$Z$546,MATCH(G215,Aerodynamique!$Y$6:$Y$546,1))</f>
        <v>1.3548057294820096E-2</v>
      </c>
      <c r="J215">
        <f t="shared" ca="1" si="17"/>
        <v>3988.3290755261473</v>
      </c>
      <c r="K215" s="86">
        <f ca="1">INDEX(Aerodynamique!$AC$6:$AC$1006,MATCH(INDEX(Aerodynamique!$W$6:$W$546,MATCH(G215,Aerodynamique!$Y$6:$Y$546,1)),Aerodynamique!$AD$6:$AD$1006,-1))</f>
        <v>-4.1400000000000032</v>
      </c>
      <c r="L215">
        <f ca="1">Montée!$B$19*((E215-E214)/60)*J215/10</f>
        <v>12.752069747245486</v>
      </c>
      <c r="M215">
        <f t="shared" ca="1" si="19"/>
        <v>2822.6715919476228</v>
      </c>
    </row>
    <row r="216" spans="5:13">
      <c r="E216" s="210">
        <f t="shared" si="15"/>
        <v>211</v>
      </c>
      <c r="F216">
        <f t="shared" ca="1" si="18"/>
        <v>11870.515668949656</v>
      </c>
      <c r="G216">
        <f t="shared" ca="1" si="16"/>
        <v>0.39354681207963094</v>
      </c>
      <c r="H216">
        <f ca="1">INDEX(Aerodynamique!$T$6:$T$546,MATCH(G216,Aerodynamique!$Y$6:$Y$546,1))</f>
        <v>1.000000000000008</v>
      </c>
      <c r="I216">
        <f ca="1">INDEX(Aerodynamique!$Z$6:$Z$546,MATCH(G216,Aerodynamique!$Y$6:$Y$546,1))</f>
        <v>1.3548057294820096E-2</v>
      </c>
      <c r="J216">
        <f t="shared" ca="1" si="17"/>
        <v>3988.3290755261473</v>
      </c>
      <c r="K216" s="86">
        <f ca="1">INDEX(Aerodynamique!$AC$6:$AC$1006,MATCH(INDEX(Aerodynamique!$W$6:$W$546,MATCH(G216,Aerodynamique!$Y$6:$Y$546,1)),Aerodynamique!$AD$6:$AD$1006,-1))</f>
        <v>-4.1400000000000032</v>
      </c>
      <c r="L216">
        <f ca="1">Montée!$B$19*((E216-E215)/60)*J216/10</f>
        <v>12.752069747245486</v>
      </c>
      <c r="M216">
        <f t="shared" ca="1" si="19"/>
        <v>2835.4236616948683</v>
      </c>
    </row>
    <row r="217" spans="5:13">
      <c r="E217" s="210">
        <f t="shared" si="15"/>
        <v>212</v>
      </c>
      <c r="F217">
        <f t="shared" ca="1" si="18"/>
        <v>11857.763599202412</v>
      </c>
      <c r="G217">
        <f t="shared" ca="1" si="16"/>
        <v>0.39312403883738906</v>
      </c>
      <c r="H217">
        <f ca="1">INDEX(Aerodynamique!$T$6:$T$546,MATCH(G217,Aerodynamique!$Y$6:$Y$546,1))</f>
        <v>1.000000000000008</v>
      </c>
      <c r="I217">
        <f ca="1">INDEX(Aerodynamique!$Z$6:$Z$546,MATCH(G217,Aerodynamique!$Y$6:$Y$546,1))</f>
        <v>1.3548057294820096E-2</v>
      </c>
      <c r="J217">
        <f t="shared" ca="1" si="17"/>
        <v>3988.3290755261473</v>
      </c>
      <c r="K217" s="86">
        <f ca="1">INDEX(Aerodynamique!$AC$6:$AC$1006,MATCH(INDEX(Aerodynamique!$W$6:$W$546,MATCH(G217,Aerodynamique!$Y$6:$Y$546,1)),Aerodynamique!$AD$6:$AD$1006,-1))</f>
        <v>-4.1400000000000032</v>
      </c>
      <c r="L217">
        <f ca="1">Montée!$B$19*((E217-E216)/60)*J217/10</f>
        <v>12.752069747245486</v>
      </c>
      <c r="M217">
        <f t="shared" ca="1" si="19"/>
        <v>2848.1757314421138</v>
      </c>
    </row>
    <row r="218" spans="5:13">
      <c r="E218" s="210">
        <f t="shared" si="15"/>
        <v>213</v>
      </c>
      <c r="F218">
        <f t="shared" ca="1" si="18"/>
        <v>11845.011529455167</v>
      </c>
      <c r="G218">
        <f t="shared" ca="1" si="16"/>
        <v>0.39270126559514712</v>
      </c>
      <c r="H218">
        <f ca="1">INDEX(Aerodynamique!$T$6:$T$546,MATCH(G218,Aerodynamique!$Y$6:$Y$546,1))</f>
        <v>1.000000000000008</v>
      </c>
      <c r="I218">
        <f ca="1">INDEX(Aerodynamique!$Z$6:$Z$546,MATCH(G218,Aerodynamique!$Y$6:$Y$546,1))</f>
        <v>1.3548057294820096E-2</v>
      </c>
      <c r="J218">
        <f t="shared" ca="1" si="17"/>
        <v>3988.3290755261473</v>
      </c>
      <c r="K218" s="86">
        <f ca="1">INDEX(Aerodynamique!$AC$6:$AC$1006,MATCH(INDEX(Aerodynamique!$W$6:$W$546,MATCH(G218,Aerodynamique!$Y$6:$Y$546,1)),Aerodynamique!$AD$6:$AD$1006,-1))</f>
        <v>-4.1400000000000032</v>
      </c>
      <c r="L218">
        <f ca="1">Montée!$B$19*((E218-E217)/60)*J218/10</f>
        <v>12.752069747245486</v>
      </c>
      <c r="M218">
        <f t="shared" ca="1" si="19"/>
        <v>2860.9278011893593</v>
      </c>
    </row>
    <row r="219" spans="5:13">
      <c r="E219" s="210">
        <f t="shared" si="15"/>
        <v>214</v>
      </c>
      <c r="F219">
        <f t="shared" ca="1" si="18"/>
        <v>11832.259459707922</v>
      </c>
      <c r="G219">
        <f t="shared" ca="1" si="16"/>
        <v>0.39227849235290518</v>
      </c>
      <c r="H219">
        <f ca="1">INDEX(Aerodynamique!$T$6:$T$546,MATCH(G219,Aerodynamique!$Y$6:$Y$546,1))</f>
        <v>1.000000000000008</v>
      </c>
      <c r="I219">
        <f ca="1">INDEX(Aerodynamique!$Z$6:$Z$546,MATCH(G219,Aerodynamique!$Y$6:$Y$546,1))</f>
        <v>1.3548057294820096E-2</v>
      </c>
      <c r="J219">
        <f t="shared" ca="1" si="17"/>
        <v>3988.3290755261473</v>
      </c>
      <c r="K219" s="86">
        <f ca="1">INDEX(Aerodynamique!$AC$6:$AC$1006,MATCH(INDEX(Aerodynamique!$W$6:$W$546,MATCH(G219,Aerodynamique!$Y$6:$Y$546,1)),Aerodynamique!$AD$6:$AD$1006,-1))</f>
        <v>-4.1400000000000032</v>
      </c>
      <c r="L219">
        <f ca="1">Montée!$B$19*((E219-E218)/60)*J219/10</f>
        <v>12.752069747245486</v>
      </c>
      <c r="M219">
        <f t="shared" ca="1" si="19"/>
        <v>2873.6798709366049</v>
      </c>
    </row>
    <row r="220" spans="5:13">
      <c r="E220" s="210">
        <f t="shared" si="15"/>
        <v>215</v>
      </c>
      <c r="F220">
        <f t="shared" ca="1" si="18"/>
        <v>11819.507389960678</v>
      </c>
      <c r="G220">
        <f t="shared" ca="1" si="16"/>
        <v>0.3918557191106633</v>
      </c>
      <c r="H220">
        <f ca="1">INDEX(Aerodynamique!$T$6:$T$546,MATCH(G220,Aerodynamique!$Y$6:$Y$546,1))</f>
        <v>1.000000000000008</v>
      </c>
      <c r="I220">
        <f ca="1">INDEX(Aerodynamique!$Z$6:$Z$546,MATCH(G220,Aerodynamique!$Y$6:$Y$546,1))</f>
        <v>1.3548057294820096E-2</v>
      </c>
      <c r="J220">
        <f t="shared" ca="1" si="17"/>
        <v>3988.3290755261473</v>
      </c>
      <c r="K220" s="86">
        <f ca="1">INDEX(Aerodynamique!$AC$6:$AC$1006,MATCH(INDEX(Aerodynamique!$W$6:$W$546,MATCH(G220,Aerodynamique!$Y$6:$Y$546,1)),Aerodynamique!$AD$6:$AD$1006,-1))</f>
        <v>-4.1400000000000032</v>
      </c>
      <c r="L220">
        <f ca="1">Montée!$B$19*((E220-E219)/60)*J220/10</f>
        <v>12.752069747245486</v>
      </c>
      <c r="M220">
        <f t="shared" ca="1" si="19"/>
        <v>2886.4319406838504</v>
      </c>
    </row>
    <row r="221" spans="5:13">
      <c r="E221" s="210">
        <f t="shared" si="15"/>
        <v>216</v>
      </c>
      <c r="F221">
        <f t="shared" ca="1" si="18"/>
        <v>11806.755320213433</v>
      </c>
      <c r="G221">
        <f t="shared" ca="1" si="16"/>
        <v>0.39143294586842137</v>
      </c>
      <c r="H221">
        <f ca="1">INDEX(Aerodynamique!$T$6:$T$546,MATCH(G221,Aerodynamique!$Y$6:$Y$546,1))</f>
        <v>1.000000000000008</v>
      </c>
      <c r="I221">
        <f ca="1">INDEX(Aerodynamique!$Z$6:$Z$546,MATCH(G221,Aerodynamique!$Y$6:$Y$546,1))</f>
        <v>1.3548057294820096E-2</v>
      </c>
      <c r="J221">
        <f t="shared" ca="1" si="17"/>
        <v>3988.3290755261473</v>
      </c>
      <c r="K221" s="86">
        <f ca="1">INDEX(Aerodynamique!$AC$6:$AC$1006,MATCH(INDEX(Aerodynamique!$W$6:$W$546,MATCH(G221,Aerodynamique!$Y$6:$Y$546,1)),Aerodynamique!$AD$6:$AD$1006,-1))</f>
        <v>-4.1400000000000032</v>
      </c>
      <c r="L221">
        <f ca="1">Montée!$B$19*((E221-E220)/60)*J221/10</f>
        <v>12.752069747245486</v>
      </c>
      <c r="M221">
        <f t="shared" ca="1" si="19"/>
        <v>2899.1840104310959</v>
      </c>
    </row>
    <row r="222" spans="5:13">
      <c r="E222" s="210">
        <f t="shared" si="15"/>
        <v>217</v>
      </c>
      <c r="F222">
        <f t="shared" ca="1" si="18"/>
        <v>11794.003250466189</v>
      </c>
      <c r="G222">
        <f t="shared" ca="1" si="16"/>
        <v>0.39101017262617949</v>
      </c>
      <c r="H222">
        <f ca="1">INDEX(Aerodynamique!$T$6:$T$546,MATCH(G222,Aerodynamique!$Y$6:$Y$546,1))</f>
        <v>1.000000000000008</v>
      </c>
      <c r="I222">
        <f ca="1">INDEX(Aerodynamique!$Z$6:$Z$546,MATCH(G222,Aerodynamique!$Y$6:$Y$546,1))</f>
        <v>1.3548057294820096E-2</v>
      </c>
      <c r="J222">
        <f t="shared" ca="1" si="17"/>
        <v>3988.3290755261473</v>
      </c>
      <c r="K222" s="86">
        <f ca="1">INDEX(Aerodynamique!$AC$6:$AC$1006,MATCH(INDEX(Aerodynamique!$W$6:$W$546,MATCH(G222,Aerodynamique!$Y$6:$Y$546,1)),Aerodynamique!$AD$6:$AD$1006,-1))</f>
        <v>-4.1400000000000032</v>
      </c>
      <c r="L222">
        <f ca="1">Montée!$B$19*((E222-E221)/60)*J222/10</f>
        <v>12.752069747245486</v>
      </c>
      <c r="M222">
        <f t="shared" ca="1" si="19"/>
        <v>2911.9360801783414</v>
      </c>
    </row>
    <row r="223" spans="5:13">
      <c r="E223" s="210">
        <f t="shared" si="15"/>
        <v>218</v>
      </c>
      <c r="F223">
        <f t="shared" ca="1" si="18"/>
        <v>11781.251180718944</v>
      </c>
      <c r="G223">
        <f t="shared" ca="1" si="16"/>
        <v>0.39058739938393761</v>
      </c>
      <c r="H223">
        <f ca="1">INDEX(Aerodynamique!$T$6:$T$546,MATCH(G223,Aerodynamique!$Y$6:$Y$546,1))</f>
        <v>1.000000000000008</v>
      </c>
      <c r="I223">
        <f ca="1">INDEX(Aerodynamique!$Z$6:$Z$546,MATCH(G223,Aerodynamique!$Y$6:$Y$546,1))</f>
        <v>1.3548057294820096E-2</v>
      </c>
      <c r="J223">
        <f t="shared" ca="1" si="17"/>
        <v>3988.3290755261473</v>
      </c>
      <c r="K223" s="86">
        <f ca="1">INDEX(Aerodynamique!$AC$6:$AC$1006,MATCH(INDEX(Aerodynamique!$W$6:$W$546,MATCH(G223,Aerodynamique!$Y$6:$Y$546,1)),Aerodynamique!$AD$6:$AD$1006,-1))</f>
        <v>-4.1400000000000032</v>
      </c>
      <c r="L223">
        <f ca="1">Montée!$B$19*((E223-E222)/60)*J223/10</f>
        <v>12.752069747245486</v>
      </c>
      <c r="M223">
        <f t="shared" ca="1" si="19"/>
        <v>2924.6881499255869</v>
      </c>
    </row>
    <row r="224" spans="5:13">
      <c r="E224" s="210">
        <f t="shared" si="15"/>
        <v>219</v>
      </c>
      <c r="F224">
        <f t="shared" ca="1" si="18"/>
        <v>11768.499110971699</v>
      </c>
      <c r="G224">
        <f t="shared" ca="1" si="16"/>
        <v>0.39016462614169567</v>
      </c>
      <c r="H224">
        <f ca="1">INDEX(Aerodynamique!$T$6:$T$546,MATCH(G224,Aerodynamique!$Y$6:$Y$546,1))</f>
        <v>0.95000000000000806</v>
      </c>
      <c r="I224">
        <f ca="1">INDEX(Aerodynamique!$Z$6:$Z$546,MATCH(G224,Aerodynamique!$Y$6:$Y$546,1))</f>
        <v>1.3478269413603758E-2</v>
      </c>
      <c r="J224">
        <f t="shared" ca="1" si="17"/>
        <v>3967.7846513539153</v>
      </c>
      <c r="K224" s="86">
        <f ca="1">INDEX(Aerodynamique!$AC$6:$AC$1006,MATCH(INDEX(Aerodynamique!$W$6:$W$546,MATCH(G224,Aerodynamique!$Y$6:$Y$546,1)),Aerodynamique!$AD$6:$AD$1006,-1))</f>
        <v>-4.1000000000000041</v>
      </c>
      <c r="L224">
        <f ca="1">Montée!$B$19*((E224-E223)/60)*J224/10</f>
        <v>12.686382105879849</v>
      </c>
      <c r="M224">
        <f t="shared" ca="1" si="19"/>
        <v>2937.374532031467</v>
      </c>
    </row>
    <row r="225" spans="5:13">
      <c r="E225" s="210">
        <f t="shared" si="15"/>
        <v>220</v>
      </c>
      <c r="F225">
        <f t="shared" ca="1" si="18"/>
        <v>11755.81272886582</v>
      </c>
      <c r="G225">
        <f t="shared" ca="1" si="16"/>
        <v>0.38974403066178298</v>
      </c>
      <c r="H225">
        <f ca="1">INDEX(Aerodynamique!$T$6:$T$546,MATCH(G225,Aerodynamique!$Y$6:$Y$546,1))</f>
        <v>0.95000000000000806</v>
      </c>
      <c r="I225">
        <f ca="1">INDEX(Aerodynamique!$Z$6:$Z$546,MATCH(G225,Aerodynamique!$Y$6:$Y$546,1))</f>
        <v>1.3478269413603758E-2</v>
      </c>
      <c r="J225">
        <f t="shared" ca="1" si="17"/>
        <v>3967.7846513539153</v>
      </c>
      <c r="K225" s="86">
        <f ca="1">INDEX(Aerodynamique!$AC$6:$AC$1006,MATCH(INDEX(Aerodynamique!$W$6:$W$546,MATCH(G225,Aerodynamique!$Y$6:$Y$546,1)),Aerodynamique!$AD$6:$AD$1006,-1))</f>
        <v>-4.1000000000000041</v>
      </c>
      <c r="L225">
        <f ca="1">Montée!$B$19*((E225-E224)/60)*J225/10</f>
        <v>12.686382105879849</v>
      </c>
      <c r="M225">
        <f t="shared" ca="1" si="19"/>
        <v>2950.060914137347</v>
      </c>
    </row>
    <row r="226" spans="5:13">
      <c r="E226" s="210">
        <f t="shared" si="15"/>
        <v>221</v>
      </c>
      <c r="F226">
        <f t="shared" ca="1" si="18"/>
        <v>11743.12634675994</v>
      </c>
      <c r="G226">
        <f t="shared" ca="1" si="16"/>
        <v>0.38932343518187029</v>
      </c>
      <c r="H226">
        <f ca="1">INDEX(Aerodynamique!$T$6:$T$546,MATCH(G226,Aerodynamique!$Y$6:$Y$546,1))</f>
        <v>0.95000000000000806</v>
      </c>
      <c r="I226">
        <f ca="1">INDEX(Aerodynamique!$Z$6:$Z$546,MATCH(G226,Aerodynamique!$Y$6:$Y$546,1))</f>
        <v>1.3478269413603758E-2</v>
      </c>
      <c r="J226">
        <f t="shared" ca="1" si="17"/>
        <v>3967.7846513539153</v>
      </c>
      <c r="K226" s="86">
        <f ca="1">INDEX(Aerodynamique!$AC$6:$AC$1006,MATCH(INDEX(Aerodynamique!$W$6:$W$546,MATCH(G226,Aerodynamique!$Y$6:$Y$546,1)),Aerodynamique!$AD$6:$AD$1006,-1))</f>
        <v>-4.1000000000000041</v>
      </c>
      <c r="L226">
        <f ca="1">Montée!$B$19*((E226-E225)/60)*J226/10</f>
        <v>12.686382105879849</v>
      </c>
      <c r="M226">
        <f t="shared" ca="1" si="19"/>
        <v>2962.7472962432271</v>
      </c>
    </row>
    <row r="227" spans="5:13">
      <c r="E227" s="210">
        <f t="shared" si="15"/>
        <v>222</v>
      </c>
      <c r="F227">
        <f t="shared" ca="1" si="18"/>
        <v>11730.439964654061</v>
      </c>
      <c r="G227">
        <f t="shared" ca="1" si="16"/>
        <v>0.3889028397019576</v>
      </c>
      <c r="H227">
        <f ca="1">INDEX(Aerodynamique!$T$6:$T$546,MATCH(G227,Aerodynamique!$Y$6:$Y$546,1))</f>
        <v>0.95000000000000806</v>
      </c>
      <c r="I227">
        <f ca="1">INDEX(Aerodynamique!$Z$6:$Z$546,MATCH(G227,Aerodynamique!$Y$6:$Y$546,1))</f>
        <v>1.3478269413603758E-2</v>
      </c>
      <c r="J227">
        <f t="shared" ca="1" si="17"/>
        <v>3967.7846513539153</v>
      </c>
      <c r="K227" s="86">
        <f ca="1">INDEX(Aerodynamique!$AC$6:$AC$1006,MATCH(INDEX(Aerodynamique!$W$6:$W$546,MATCH(G227,Aerodynamique!$Y$6:$Y$546,1)),Aerodynamique!$AD$6:$AD$1006,-1))</f>
        <v>-4.1000000000000041</v>
      </c>
      <c r="L227">
        <f ca="1">Montée!$B$19*((E227-E226)/60)*J227/10</f>
        <v>12.686382105879849</v>
      </c>
      <c r="M227">
        <f t="shared" ca="1" si="19"/>
        <v>2975.4336783491071</v>
      </c>
    </row>
    <row r="228" spans="5:13">
      <c r="E228" s="210">
        <f t="shared" si="15"/>
        <v>223</v>
      </c>
      <c r="F228">
        <f t="shared" ca="1" si="18"/>
        <v>11717.753582548181</v>
      </c>
      <c r="G228">
        <f t="shared" ca="1" si="16"/>
        <v>0.38848224422204491</v>
      </c>
      <c r="H228">
        <f ca="1">INDEX(Aerodynamique!$T$6:$T$546,MATCH(G228,Aerodynamique!$Y$6:$Y$546,1))</f>
        <v>0.95000000000000806</v>
      </c>
      <c r="I228">
        <f ca="1">INDEX(Aerodynamique!$Z$6:$Z$546,MATCH(G228,Aerodynamique!$Y$6:$Y$546,1))</f>
        <v>1.3478269413603758E-2</v>
      </c>
      <c r="J228">
        <f t="shared" ca="1" si="17"/>
        <v>3967.7846513539153</v>
      </c>
      <c r="K228" s="86">
        <f ca="1">INDEX(Aerodynamique!$AC$6:$AC$1006,MATCH(INDEX(Aerodynamique!$W$6:$W$546,MATCH(G228,Aerodynamique!$Y$6:$Y$546,1)),Aerodynamique!$AD$6:$AD$1006,-1))</f>
        <v>-4.1000000000000041</v>
      </c>
      <c r="L228">
        <f ca="1">Montée!$B$19*((E228-E227)/60)*J228/10</f>
        <v>12.686382105879849</v>
      </c>
      <c r="M228">
        <f t="shared" ca="1" si="19"/>
        <v>2988.1200604549872</v>
      </c>
    </row>
    <row r="229" spans="5:13">
      <c r="E229" s="210">
        <f t="shared" si="15"/>
        <v>224</v>
      </c>
      <c r="F229">
        <f t="shared" ca="1" si="18"/>
        <v>11705.067200442301</v>
      </c>
      <c r="G229">
        <f t="shared" ca="1" si="16"/>
        <v>0.38806164874213223</v>
      </c>
      <c r="H229">
        <f ca="1">INDEX(Aerodynamique!$T$6:$T$546,MATCH(G229,Aerodynamique!$Y$6:$Y$546,1))</f>
        <v>0.95000000000000806</v>
      </c>
      <c r="I229">
        <f ca="1">INDEX(Aerodynamique!$Z$6:$Z$546,MATCH(G229,Aerodynamique!$Y$6:$Y$546,1))</f>
        <v>1.3478269413603758E-2</v>
      </c>
      <c r="J229">
        <f t="shared" ca="1" si="17"/>
        <v>3967.7846513539153</v>
      </c>
      <c r="K229" s="86">
        <f ca="1">INDEX(Aerodynamique!$AC$6:$AC$1006,MATCH(INDEX(Aerodynamique!$W$6:$W$546,MATCH(G229,Aerodynamique!$Y$6:$Y$546,1)),Aerodynamique!$AD$6:$AD$1006,-1))</f>
        <v>-4.1000000000000041</v>
      </c>
      <c r="L229">
        <f ca="1">Montée!$B$19*((E229-E228)/60)*J229/10</f>
        <v>12.686382105879849</v>
      </c>
      <c r="M229">
        <f t="shared" ca="1" si="19"/>
        <v>3000.8064425608673</v>
      </c>
    </row>
    <row r="230" spans="5:13">
      <c r="E230" s="210">
        <f t="shared" si="15"/>
        <v>225</v>
      </c>
      <c r="F230">
        <f t="shared" ca="1" si="18"/>
        <v>11692.380818336422</v>
      </c>
      <c r="G230">
        <f t="shared" ca="1" si="16"/>
        <v>0.38764105326221954</v>
      </c>
      <c r="H230">
        <f ca="1">INDEX(Aerodynamique!$T$6:$T$546,MATCH(G230,Aerodynamique!$Y$6:$Y$546,1))</f>
        <v>0.95000000000000806</v>
      </c>
      <c r="I230">
        <f ca="1">INDEX(Aerodynamique!$Z$6:$Z$546,MATCH(G230,Aerodynamique!$Y$6:$Y$546,1))</f>
        <v>1.3478269413603758E-2</v>
      </c>
      <c r="J230">
        <f t="shared" ca="1" si="17"/>
        <v>3967.7846513539153</v>
      </c>
      <c r="K230" s="86">
        <f ca="1">INDEX(Aerodynamique!$AC$6:$AC$1006,MATCH(INDEX(Aerodynamique!$W$6:$W$546,MATCH(G230,Aerodynamique!$Y$6:$Y$546,1)),Aerodynamique!$AD$6:$AD$1006,-1))</f>
        <v>-4.1000000000000041</v>
      </c>
      <c r="L230">
        <f ca="1">Montée!$B$19*((E230-E229)/60)*J230/10</f>
        <v>12.686382105879849</v>
      </c>
      <c r="M230">
        <f t="shared" ca="1" si="19"/>
        <v>3013.4928246667473</v>
      </c>
    </row>
    <row r="231" spans="5:13">
      <c r="E231" s="210">
        <f t="shared" si="15"/>
        <v>226</v>
      </c>
      <c r="F231">
        <f t="shared" ca="1" si="18"/>
        <v>11679.694436230542</v>
      </c>
      <c r="G231">
        <f t="shared" ca="1" si="16"/>
        <v>0.38722045778230685</v>
      </c>
      <c r="H231">
        <f ca="1">INDEX(Aerodynamique!$T$6:$T$546,MATCH(G231,Aerodynamique!$Y$6:$Y$546,1))</f>
        <v>0.95000000000000806</v>
      </c>
      <c r="I231">
        <f ca="1">INDEX(Aerodynamique!$Z$6:$Z$546,MATCH(G231,Aerodynamique!$Y$6:$Y$546,1))</f>
        <v>1.3478269413603758E-2</v>
      </c>
      <c r="J231">
        <f t="shared" ca="1" si="17"/>
        <v>3967.7846513539153</v>
      </c>
      <c r="K231" s="86">
        <f ca="1">INDEX(Aerodynamique!$AC$6:$AC$1006,MATCH(INDEX(Aerodynamique!$W$6:$W$546,MATCH(G231,Aerodynamique!$Y$6:$Y$546,1)),Aerodynamique!$AD$6:$AD$1006,-1))</f>
        <v>-4.1000000000000041</v>
      </c>
      <c r="L231">
        <f ca="1">Montée!$B$19*((E231-E230)/60)*J231/10</f>
        <v>12.686382105879849</v>
      </c>
      <c r="M231">
        <f t="shared" ca="1" si="19"/>
        <v>3026.1792067726274</v>
      </c>
    </row>
    <row r="232" spans="5:13">
      <c r="E232" s="210">
        <f t="shared" si="15"/>
        <v>227</v>
      </c>
      <c r="F232">
        <f t="shared" ca="1" si="18"/>
        <v>11667.008054124663</v>
      </c>
      <c r="G232">
        <f t="shared" ca="1" si="16"/>
        <v>0.38679986230239416</v>
      </c>
      <c r="H232">
        <f ca="1">INDEX(Aerodynamique!$T$6:$T$546,MATCH(G232,Aerodynamique!$Y$6:$Y$546,1))</f>
        <v>0.95000000000000806</v>
      </c>
      <c r="I232">
        <f ca="1">INDEX(Aerodynamique!$Z$6:$Z$546,MATCH(G232,Aerodynamique!$Y$6:$Y$546,1))</f>
        <v>1.3478269413603758E-2</v>
      </c>
      <c r="J232">
        <f t="shared" ca="1" si="17"/>
        <v>3967.7846513539153</v>
      </c>
      <c r="K232" s="86">
        <f ca="1">INDEX(Aerodynamique!$AC$6:$AC$1006,MATCH(INDEX(Aerodynamique!$W$6:$W$546,MATCH(G232,Aerodynamique!$Y$6:$Y$546,1)),Aerodynamique!$AD$6:$AD$1006,-1))</f>
        <v>-4.1000000000000041</v>
      </c>
      <c r="L232">
        <f ca="1">Montée!$B$19*((E232-E231)/60)*J232/10</f>
        <v>12.686382105879849</v>
      </c>
      <c r="M232">
        <f t="shared" ca="1" si="19"/>
        <v>3038.8655888785074</v>
      </c>
    </row>
    <row r="233" spans="5:13">
      <c r="E233" s="210">
        <f t="shared" si="15"/>
        <v>228</v>
      </c>
      <c r="F233">
        <f t="shared" ca="1" si="18"/>
        <v>11654.321672018783</v>
      </c>
      <c r="G233">
        <f t="shared" ca="1" si="16"/>
        <v>0.38637926682248147</v>
      </c>
      <c r="H233">
        <f ca="1">INDEX(Aerodynamique!$T$6:$T$546,MATCH(G233,Aerodynamique!$Y$6:$Y$546,1))</f>
        <v>0.95000000000000806</v>
      </c>
      <c r="I233">
        <f ca="1">INDEX(Aerodynamique!$Z$6:$Z$546,MATCH(G233,Aerodynamique!$Y$6:$Y$546,1))</f>
        <v>1.3478269413603758E-2</v>
      </c>
      <c r="J233">
        <f t="shared" ca="1" si="17"/>
        <v>3967.7846513539153</v>
      </c>
      <c r="K233" s="86">
        <f ca="1">INDEX(Aerodynamique!$AC$6:$AC$1006,MATCH(INDEX(Aerodynamique!$W$6:$W$546,MATCH(G233,Aerodynamique!$Y$6:$Y$546,1)),Aerodynamique!$AD$6:$AD$1006,-1))</f>
        <v>-4.1000000000000041</v>
      </c>
      <c r="L233">
        <f ca="1">Montée!$B$19*((E233-E232)/60)*J233/10</f>
        <v>12.686382105879849</v>
      </c>
      <c r="M233">
        <f t="shared" ca="1" si="19"/>
        <v>3051.5519709843875</v>
      </c>
    </row>
    <row r="234" spans="5:13">
      <c r="E234" s="210">
        <f t="shared" si="15"/>
        <v>229</v>
      </c>
      <c r="F234">
        <f t="shared" ca="1" si="18"/>
        <v>11641.635289912903</v>
      </c>
      <c r="G234">
        <f t="shared" ca="1" si="16"/>
        <v>0.38595867134256873</v>
      </c>
      <c r="H234">
        <f ca="1">INDEX(Aerodynamique!$T$6:$T$546,MATCH(G234,Aerodynamique!$Y$6:$Y$546,1))</f>
        <v>0.95000000000000806</v>
      </c>
      <c r="I234">
        <f ca="1">INDEX(Aerodynamique!$Z$6:$Z$546,MATCH(G234,Aerodynamique!$Y$6:$Y$546,1))</f>
        <v>1.3478269413603758E-2</v>
      </c>
      <c r="J234">
        <f t="shared" ca="1" si="17"/>
        <v>3967.7846513539153</v>
      </c>
      <c r="K234" s="86">
        <f ca="1">INDEX(Aerodynamique!$AC$6:$AC$1006,MATCH(INDEX(Aerodynamique!$W$6:$W$546,MATCH(G234,Aerodynamique!$Y$6:$Y$546,1)),Aerodynamique!$AD$6:$AD$1006,-1))</f>
        <v>-4.1000000000000041</v>
      </c>
      <c r="L234">
        <f ca="1">Montée!$B$19*((E234-E233)/60)*J234/10</f>
        <v>12.686382105879849</v>
      </c>
      <c r="M234">
        <f t="shared" ca="1" si="19"/>
        <v>3064.2383530902675</v>
      </c>
    </row>
    <row r="235" spans="5:13">
      <c r="E235" s="210">
        <f t="shared" si="15"/>
        <v>230</v>
      </c>
      <c r="F235">
        <f t="shared" ca="1" si="18"/>
        <v>11628.948907807024</v>
      </c>
      <c r="G235">
        <f t="shared" ca="1" si="16"/>
        <v>0.38553807586265609</v>
      </c>
      <c r="H235">
        <f ca="1">INDEX(Aerodynamique!$T$6:$T$546,MATCH(G235,Aerodynamique!$Y$6:$Y$546,1))</f>
        <v>0.95000000000000806</v>
      </c>
      <c r="I235">
        <f ca="1">INDEX(Aerodynamique!$Z$6:$Z$546,MATCH(G235,Aerodynamique!$Y$6:$Y$546,1))</f>
        <v>1.3478269413603758E-2</v>
      </c>
      <c r="J235">
        <f t="shared" ca="1" si="17"/>
        <v>3967.7846513539153</v>
      </c>
      <c r="K235" s="86">
        <f ca="1">INDEX(Aerodynamique!$AC$6:$AC$1006,MATCH(INDEX(Aerodynamique!$W$6:$W$546,MATCH(G235,Aerodynamique!$Y$6:$Y$546,1)),Aerodynamique!$AD$6:$AD$1006,-1))</f>
        <v>-4.1000000000000041</v>
      </c>
      <c r="L235">
        <f ca="1">Montée!$B$19*((E235-E234)/60)*J235/10</f>
        <v>12.686382105879849</v>
      </c>
      <c r="M235">
        <f t="shared" ca="1" si="19"/>
        <v>3076.9247351961476</v>
      </c>
    </row>
    <row r="236" spans="5:13">
      <c r="E236" s="210">
        <f t="shared" si="15"/>
        <v>231</v>
      </c>
      <c r="F236">
        <f t="shared" ca="1" si="18"/>
        <v>11616.262525701144</v>
      </c>
      <c r="G236">
        <f t="shared" ca="1" si="16"/>
        <v>0.3851174803827434</v>
      </c>
      <c r="H236">
        <f ca="1">INDEX(Aerodynamique!$T$6:$T$546,MATCH(G236,Aerodynamique!$Y$6:$Y$546,1))</f>
        <v>0.90000000000000802</v>
      </c>
      <c r="I236">
        <f ca="1">INDEX(Aerodynamique!$Z$6:$Z$546,MATCH(G236,Aerodynamique!$Y$6:$Y$546,1))</f>
        <v>1.3409549342399575E-2</v>
      </c>
      <c r="J236">
        <f t="shared" ca="1" si="17"/>
        <v>3947.5545731890807</v>
      </c>
      <c r="K236" s="86">
        <f ca="1">INDEX(Aerodynamique!$AC$6:$AC$1006,MATCH(INDEX(Aerodynamique!$W$6:$W$546,MATCH(G236,Aerodynamique!$Y$6:$Y$546,1)),Aerodynamique!$AD$6:$AD$1006,-1))</f>
        <v>-4.0600000000000049</v>
      </c>
      <c r="L236">
        <f ca="1">Montée!$B$19*((E236-E235)/60)*J236/10</f>
        <v>12.621699537600007</v>
      </c>
      <c r="M236">
        <f t="shared" ca="1" si="19"/>
        <v>3089.5464347337474</v>
      </c>
    </row>
    <row r="237" spans="5:13">
      <c r="E237" s="210">
        <f t="shared" si="15"/>
        <v>232</v>
      </c>
      <c r="F237">
        <f t="shared" ca="1" si="18"/>
        <v>11603.640826163544</v>
      </c>
      <c r="G237">
        <f t="shared" ca="1" si="16"/>
        <v>0.38469902934366657</v>
      </c>
      <c r="H237">
        <f ca="1">INDEX(Aerodynamique!$T$6:$T$546,MATCH(G237,Aerodynamique!$Y$6:$Y$546,1))</f>
        <v>0.90000000000000802</v>
      </c>
      <c r="I237">
        <f ca="1">INDEX(Aerodynamique!$Z$6:$Z$546,MATCH(G237,Aerodynamique!$Y$6:$Y$546,1))</f>
        <v>1.3409549342399575E-2</v>
      </c>
      <c r="J237">
        <f t="shared" ca="1" si="17"/>
        <v>3947.5545731890807</v>
      </c>
      <c r="K237" s="86">
        <f ca="1">INDEX(Aerodynamique!$AC$6:$AC$1006,MATCH(INDEX(Aerodynamique!$W$6:$W$546,MATCH(G237,Aerodynamique!$Y$6:$Y$546,1)),Aerodynamique!$AD$6:$AD$1006,-1))</f>
        <v>-4.0600000000000049</v>
      </c>
      <c r="L237">
        <f ca="1">Montée!$B$19*((E237-E236)/60)*J237/10</f>
        <v>12.621699537600007</v>
      </c>
      <c r="M237">
        <f t="shared" ca="1" si="19"/>
        <v>3102.1681342713473</v>
      </c>
    </row>
    <row r="238" spans="5:13">
      <c r="E238" s="210">
        <f t="shared" si="15"/>
        <v>233</v>
      </c>
      <c r="F238">
        <f t="shared" ca="1" si="18"/>
        <v>11591.019126625944</v>
      </c>
      <c r="G238">
        <f t="shared" ca="1" si="16"/>
        <v>0.38428057830458978</v>
      </c>
      <c r="H238">
        <f ca="1">INDEX(Aerodynamique!$T$6:$T$546,MATCH(G238,Aerodynamique!$Y$6:$Y$546,1))</f>
        <v>0.90000000000000802</v>
      </c>
      <c r="I238">
        <f ca="1">INDEX(Aerodynamique!$Z$6:$Z$546,MATCH(G238,Aerodynamique!$Y$6:$Y$546,1))</f>
        <v>1.3409549342399575E-2</v>
      </c>
      <c r="J238">
        <f t="shared" ca="1" si="17"/>
        <v>3947.5545731890807</v>
      </c>
      <c r="K238" s="86">
        <f ca="1">INDEX(Aerodynamique!$AC$6:$AC$1006,MATCH(INDEX(Aerodynamique!$W$6:$W$546,MATCH(G238,Aerodynamique!$Y$6:$Y$546,1)),Aerodynamique!$AD$6:$AD$1006,-1))</f>
        <v>-4.0600000000000049</v>
      </c>
      <c r="L238">
        <f ca="1">Montée!$B$19*((E238-E237)/60)*J238/10</f>
        <v>12.621699537600007</v>
      </c>
      <c r="M238">
        <f t="shared" ca="1" si="19"/>
        <v>3114.7898338089472</v>
      </c>
    </row>
    <row r="239" spans="5:13">
      <c r="E239" s="210">
        <f t="shared" si="15"/>
        <v>234</v>
      </c>
      <c r="F239">
        <f t="shared" ca="1" si="18"/>
        <v>11578.397427088345</v>
      </c>
      <c r="G239">
        <f t="shared" ca="1" si="16"/>
        <v>0.383862127265513</v>
      </c>
      <c r="H239">
        <f ca="1">INDEX(Aerodynamique!$T$6:$T$546,MATCH(G239,Aerodynamique!$Y$6:$Y$546,1))</f>
        <v>0.90000000000000802</v>
      </c>
      <c r="I239">
        <f ca="1">INDEX(Aerodynamique!$Z$6:$Z$546,MATCH(G239,Aerodynamique!$Y$6:$Y$546,1))</f>
        <v>1.3409549342399575E-2</v>
      </c>
      <c r="J239">
        <f t="shared" ca="1" si="17"/>
        <v>3947.5545731890807</v>
      </c>
      <c r="K239" s="86">
        <f ca="1">INDEX(Aerodynamique!$AC$6:$AC$1006,MATCH(INDEX(Aerodynamique!$W$6:$W$546,MATCH(G239,Aerodynamique!$Y$6:$Y$546,1)),Aerodynamique!$AD$6:$AD$1006,-1))</f>
        <v>-4.0600000000000049</v>
      </c>
      <c r="L239">
        <f ca="1">Montée!$B$19*((E239-E238)/60)*J239/10</f>
        <v>12.621699537600007</v>
      </c>
      <c r="M239">
        <f t="shared" ca="1" si="19"/>
        <v>3127.411533346547</v>
      </c>
    </row>
    <row r="240" spans="5:13">
      <c r="E240" s="210">
        <f t="shared" si="15"/>
        <v>235</v>
      </c>
      <c r="F240">
        <f t="shared" ca="1" si="18"/>
        <v>11565.775727550745</v>
      </c>
      <c r="G240">
        <f t="shared" ca="1" si="16"/>
        <v>0.38344367622643621</v>
      </c>
      <c r="H240">
        <f ca="1">INDEX(Aerodynamique!$T$6:$T$546,MATCH(G240,Aerodynamique!$Y$6:$Y$546,1))</f>
        <v>0.90000000000000802</v>
      </c>
      <c r="I240">
        <f ca="1">INDEX(Aerodynamique!$Z$6:$Z$546,MATCH(G240,Aerodynamique!$Y$6:$Y$546,1))</f>
        <v>1.3409549342399575E-2</v>
      </c>
      <c r="J240">
        <f t="shared" ca="1" si="17"/>
        <v>3947.5545731890807</v>
      </c>
      <c r="K240" s="86">
        <f ca="1">INDEX(Aerodynamique!$AC$6:$AC$1006,MATCH(INDEX(Aerodynamique!$W$6:$W$546,MATCH(G240,Aerodynamique!$Y$6:$Y$546,1)),Aerodynamique!$AD$6:$AD$1006,-1))</f>
        <v>-4.0600000000000049</v>
      </c>
      <c r="L240">
        <f ca="1">Montée!$B$19*((E240-E239)/60)*J240/10</f>
        <v>12.621699537600007</v>
      </c>
      <c r="M240">
        <f t="shared" ca="1" si="19"/>
        <v>3140.0332328841469</v>
      </c>
    </row>
    <row r="241" spans="5:13">
      <c r="E241" s="210">
        <f t="shared" si="15"/>
        <v>236</v>
      </c>
      <c r="F241">
        <f t="shared" ca="1" si="18"/>
        <v>11553.154028013145</v>
      </c>
      <c r="G241">
        <f t="shared" ca="1" si="16"/>
        <v>0.38302522518735943</v>
      </c>
      <c r="H241">
        <f ca="1">INDEX(Aerodynamique!$T$6:$T$546,MATCH(G241,Aerodynamique!$Y$6:$Y$546,1))</f>
        <v>0.90000000000000802</v>
      </c>
      <c r="I241">
        <f ca="1">INDEX(Aerodynamique!$Z$6:$Z$546,MATCH(G241,Aerodynamique!$Y$6:$Y$546,1))</f>
        <v>1.3409549342399575E-2</v>
      </c>
      <c r="J241">
        <f t="shared" ca="1" si="17"/>
        <v>3947.5545731890807</v>
      </c>
      <c r="K241" s="86">
        <f ca="1">INDEX(Aerodynamique!$AC$6:$AC$1006,MATCH(INDEX(Aerodynamique!$W$6:$W$546,MATCH(G241,Aerodynamique!$Y$6:$Y$546,1)),Aerodynamique!$AD$6:$AD$1006,-1))</f>
        <v>-4.0600000000000049</v>
      </c>
      <c r="L241">
        <f ca="1">Montée!$B$19*((E241-E240)/60)*J241/10</f>
        <v>12.621699537600007</v>
      </c>
      <c r="M241">
        <f t="shared" ca="1" si="19"/>
        <v>3152.6549324217467</v>
      </c>
    </row>
    <row r="242" spans="5:13">
      <c r="E242" s="210">
        <f t="shared" si="15"/>
        <v>237</v>
      </c>
      <c r="F242">
        <f t="shared" ca="1" si="18"/>
        <v>11540.532328475545</v>
      </c>
      <c r="G242">
        <f t="shared" ca="1" si="16"/>
        <v>0.38260677414828259</v>
      </c>
      <c r="H242">
        <f ca="1">INDEX(Aerodynamique!$T$6:$T$546,MATCH(G242,Aerodynamique!$Y$6:$Y$546,1))</f>
        <v>0.90000000000000802</v>
      </c>
      <c r="I242">
        <f ca="1">INDEX(Aerodynamique!$Z$6:$Z$546,MATCH(G242,Aerodynamique!$Y$6:$Y$546,1))</f>
        <v>1.3409549342399575E-2</v>
      </c>
      <c r="J242">
        <f t="shared" ca="1" si="17"/>
        <v>3947.5545731890807</v>
      </c>
      <c r="K242" s="86">
        <f ca="1">INDEX(Aerodynamique!$AC$6:$AC$1006,MATCH(INDEX(Aerodynamique!$W$6:$W$546,MATCH(G242,Aerodynamique!$Y$6:$Y$546,1)),Aerodynamique!$AD$6:$AD$1006,-1))</f>
        <v>-4.0600000000000049</v>
      </c>
      <c r="L242">
        <f ca="1">Montée!$B$19*((E242-E241)/60)*J242/10</f>
        <v>12.621699537600007</v>
      </c>
      <c r="M242">
        <f t="shared" ca="1" si="19"/>
        <v>3165.2766319593466</v>
      </c>
    </row>
    <row r="243" spans="5:13">
      <c r="E243" s="210">
        <f t="shared" si="15"/>
        <v>238</v>
      </c>
      <c r="F243">
        <f t="shared" ca="1" si="18"/>
        <v>11527.910628937945</v>
      </c>
      <c r="G243">
        <f t="shared" ca="1" si="16"/>
        <v>0.38218832310920581</v>
      </c>
      <c r="H243">
        <f ca="1">INDEX(Aerodynamique!$T$6:$T$546,MATCH(G243,Aerodynamique!$Y$6:$Y$546,1))</f>
        <v>0.90000000000000802</v>
      </c>
      <c r="I243">
        <f ca="1">INDEX(Aerodynamique!$Z$6:$Z$546,MATCH(G243,Aerodynamique!$Y$6:$Y$546,1))</f>
        <v>1.3409549342399575E-2</v>
      </c>
      <c r="J243">
        <f t="shared" ca="1" si="17"/>
        <v>3947.5545731890807</v>
      </c>
      <c r="K243" s="86">
        <f ca="1">INDEX(Aerodynamique!$AC$6:$AC$1006,MATCH(INDEX(Aerodynamique!$W$6:$W$546,MATCH(G243,Aerodynamique!$Y$6:$Y$546,1)),Aerodynamique!$AD$6:$AD$1006,-1))</f>
        <v>-4.0600000000000049</v>
      </c>
      <c r="L243">
        <f ca="1">Montée!$B$19*((E243-E242)/60)*J243/10</f>
        <v>12.621699537600007</v>
      </c>
      <c r="M243">
        <f t="shared" ca="1" si="19"/>
        <v>3177.8983314969464</v>
      </c>
    </row>
    <row r="244" spans="5:13">
      <c r="E244" s="210">
        <f t="shared" si="15"/>
        <v>239</v>
      </c>
      <c r="F244">
        <f t="shared" ca="1" si="18"/>
        <v>11515.288929400345</v>
      </c>
      <c r="G244">
        <f t="shared" ca="1" si="16"/>
        <v>0.38176987207012902</v>
      </c>
      <c r="H244">
        <f ca="1">INDEX(Aerodynamique!$T$6:$T$546,MATCH(G244,Aerodynamique!$Y$6:$Y$546,1))</f>
        <v>0.90000000000000802</v>
      </c>
      <c r="I244">
        <f ca="1">INDEX(Aerodynamique!$Z$6:$Z$546,MATCH(G244,Aerodynamique!$Y$6:$Y$546,1))</f>
        <v>1.3409549342399575E-2</v>
      </c>
      <c r="J244">
        <f t="shared" ca="1" si="17"/>
        <v>3947.5545731890807</v>
      </c>
      <c r="K244" s="86">
        <f ca="1">INDEX(Aerodynamique!$AC$6:$AC$1006,MATCH(INDEX(Aerodynamique!$W$6:$W$546,MATCH(G244,Aerodynamique!$Y$6:$Y$546,1)),Aerodynamique!$AD$6:$AD$1006,-1))</f>
        <v>-4.0600000000000049</v>
      </c>
      <c r="L244">
        <f ca="1">Montée!$B$19*((E244-E243)/60)*J244/10</f>
        <v>12.621699537600007</v>
      </c>
      <c r="M244">
        <f t="shared" ca="1" si="19"/>
        <v>3190.5200310345463</v>
      </c>
    </row>
    <row r="245" spans="5:13">
      <c r="E245" s="210">
        <f t="shared" si="15"/>
        <v>240</v>
      </c>
      <c r="F245">
        <f t="shared" ca="1" si="18"/>
        <v>11502.667229862745</v>
      </c>
      <c r="G245">
        <f t="shared" ca="1" si="16"/>
        <v>0.38135142103105224</v>
      </c>
      <c r="H245">
        <f ca="1">INDEX(Aerodynamique!$T$6:$T$546,MATCH(G245,Aerodynamique!$Y$6:$Y$546,1))</f>
        <v>0.90000000000000802</v>
      </c>
      <c r="I245">
        <f ca="1">INDEX(Aerodynamique!$Z$6:$Z$546,MATCH(G245,Aerodynamique!$Y$6:$Y$546,1))</f>
        <v>1.3409549342399575E-2</v>
      </c>
      <c r="J245">
        <f t="shared" ca="1" si="17"/>
        <v>3947.5545731890807</v>
      </c>
      <c r="K245" s="86">
        <f ca="1">INDEX(Aerodynamique!$AC$6:$AC$1006,MATCH(INDEX(Aerodynamique!$W$6:$W$546,MATCH(G245,Aerodynamique!$Y$6:$Y$546,1)),Aerodynamique!$AD$6:$AD$1006,-1))</f>
        <v>-4.0600000000000049</v>
      </c>
      <c r="L245">
        <f ca="1">Montée!$B$19*((E245-E244)/60)*J245/10</f>
        <v>12.621699537600007</v>
      </c>
      <c r="M245">
        <f t="shared" ca="1" si="19"/>
        <v>3203.1417305721461</v>
      </c>
    </row>
    <row r="246" spans="5:13">
      <c r="E246" s="210">
        <f t="shared" si="15"/>
        <v>241</v>
      </c>
      <c r="F246">
        <f t="shared" ca="1" si="18"/>
        <v>11490.045530325146</v>
      </c>
      <c r="G246">
        <f t="shared" ca="1" si="16"/>
        <v>0.38093296999197546</v>
      </c>
      <c r="H246">
        <f ca="1">INDEX(Aerodynamique!$T$6:$T$546,MATCH(G246,Aerodynamique!$Y$6:$Y$546,1))</f>
        <v>0.90000000000000802</v>
      </c>
      <c r="I246">
        <f ca="1">INDEX(Aerodynamique!$Z$6:$Z$546,MATCH(G246,Aerodynamique!$Y$6:$Y$546,1))</f>
        <v>1.3409549342399575E-2</v>
      </c>
      <c r="J246">
        <f t="shared" ca="1" si="17"/>
        <v>3947.5545731890807</v>
      </c>
      <c r="K246" s="86">
        <f ca="1">INDEX(Aerodynamique!$AC$6:$AC$1006,MATCH(INDEX(Aerodynamique!$W$6:$W$546,MATCH(G246,Aerodynamique!$Y$6:$Y$546,1)),Aerodynamique!$AD$6:$AD$1006,-1))</f>
        <v>-4.0600000000000049</v>
      </c>
      <c r="L246">
        <f ca="1">Montée!$B$19*((E246-E245)/60)*J246/10</f>
        <v>12.621699537600007</v>
      </c>
      <c r="M246">
        <f t="shared" ca="1" si="19"/>
        <v>3215.763430109746</v>
      </c>
    </row>
    <row r="247" spans="5:13">
      <c r="E247" s="210">
        <f t="shared" si="15"/>
        <v>242</v>
      </c>
      <c r="F247">
        <f t="shared" ca="1" si="18"/>
        <v>11477.423830787546</v>
      </c>
      <c r="G247">
        <f t="shared" ca="1" si="16"/>
        <v>0.38051451895289862</v>
      </c>
      <c r="H247">
        <f ca="1">INDEX(Aerodynamique!$T$6:$T$546,MATCH(G247,Aerodynamique!$Y$6:$Y$546,1))</f>
        <v>0.90000000000000802</v>
      </c>
      <c r="I247">
        <f ca="1">INDEX(Aerodynamique!$Z$6:$Z$546,MATCH(G247,Aerodynamique!$Y$6:$Y$546,1))</f>
        <v>1.3409549342399575E-2</v>
      </c>
      <c r="J247">
        <f t="shared" ca="1" si="17"/>
        <v>3947.5545731890807</v>
      </c>
      <c r="K247" s="86">
        <f ca="1">INDEX(Aerodynamique!$AC$6:$AC$1006,MATCH(INDEX(Aerodynamique!$W$6:$W$546,MATCH(G247,Aerodynamique!$Y$6:$Y$546,1)),Aerodynamique!$AD$6:$AD$1006,-1))</f>
        <v>-4.0600000000000049</v>
      </c>
      <c r="L247">
        <f ca="1">Montée!$B$19*((E247-E246)/60)*J247/10</f>
        <v>12.621699537600007</v>
      </c>
      <c r="M247">
        <f t="shared" ca="1" si="19"/>
        <v>3228.3851296473458</v>
      </c>
    </row>
    <row r="248" spans="5:13">
      <c r="E248" s="210">
        <f t="shared" si="15"/>
        <v>243</v>
      </c>
      <c r="F248">
        <f t="shared" ca="1" si="18"/>
        <v>11464.802131249946</v>
      </c>
      <c r="G248">
        <f t="shared" ca="1" si="16"/>
        <v>0.38009606791382183</v>
      </c>
      <c r="H248">
        <f ca="1">INDEX(Aerodynamique!$T$6:$T$546,MATCH(G248,Aerodynamique!$Y$6:$Y$546,1))</f>
        <v>0.85000000000000797</v>
      </c>
      <c r="I248">
        <f ca="1">INDEX(Aerodynamique!$Z$6:$Z$546,MATCH(G248,Aerodynamique!$Y$6:$Y$546,1))</f>
        <v>1.3341897081207553E-2</v>
      </c>
      <c r="J248">
        <f t="shared" ca="1" si="17"/>
        <v>3927.6388410316449</v>
      </c>
      <c r="K248" s="86">
        <f ca="1">INDEX(Aerodynamique!$AC$6:$AC$1006,MATCH(INDEX(Aerodynamique!$W$6:$W$546,MATCH(G248,Aerodynamique!$Y$6:$Y$546,1)),Aerodynamique!$AD$6:$AD$1006,-1))</f>
        <v>-4.0200000000000058</v>
      </c>
      <c r="L248">
        <f ca="1">Montée!$B$19*((E248-E247)/60)*J248/10</f>
        <v>12.558022042405963</v>
      </c>
      <c r="M248">
        <f t="shared" ca="1" si="19"/>
        <v>3240.9431516897516</v>
      </c>
    </row>
    <row r="249" spans="5:13">
      <c r="E249" s="210">
        <f t="shared" si="15"/>
        <v>244</v>
      </c>
      <c r="F249">
        <f t="shared" ca="1" si="18"/>
        <v>11452.244109207541</v>
      </c>
      <c r="G249">
        <f t="shared" ca="1" si="16"/>
        <v>0.37967972799408761</v>
      </c>
      <c r="H249">
        <f ca="1">INDEX(Aerodynamique!$T$6:$T$546,MATCH(G249,Aerodynamique!$Y$6:$Y$546,1))</f>
        <v>0.85000000000000797</v>
      </c>
      <c r="I249">
        <f ca="1">INDEX(Aerodynamique!$Z$6:$Z$546,MATCH(G249,Aerodynamique!$Y$6:$Y$546,1))</f>
        <v>1.3341897081207553E-2</v>
      </c>
      <c r="J249">
        <f t="shared" ca="1" si="17"/>
        <v>3927.6388410316449</v>
      </c>
      <c r="K249" s="86">
        <f ca="1">INDEX(Aerodynamique!$AC$6:$AC$1006,MATCH(INDEX(Aerodynamique!$W$6:$W$546,MATCH(G249,Aerodynamique!$Y$6:$Y$546,1)),Aerodynamique!$AD$6:$AD$1006,-1))</f>
        <v>-4.0200000000000058</v>
      </c>
      <c r="L249">
        <f ca="1">Montée!$B$19*((E249-E248)/60)*J249/10</f>
        <v>12.558022042405963</v>
      </c>
      <c r="M249">
        <f t="shared" ca="1" si="19"/>
        <v>3253.5011737321574</v>
      </c>
    </row>
    <row r="250" spans="5:13">
      <c r="E250" s="210">
        <f t="shared" si="15"/>
        <v>245</v>
      </c>
      <c r="F250">
        <f t="shared" ca="1" si="18"/>
        <v>11439.686087165135</v>
      </c>
      <c r="G250">
        <f t="shared" ca="1" si="16"/>
        <v>0.37926338807435339</v>
      </c>
      <c r="H250">
        <f ca="1">INDEX(Aerodynamique!$T$6:$T$546,MATCH(G250,Aerodynamique!$Y$6:$Y$546,1))</f>
        <v>0.85000000000000797</v>
      </c>
      <c r="I250">
        <f ca="1">INDEX(Aerodynamique!$Z$6:$Z$546,MATCH(G250,Aerodynamique!$Y$6:$Y$546,1))</f>
        <v>1.3341897081207553E-2</v>
      </c>
      <c r="J250">
        <f t="shared" ca="1" si="17"/>
        <v>3927.6388410316449</v>
      </c>
      <c r="K250" s="86">
        <f ca="1">INDEX(Aerodynamique!$AC$6:$AC$1006,MATCH(INDEX(Aerodynamique!$W$6:$W$546,MATCH(G250,Aerodynamique!$Y$6:$Y$546,1)),Aerodynamique!$AD$6:$AD$1006,-1))</f>
        <v>-4.0200000000000058</v>
      </c>
      <c r="L250">
        <f ca="1">Montée!$B$19*((E250-E249)/60)*J250/10</f>
        <v>12.558022042405963</v>
      </c>
      <c r="M250">
        <f t="shared" ca="1" si="19"/>
        <v>3266.0591957745632</v>
      </c>
    </row>
    <row r="251" spans="5:13">
      <c r="E251" s="210">
        <f t="shared" si="15"/>
        <v>246</v>
      </c>
      <c r="F251">
        <f t="shared" ca="1" si="18"/>
        <v>11427.12806512273</v>
      </c>
      <c r="G251">
        <f t="shared" ca="1" si="16"/>
        <v>0.37884704815461917</v>
      </c>
      <c r="H251">
        <f ca="1">INDEX(Aerodynamique!$T$6:$T$546,MATCH(G251,Aerodynamique!$Y$6:$Y$546,1))</f>
        <v>0.85000000000000797</v>
      </c>
      <c r="I251">
        <f ca="1">INDEX(Aerodynamique!$Z$6:$Z$546,MATCH(G251,Aerodynamique!$Y$6:$Y$546,1))</f>
        <v>1.3341897081207553E-2</v>
      </c>
      <c r="J251">
        <f t="shared" ca="1" si="17"/>
        <v>3927.6388410316449</v>
      </c>
      <c r="K251" s="86">
        <f ca="1">INDEX(Aerodynamique!$AC$6:$AC$1006,MATCH(INDEX(Aerodynamique!$W$6:$W$546,MATCH(G251,Aerodynamique!$Y$6:$Y$546,1)),Aerodynamique!$AD$6:$AD$1006,-1))</f>
        <v>-4.0200000000000058</v>
      </c>
      <c r="L251">
        <f ca="1">Montée!$B$19*((E251-E250)/60)*J251/10</f>
        <v>12.558022042405963</v>
      </c>
      <c r="M251">
        <f t="shared" ca="1" si="19"/>
        <v>3278.6172178169691</v>
      </c>
    </row>
    <row r="252" spans="5:13">
      <c r="E252" s="210">
        <f t="shared" si="15"/>
        <v>247</v>
      </c>
      <c r="F252">
        <f t="shared" ca="1" si="18"/>
        <v>11414.570043080324</v>
      </c>
      <c r="G252">
        <f t="shared" ca="1" si="16"/>
        <v>0.37843070823488495</v>
      </c>
      <c r="H252">
        <f ca="1">INDEX(Aerodynamique!$T$6:$T$546,MATCH(G252,Aerodynamique!$Y$6:$Y$546,1))</f>
        <v>0.85000000000000797</v>
      </c>
      <c r="I252">
        <f ca="1">INDEX(Aerodynamique!$Z$6:$Z$546,MATCH(G252,Aerodynamique!$Y$6:$Y$546,1))</f>
        <v>1.3341897081207553E-2</v>
      </c>
      <c r="J252">
        <f t="shared" ca="1" si="17"/>
        <v>3927.6388410316449</v>
      </c>
      <c r="K252" s="86">
        <f ca="1">INDEX(Aerodynamique!$AC$6:$AC$1006,MATCH(INDEX(Aerodynamique!$W$6:$W$546,MATCH(G252,Aerodynamique!$Y$6:$Y$546,1)),Aerodynamique!$AD$6:$AD$1006,-1))</f>
        <v>-4.0200000000000058</v>
      </c>
      <c r="L252">
        <f ca="1">Montée!$B$19*((E252-E251)/60)*J252/10</f>
        <v>12.558022042405963</v>
      </c>
      <c r="M252">
        <f t="shared" ca="1" si="19"/>
        <v>3291.1752398593749</v>
      </c>
    </row>
    <row r="253" spans="5:13">
      <c r="E253" s="210">
        <f t="shared" si="15"/>
        <v>248</v>
      </c>
      <c r="F253">
        <f t="shared" ca="1" si="18"/>
        <v>11402.012021037919</v>
      </c>
      <c r="G253">
        <f t="shared" ca="1" si="16"/>
        <v>0.37801436831515073</v>
      </c>
      <c r="H253">
        <f ca="1">INDEX(Aerodynamique!$T$6:$T$546,MATCH(G253,Aerodynamique!$Y$6:$Y$546,1))</f>
        <v>0.85000000000000797</v>
      </c>
      <c r="I253">
        <f ca="1">INDEX(Aerodynamique!$Z$6:$Z$546,MATCH(G253,Aerodynamique!$Y$6:$Y$546,1))</f>
        <v>1.3341897081207553E-2</v>
      </c>
      <c r="J253">
        <f t="shared" ca="1" si="17"/>
        <v>3927.6388410316449</v>
      </c>
      <c r="K253" s="86">
        <f ca="1">INDEX(Aerodynamique!$AC$6:$AC$1006,MATCH(INDEX(Aerodynamique!$W$6:$W$546,MATCH(G253,Aerodynamique!$Y$6:$Y$546,1)),Aerodynamique!$AD$6:$AD$1006,-1))</f>
        <v>-4.0200000000000058</v>
      </c>
      <c r="L253">
        <f ca="1">Montée!$B$19*((E253-E252)/60)*J253/10</f>
        <v>12.558022042405963</v>
      </c>
      <c r="M253">
        <f t="shared" ca="1" si="19"/>
        <v>3303.7332619017807</v>
      </c>
    </row>
    <row r="254" spans="5:13">
      <c r="E254" s="210">
        <f t="shared" si="15"/>
        <v>249</v>
      </c>
      <c r="F254">
        <f t="shared" ca="1" si="18"/>
        <v>11389.453998995514</v>
      </c>
      <c r="G254">
        <f t="shared" ca="1" si="16"/>
        <v>0.37759802839541651</v>
      </c>
      <c r="H254">
        <f ca="1">INDEX(Aerodynamique!$T$6:$T$546,MATCH(G254,Aerodynamique!$Y$6:$Y$546,1))</f>
        <v>0.85000000000000797</v>
      </c>
      <c r="I254">
        <f ca="1">INDEX(Aerodynamique!$Z$6:$Z$546,MATCH(G254,Aerodynamique!$Y$6:$Y$546,1))</f>
        <v>1.3341897081207553E-2</v>
      </c>
      <c r="J254">
        <f t="shared" ca="1" si="17"/>
        <v>3927.6388410316449</v>
      </c>
      <c r="K254" s="86">
        <f ca="1">INDEX(Aerodynamique!$AC$6:$AC$1006,MATCH(INDEX(Aerodynamique!$W$6:$W$546,MATCH(G254,Aerodynamique!$Y$6:$Y$546,1)),Aerodynamique!$AD$6:$AD$1006,-1))</f>
        <v>-4.0200000000000058</v>
      </c>
      <c r="L254">
        <f ca="1">Montée!$B$19*((E254-E253)/60)*J254/10</f>
        <v>12.558022042405963</v>
      </c>
      <c r="M254">
        <f t="shared" ca="1" si="19"/>
        <v>3316.2912839441865</v>
      </c>
    </row>
    <row r="255" spans="5:13">
      <c r="E255" s="210">
        <f t="shared" si="15"/>
        <v>250</v>
      </c>
      <c r="F255">
        <f t="shared" ca="1" si="18"/>
        <v>11376.895976953108</v>
      </c>
      <c r="G255">
        <f t="shared" ca="1" si="16"/>
        <v>0.37718168847568223</v>
      </c>
      <c r="H255">
        <f ca="1">INDEX(Aerodynamique!$T$6:$T$546,MATCH(G255,Aerodynamique!$Y$6:$Y$546,1))</f>
        <v>0.85000000000000797</v>
      </c>
      <c r="I255">
        <f ca="1">INDEX(Aerodynamique!$Z$6:$Z$546,MATCH(G255,Aerodynamique!$Y$6:$Y$546,1))</f>
        <v>1.3341897081207553E-2</v>
      </c>
      <c r="J255">
        <f t="shared" ca="1" si="17"/>
        <v>3927.6388410316449</v>
      </c>
      <c r="K255" s="86">
        <f ca="1">INDEX(Aerodynamique!$AC$6:$AC$1006,MATCH(INDEX(Aerodynamique!$W$6:$W$546,MATCH(G255,Aerodynamique!$Y$6:$Y$546,1)),Aerodynamique!$AD$6:$AD$1006,-1))</f>
        <v>-4.0200000000000058</v>
      </c>
      <c r="L255">
        <f ca="1">Montée!$B$19*((E255-E254)/60)*J255/10</f>
        <v>12.558022042405963</v>
      </c>
      <c r="M255">
        <f t="shared" ca="1" si="19"/>
        <v>3328.8493059865923</v>
      </c>
    </row>
    <row r="256" spans="5:13">
      <c r="E256" s="210">
        <f t="shared" si="15"/>
        <v>251</v>
      </c>
      <c r="F256">
        <f t="shared" ca="1" si="18"/>
        <v>11364.337954910703</v>
      </c>
      <c r="G256">
        <f t="shared" ca="1" si="16"/>
        <v>0.37676534855594801</v>
      </c>
      <c r="H256">
        <f ca="1">INDEX(Aerodynamique!$T$6:$T$546,MATCH(G256,Aerodynamique!$Y$6:$Y$546,1))</f>
        <v>0.85000000000000797</v>
      </c>
      <c r="I256">
        <f ca="1">INDEX(Aerodynamique!$Z$6:$Z$546,MATCH(G256,Aerodynamique!$Y$6:$Y$546,1))</f>
        <v>1.3341897081207553E-2</v>
      </c>
      <c r="J256">
        <f t="shared" ca="1" si="17"/>
        <v>3927.6388410316449</v>
      </c>
      <c r="K256" s="86">
        <f ca="1">INDEX(Aerodynamique!$AC$6:$AC$1006,MATCH(INDEX(Aerodynamique!$W$6:$W$546,MATCH(G256,Aerodynamique!$Y$6:$Y$546,1)),Aerodynamique!$AD$6:$AD$1006,-1))</f>
        <v>-4.0200000000000058</v>
      </c>
      <c r="L256">
        <f ca="1">Montée!$B$19*((E256-E255)/60)*J256/10</f>
        <v>12.558022042405963</v>
      </c>
      <c r="M256">
        <f t="shared" ca="1" si="19"/>
        <v>3341.4073280289981</v>
      </c>
    </row>
    <row r="257" spans="5:13">
      <c r="E257" s="210">
        <f t="shared" si="15"/>
        <v>252</v>
      </c>
      <c r="F257">
        <f t="shared" ca="1" si="18"/>
        <v>11351.779932868298</v>
      </c>
      <c r="G257">
        <f t="shared" ca="1" si="16"/>
        <v>0.37634900863621379</v>
      </c>
      <c r="H257">
        <f ca="1">INDEX(Aerodynamique!$T$6:$T$546,MATCH(G257,Aerodynamique!$Y$6:$Y$546,1))</f>
        <v>0.85000000000000797</v>
      </c>
      <c r="I257">
        <f ca="1">INDEX(Aerodynamique!$Z$6:$Z$546,MATCH(G257,Aerodynamique!$Y$6:$Y$546,1))</f>
        <v>1.3341897081207553E-2</v>
      </c>
      <c r="J257">
        <f t="shared" ca="1" si="17"/>
        <v>3927.6388410316449</v>
      </c>
      <c r="K257" s="86">
        <f ca="1">INDEX(Aerodynamique!$AC$6:$AC$1006,MATCH(INDEX(Aerodynamique!$W$6:$W$546,MATCH(G257,Aerodynamique!$Y$6:$Y$546,1)),Aerodynamique!$AD$6:$AD$1006,-1))</f>
        <v>-4.0200000000000058</v>
      </c>
      <c r="L257">
        <f ca="1">Montée!$B$19*((E257-E256)/60)*J257/10</f>
        <v>12.558022042405963</v>
      </c>
      <c r="M257">
        <f t="shared" ca="1" si="19"/>
        <v>3353.9653500714039</v>
      </c>
    </row>
    <row r="258" spans="5:13">
      <c r="E258" s="210">
        <f t="shared" si="15"/>
        <v>253</v>
      </c>
      <c r="F258">
        <f t="shared" ca="1" si="18"/>
        <v>11339.221910825892</v>
      </c>
      <c r="G258">
        <f t="shared" ca="1" si="16"/>
        <v>0.37593266871647957</v>
      </c>
      <c r="H258">
        <f ca="1">INDEX(Aerodynamique!$T$6:$T$546,MATCH(G258,Aerodynamique!$Y$6:$Y$546,1))</f>
        <v>0.85000000000000797</v>
      </c>
      <c r="I258">
        <f ca="1">INDEX(Aerodynamique!$Z$6:$Z$546,MATCH(G258,Aerodynamique!$Y$6:$Y$546,1))</f>
        <v>1.3341897081207553E-2</v>
      </c>
      <c r="J258">
        <f t="shared" ca="1" si="17"/>
        <v>3927.6388410316449</v>
      </c>
      <c r="K258" s="86">
        <f ca="1">INDEX(Aerodynamique!$AC$6:$AC$1006,MATCH(INDEX(Aerodynamique!$W$6:$W$546,MATCH(G258,Aerodynamique!$Y$6:$Y$546,1)),Aerodynamique!$AD$6:$AD$1006,-1))</f>
        <v>-4.0200000000000058</v>
      </c>
      <c r="L258">
        <f ca="1">Montée!$B$19*((E258-E257)/60)*J258/10</f>
        <v>12.558022042405963</v>
      </c>
      <c r="M258">
        <f t="shared" ca="1" si="19"/>
        <v>3366.5233721138097</v>
      </c>
    </row>
    <row r="259" spans="5:13">
      <c r="E259" s="210">
        <f t="shared" si="15"/>
        <v>254</v>
      </c>
      <c r="F259">
        <f t="shared" ca="1" si="18"/>
        <v>11326.663888783487</v>
      </c>
      <c r="G259">
        <f t="shared" ca="1" si="16"/>
        <v>0.37551632879674535</v>
      </c>
      <c r="H259">
        <f ca="1">INDEX(Aerodynamique!$T$6:$T$546,MATCH(G259,Aerodynamique!$Y$6:$Y$546,1))</f>
        <v>0.85000000000000797</v>
      </c>
      <c r="I259">
        <f ca="1">INDEX(Aerodynamique!$Z$6:$Z$546,MATCH(G259,Aerodynamique!$Y$6:$Y$546,1))</f>
        <v>1.3341897081207553E-2</v>
      </c>
      <c r="J259">
        <f t="shared" ca="1" si="17"/>
        <v>3927.6388410316449</v>
      </c>
      <c r="K259" s="86">
        <f ca="1">INDEX(Aerodynamique!$AC$6:$AC$1006,MATCH(INDEX(Aerodynamique!$W$6:$W$546,MATCH(G259,Aerodynamique!$Y$6:$Y$546,1)),Aerodynamique!$AD$6:$AD$1006,-1))</f>
        <v>-4.0200000000000058</v>
      </c>
      <c r="L259">
        <f ca="1">Montée!$B$19*((E259-E258)/60)*J259/10</f>
        <v>12.558022042405963</v>
      </c>
      <c r="M259">
        <f t="shared" ca="1" si="19"/>
        <v>3379.0813941562155</v>
      </c>
    </row>
    <row r="260" spans="5:13">
      <c r="E260" s="210">
        <f t="shared" si="15"/>
        <v>255</v>
      </c>
      <c r="F260">
        <f t="shared" ca="1" si="18"/>
        <v>11314.105866741082</v>
      </c>
      <c r="G260">
        <f t="shared" ca="1" si="16"/>
        <v>0.37509998887701113</v>
      </c>
      <c r="H260">
        <f ca="1">INDEX(Aerodynamique!$T$6:$T$546,MATCH(G260,Aerodynamique!$Y$6:$Y$546,1))</f>
        <v>0.80000000000000793</v>
      </c>
      <c r="I260">
        <f ca="1">INDEX(Aerodynamique!$Z$6:$Z$546,MATCH(G260,Aerodynamique!$Y$6:$Y$546,1))</f>
        <v>1.3275312630027687E-2</v>
      </c>
      <c r="J260">
        <f t="shared" ca="1" si="17"/>
        <v>3908.0374548816067</v>
      </c>
      <c r="K260" s="86">
        <f ca="1">INDEX(Aerodynamique!$AC$6:$AC$1006,MATCH(INDEX(Aerodynamique!$W$6:$W$546,MATCH(G260,Aerodynamique!$Y$6:$Y$546,1)),Aerodynamique!$AD$6:$AD$1006,-1))</f>
        <v>-3.9800000000000062</v>
      </c>
      <c r="L260">
        <f ca="1">Montée!$B$19*((E260-E259)/60)*J260/10</f>
        <v>12.495349620297715</v>
      </c>
      <c r="M260">
        <f t="shared" ca="1" si="19"/>
        <v>3391.5767437765135</v>
      </c>
    </row>
    <row r="261" spans="5:13">
      <c r="E261" s="210">
        <f t="shared" si="15"/>
        <v>256</v>
      </c>
      <c r="F261">
        <f t="shared" ca="1" si="18"/>
        <v>11301.610517120784</v>
      </c>
      <c r="G261">
        <f t="shared" ca="1" si="16"/>
        <v>0.37468572675512607</v>
      </c>
      <c r="H261">
        <f ca="1">INDEX(Aerodynamique!$T$6:$T$546,MATCH(G261,Aerodynamique!$Y$6:$Y$546,1))</f>
        <v>0.80000000000000793</v>
      </c>
      <c r="I261">
        <f ca="1">INDEX(Aerodynamique!$Z$6:$Z$546,MATCH(G261,Aerodynamique!$Y$6:$Y$546,1))</f>
        <v>1.3275312630027687E-2</v>
      </c>
      <c r="J261">
        <f t="shared" ca="1" si="17"/>
        <v>3908.0374548816067</v>
      </c>
      <c r="K261" s="86">
        <f ca="1">INDEX(Aerodynamique!$AC$6:$AC$1006,MATCH(INDEX(Aerodynamique!$W$6:$W$546,MATCH(G261,Aerodynamique!$Y$6:$Y$546,1)),Aerodynamique!$AD$6:$AD$1006,-1))</f>
        <v>-3.9800000000000062</v>
      </c>
      <c r="L261">
        <f ca="1">Montée!$B$19*((E261-E260)/60)*J261/10</f>
        <v>12.495349620297715</v>
      </c>
      <c r="M261">
        <f t="shared" ca="1" si="19"/>
        <v>3404.0720933968114</v>
      </c>
    </row>
    <row r="262" spans="5:13">
      <c r="E262" s="210">
        <f t="shared" ref="E262:E325" si="20">E261+$E$3</f>
        <v>257</v>
      </c>
      <c r="F262">
        <f t="shared" ca="1" si="18"/>
        <v>11289.115167500486</v>
      </c>
      <c r="G262">
        <f t="shared" ref="G262:G325" ca="1" si="21">2*F262*g/(rho*V^2*SRef)</f>
        <v>0.37427146463324107</v>
      </c>
      <c r="H262">
        <f ca="1">INDEX(Aerodynamique!$T$6:$T$546,MATCH(G262,Aerodynamique!$Y$6:$Y$546,1))</f>
        <v>0.80000000000000793</v>
      </c>
      <c r="I262">
        <f ca="1">INDEX(Aerodynamique!$Z$6:$Z$546,MATCH(G262,Aerodynamique!$Y$6:$Y$546,1))</f>
        <v>1.3275312630027687E-2</v>
      </c>
      <c r="J262">
        <f t="shared" ref="J262:J325" ca="1" si="22">(1/2)*rho*V^2*SRef*I262</f>
        <v>3908.0374548816067</v>
      </c>
      <c r="K262" s="86">
        <f ca="1">INDEX(Aerodynamique!$AC$6:$AC$1006,MATCH(INDEX(Aerodynamique!$W$6:$W$546,MATCH(G262,Aerodynamique!$Y$6:$Y$546,1)),Aerodynamique!$AD$6:$AD$1006,-1))</f>
        <v>-3.9800000000000062</v>
      </c>
      <c r="L262">
        <f ca="1">Montée!$B$19*((E262-E261)/60)*J262/10</f>
        <v>12.495349620297715</v>
      </c>
      <c r="M262">
        <f t="shared" ca="1" si="19"/>
        <v>3416.5674430171093</v>
      </c>
    </row>
    <row r="263" spans="5:13">
      <c r="E263" s="210">
        <f t="shared" si="20"/>
        <v>258</v>
      </c>
      <c r="F263">
        <f t="shared" ref="F263:F326" ca="1" si="23">F262-L262</f>
        <v>11276.619817880188</v>
      </c>
      <c r="G263">
        <f t="shared" ca="1" si="21"/>
        <v>0.37385720251135601</v>
      </c>
      <c r="H263">
        <f ca="1">INDEX(Aerodynamique!$T$6:$T$546,MATCH(G263,Aerodynamique!$Y$6:$Y$546,1))</f>
        <v>0.80000000000000793</v>
      </c>
      <c r="I263">
        <f ca="1">INDEX(Aerodynamique!$Z$6:$Z$546,MATCH(G263,Aerodynamique!$Y$6:$Y$546,1))</f>
        <v>1.3275312630027687E-2</v>
      </c>
      <c r="J263">
        <f t="shared" ca="1" si="22"/>
        <v>3908.0374548816067</v>
      </c>
      <c r="K263" s="86">
        <f ca="1">INDEX(Aerodynamique!$AC$6:$AC$1006,MATCH(INDEX(Aerodynamique!$W$6:$W$546,MATCH(G263,Aerodynamique!$Y$6:$Y$546,1)),Aerodynamique!$AD$6:$AD$1006,-1))</f>
        <v>-3.9800000000000062</v>
      </c>
      <c r="L263">
        <f ca="1">Montée!$B$19*((E263-E262)/60)*J263/10</f>
        <v>12.495349620297715</v>
      </c>
      <c r="M263">
        <f t="shared" ca="1" si="19"/>
        <v>3429.0627926374073</v>
      </c>
    </row>
    <row r="264" spans="5:13">
      <c r="E264" s="210">
        <f t="shared" si="20"/>
        <v>259</v>
      </c>
      <c r="F264">
        <f t="shared" ca="1" si="23"/>
        <v>11264.12446825989</v>
      </c>
      <c r="G264">
        <f t="shared" ca="1" si="21"/>
        <v>0.37344294038947096</v>
      </c>
      <c r="H264">
        <f ca="1">INDEX(Aerodynamique!$T$6:$T$546,MATCH(G264,Aerodynamique!$Y$6:$Y$546,1))</f>
        <v>0.80000000000000793</v>
      </c>
      <c r="I264">
        <f ca="1">INDEX(Aerodynamique!$Z$6:$Z$546,MATCH(G264,Aerodynamique!$Y$6:$Y$546,1))</f>
        <v>1.3275312630027687E-2</v>
      </c>
      <c r="J264">
        <f t="shared" ca="1" si="22"/>
        <v>3908.0374548816067</v>
      </c>
      <c r="K264" s="86">
        <f ca="1">INDEX(Aerodynamique!$AC$6:$AC$1006,MATCH(INDEX(Aerodynamique!$W$6:$W$546,MATCH(G264,Aerodynamique!$Y$6:$Y$546,1)),Aerodynamique!$AD$6:$AD$1006,-1))</f>
        <v>-3.9800000000000062</v>
      </c>
      <c r="L264">
        <f ca="1">Montée!$B$19*((E264-E263)/60)*J264/10</f>
        <v>12.495349620297715</v>
      </c>
      <c r="M264">
        <f t="shared" ref="M264:M327" ca="1" si="24">M263+L264</f>
        <v>3441.5581422577052</v>
      </c>
    </row>
    <row r="265" spans="5:13">
      <c r="E265" s="210">
        <f t="shared" si="20"/>
        <v>260</v>
      </c>
      <c r="F265">
        <f t="shared" ca="1" si="23"/>
        <v>11251.629118639592</v>
      </c>
      <c r="G265">
        <f t="shared" ca="1" si="21"/>
        <v>0.37302867826758596</v>
      </c>
      <c r="H265">
        <f ca="1">INDEX(Aerodynamique!$T$6:$T$546,MATCH(G265,Aerodynamique!$Y$6:$Y$546,1))</f>
        <v>0.80000000000000793</v>
      </c>
      <c r="I265">
        <f ca="1">INDEX(Aerodynamique!$Z$6:$Z$546,MATCH(G265,Aerodynamique!$Y$6:$Y$546,1))</f>
        <v>1.3275312630027687E-2</v>
      </c>
      <c r="J265">
        <f t="shared" ca="1" si="22"/>
        <v>3908.0374548816067</v>
      </c>
      <c r="K265" s="86">
        <f ca="1">INDEX(Aerodynamique!$AC$6:$AC$1006,MATCH(INDEX(Aerodynamique!$W$6:$W$546,MATCH(G265,Aerodynamique!$Y$6:$Y$546,1)),Aerodynamique!$AD$6:$AD$1006,-1))</f>
        <v>-3.9800000000000062</v>
      </c>
      <c r="L265">
        <f ca="1">Montée!$B$19*((E265-E264)/60)*J265/10</f>
        <v>12.495349620297715</v>
      </c>
      <c r="M265">
        <f t="shared" ca="1" si="24"/>
        <v>3454.0534918780031</v>
      </c>
    </row>
    <row r="266" spans="5:13">
      <c r="E266" s="210">
        <f t="shared" si="20"/>
        <v>261</v>
      </c>
      <c r="F266">
        <f t="shared" ca="1" si="23"/>
        <v>11239.133769019294</v>
      </c>
      <c r="G266">
        <f t="shared" ca="1" si="21"/>
        <v>0.3726144161457009</v>
      </c>
      <c r="H266">
        <f ca="1">INDEX(Aerodynamique!$T$6:$T$546,MATCH(G266,Aerodynamique!$Y$6:$Y$546,1))</f>
        <v>0.80000000000000793</v>
      </c>
      <c r="I266">
        <f ca="1">INDEX(Aerodynamique!$Z$6:$Z$546,MATCH(G266,Aerodynamique!$Y$6:$Y$546,1))</f>
        <v>1.3275312630027687E-2</v>
      </c>
      <c r="J266">
        <f t="shared" ca="1" si="22"/>
        <v>3908.0374548816067</v>
      </c>
      <c r="K266" s="86">
        <f ca="1">INDEX(Aerodynamique!$AC$6:$AC$1006,MATCH(INDEX(Aerodynamique!$W$6:$W$546,MATCH(G266,Aerodynamique!$Y$6:$Y$546,1)),Aerodynamique!$AD$6:$AD$1006,-1))</f>
        <v>-3.9800000000000062</v>
      </c>
      <c r="L266">
        <f ca="1">Montée!$B$19*((E266-E265)/60)*J266/10</f>
        <v>12.495349620297715</v>
      </c>
      <c r="M266">
        <f t="shared" ca="1" si="24"/>
        <v>3466.548841498301</v>
      </c>
    </row>
    <row r="267" spans="5:13">
      <c r="E267" s="210">
        <f t="shared" si="20"/>
        <v>262</v>
      </c>
      <c r="F267">
        <f t="shared" ca="1" si="23"/>
        <v>11226.638419398996</v>
      </c>
      <c r="G267">
        <f t="shared" ca="1" si="21"/>
        <v>0.37220015402381584</v>
      </c>
      <c r="H267">
        <f ca="1">INDEX(Aerodynamique!$T$6:$T$546,MATCH(G267,Aerodynamique!$Y$6:$Y$546,1))</f>
        <v>0.80000000000000793</v>
      </c>
      <c r="I267">
        <f ca="1">INDEX(Aerodynamique!$Z$6:$Z$546,MATCH(G267,Aerodynamique!$Y$6:$Y$546,1))</f>
        <v>1.3275312630027687E-2</v>
      </c>
      <c r="J267">
        <f t="shared" ca="1" si="22"/>
        <v>3908.0374548816067</v>
      </c>
      <c r="K267" s="86">
        <f ca="1">INDEX(Aerodynamique!$AC$6:$AC$1006,MATCH(INDEX(Aerodynamique!$W$6:$W$546,MATCH(G267,Aerodynamique!$Y$6:$Y$546,1)),Aerodynamique!$AD$6:$AD$1006,-1))</f>
        <v>-3.9800000000000062</v>
      </c>
      <c r="L267">
        <f ca="1">Montée!$B$19*((E267-E266)/60)*J267/10</f>
        <v>12.495349620297715</v>
      </c>
      <c r="M267">
        <f t="shared" ca="1" si="24"/>
        <v>3479.044191118599</v>
      </c>
    </row>
    <row r="268" spans="5:13">
      <c r="E268" s="210">
        <f t="shared" si="20"/>
        <v>263</v>
      </c>
      <c r="F268">
        <f t="shared" ca="1" si="23"/>
        <v>11214.143069778698</v>
      </c>
      <c r="G268">
        <f t="shared" ca="1" si="21"/>
        <v>0.37178589190193084</v>
      </c>
      <c r="H268">
        <f ca="1">INDEX(Aerodynamique!$T$6:$T$546,MATCH(G268,Aerodynamique!$Y$6:$Y$546,1))</f>
        <v>0.80000000000000793</v>
      </c>
      <c r="I268">
        <f ca="1">INDEX(Aerodynamique!$Z$6:$Z$546,MATCH(G268,Aerodynamique!$Y$6:$Y$546,1))</f>
        <v>1.3275312630027687E-2</v>
      </c>
      <c r="J268">
        <f t="shared" ca="1" si="22"/>
        <v>3908.0374548816067</v>
      </c>
      <c r="K268" s="86">
        <f ca="1">INDEX(Aerodynamique!$AC$6:$AC$1006,MATCH(INDEX(Aerodynamique!$W$6:$W$546,MATCH(G268,Aerodynamique!$Y$6:$Y$546,1)),Aerodynamique!$AD$6:$AD$1006,-1))</f>
        <v>-3.9800000000000062</v>
      </c>
      <c r="L268">
        <f ca="1">Montée!$B$19*((E268-E267)/60)*J268/10</f>
        <v>12.495349620297715</v>
      </c>
      <c r="M268">
        <f t="shared" ca="1" si="24"/>
        <v>3491.5395407388969</v>
      </c>
    </row>
    <row r="269" spans="5:13">
      <c r="E269" s="210">
        <f t="shared" si="20"/>
        <v>264</v>
      </c>
      <c r="F269">
        <f t="shared" ca="1" si="23"/>
        <v>11201.6477201584</v>
      </c>
      <c r="G269">
        <f t="shared" ca="1" si="21"/>
        <v>0.37137162978004579</v>
      </c>
      <c r="H269">
        <f ca="1">INDEX(Aerodynamique!$T$6:$T$546,MATCH(G269,Aerodynamique!$Y$6:$Y$546,1))</f>
        <v>0.80000000000000793</v>
      </c>
      <c r="I269">
        <f ca="1">INDEX(Aerodynamique!$Z$6:$Z$546,MATCH(G269,Aerodynamique!$Y$6:$Y$546,1))</f>
        <v>1.3275312630027687E-2</v>
      </c>
      <c r="J269">
        <f t="shared" ca="1" si="22"/>
        <v>3908.0374548816067</v>
      </c>
      <c r="K269" s="86">
        <f ca="1">INDEX(Aerodynamique!$AC$6:$AC$1006,MATCH(INDEX(Aerodynamique!$W$6:$W$546,MATCH(G269,Aerodynamique!$Y$6:$Y$546,1)),Aerodynamique!$AD$6:$AD$1006,-1))</f>
        <v>-3.9800000000000062</v>
      </c>
      <c r="L269">
        <f ca="1">Montée!$B$19*((E269-E268)/60)*J269/10</f>
        <v>12.495349620297715</v>
      </c>
      <c r="M269">
        <f t="shared" ca="1" si="24"/>
        <v>3504.0348903591948</v>
      </c>
    </row>
    <row r="270" spans="5:13">
      <c r="E270" s="210">
        <f t="shared" si="20"/>
        <v>265</v>
      </c>
      <c r="F270">
        <f t="shared" ca="1" si="23"/>
        <v>11189.152370538102</v>
      </c>
      <c r="G270">
        <f t="shared" ca="1" si="21"/>
        <v>0.37095736765816073</v>
      </c>
      <c r="H270">
        <f ca="1">INDEX(Aerodynamique!$T$6:$T$546,MATCH(G270,Aerodynamique!$Y$6:$Y$546,1))</f>
        <v>0.80000000000000793</v>
      </c>
      <c r="I270">
        <f ca="1">INDEX(Aerodynamique!$Z$6:$Z$546,MATCH(G270,Aerodynamique!$Y$6:$Y$546,1))</f>
        <v>1.3275312630027687E-2</v>
      </c>
      <c r="J270">
        <f t="shared" ca="1" si="22"/>
        <v>3908.0374548816067</v>
      </c>
      <c r="K270" s="86">
        <f ca="1">INDEX(Aerodynamique!$AC$6:$AC$1006,MATCH(INDEX(Aerodynamique!$W$6:$W$546,MATCH(G270,Aerodynamique!$Y$6:$Y$546,1)),Aerodynamique!$AD$6:$AD$1006,-1))</f>
        <v>-3.9800000000000062</v>
      </c>
      <c r="L270">
        <f ca="1">Montée!$B$19*((E270-E269)/60)*J270/10</f>
        <v>12.495349620297715</v>
      </c>
      <c r="M270">
        <f t="shared" ca="1" si="24"/>
        <v>3516.5302399794928</v>
      </c>
    </row>
    <row r="271" spans="5:13">
      <c r="E271" s="210">
        <f t="shared" si="20"/>
        <v>266</v>
      </c>
      <c r="F271">
        <f t="shared" ca="1" si="23"/>
        <v>11176.657020917804</v>
      </c>
      <c r="G271">
        <f t="shared" ca="1" si="21"/>
        <v>0.37054310553627573</v>
      </c>
      <c r="H271">
        <f ca="1">INDEX(Aerodynamique!$T$6:$T$546,MATCH(G271,Aerodynamique!$Y$6:$Y$546,1))</f>
        <v>0.80000000000000793</v>
      </c>
      <c r="I271">
        <f ca="1">INDEX(Aerodynamique!$Z$6:$Z$546,MATCH(G271,Aerodynamique!$Y$6:$Y$546,1))</f>
        <v>1.3275312630027687E-2</v>
      </c>
      <c r="J271">
        <f t="shared" ca="1" si="22"/>
        <v>3908.0374548816067</v>
      </c>
      <c r="K271" s="86">
        <f ca="1">INDEX(Aerodynamique!$AC$6:$AC$1006,MATCH(INDEX(Aerodynamique!$W$6:$W$546,MATCH(G271,Aerodynamique!$Y$6:$Y$546,1)),Aerodynamique!$AD$6:$AD$1006,-1))</f>
        <v>-3.9800000000000062</v>
      </c>
      <c r="L271">
        <f ca="1">Montée!$B$19*((E271-E270)/60)*J271/10</f>
        <v>12.495349620297715</v>
      </c>
      <c r="M271">
        <f t="shared" ca="1" si="24"/>
        <v>3529.0255895997907</v>
      </c>
    </row>
    <row r="272" spans="5:13">
      <c r="E272" s="210">
        <f t="shared" si="20"/>
        <v>267</v>
      </c>
      <c r="F272">
        <f t="shared" ca="1" si="23"/>
        <v>11164.161671297506</v>
      </c>
      <c r="G272">
        <f t="shared" ca="1" si="21"/>
        <v>0.37012884341439067</v>
      </c>
      <c r="H272">
        <f ca="1">INDEX(Aerodynamique!$T$6:$T$546,MATCH(G272,Aerodynamique!$Y$6:$Y$546,1))</f>
        <v>0.75000000000000788</v>
      </c>
      <c r="I272">
        <f ca="1">INDEX(Aerodynamique!$Z$6:$Z$546,MATCH(G272,Aerodynamique!$Y$6:$Y$546,1))</f>
        <v>1.3209795988859982E-2</v>
      </c>
      <c r="J272">
        <f t="shared" ca="1" si="22"/>
        <v>3888.7504147389673</v>
      </c>
      <c r="K272" s="86">
        <f ca="1">INDEX(Aerodynamique!$AC$6:$AC$1006,MATCH(INDEX(Aerodynamique!$W$6:$W$546,MATCH(G272,Aerodynamique!$Y$6:$Y$546,1)),Aerodynamique!$AD$6:$AD$1006,-1))</f>
        <v>-3.9400000000000062</v>
      </c>
      <c r="L272">
        <f ca="1">Montée!$B$19*((E272-E271)/60)*J272/10</f>
        <v>12.433682271275263</v>
      </c>
      <c r="M272">
        <f t="shared" ca="1" si="24"/>
        <v>3541.459271871066</v>
      </c>
    </row>
    <row r="273" spans="5:13">
      <c r="E273" s="210">
        <f t="shared" si="20"/>
        <v>268</v>
      </c>
      <c r="F273">
        <f t="shared" ca="1" si="23"/>
        <v>11151.727989026231</v>
      </c>
      <c r="G273">
        <f t="shared" ca="1" si="21"/>
        <v>0.3697166257688615</v>
      </c>
      <c r="H273">
        <f ca="1">INDEX(Aerodynamique!$T$6:$T$546,MATCH(G273,Aerodynamique!$Y$6:$Y$546,1))</f>
        <v>0.75000000000000788</v>
      </c>
      <c r="I273">
        <f ca="1">INDEX(Aerodynamique!$Z$6:$Z$546,MATCH(G273,Aerodynamique!$Y$6:$Y$546,1))</f>
        <v>1.3209795988859982E-2</v>
      </c>
      <c r="J273">
        <f t="shared" ca="1" si="22"/>
        <v>3888.7504147389673</v>
      </c>
      <c r="K273" s="86">
        <f ca="1">INDEX(Aerodynamique!$AC$6:$AC$1006,MATCH(INDEX(Aerodynamique!$W$6:$W$546,MATCH(G273,Aerodynamique!$Y$6:$Y$546,1)),Aerodynamique!$AD$6:$AD$1006,-1))</f>
        <v>-3.9400000000000062</v>
      </c>
      <c r="L273">
        <f ca="1">Montée!$B$19*((E273-E272)/60)*J273/10</f>
        <v>12.433682271275263</v>
      </c>
      <c r="M273">
        <f t="shared" ca="1" si="24"/>
        <v>3553.8929541423413</v>
      </c>
    </row>
    <row r="274" spans="5:13">
      <c r="E274" s="210">
        <f t="shared" si="20"/>
        <v>269</v>
      </c>
      <c r="F274">
        <f t="shared" ca="1" si="23"/>
        <v>11139.294306754955</v>
      </c>
      <c r="G274">
        <f t="shared" ca="1" si="21"/>
        <v>0.36930440812333232</v>
      </c>
      <c r="H274">
        <f ca="1">INDEX(Aerodynamique!$T$6:$T$546,MATCH(G274,Aerodynamique!$Y$6:$Y$546,1))</f>
        <v>0.75000000000000788</v>
      </c>
      <c r="I274">
        <f ca="1">INDEX(Aerodynamique!$Z$6:$Z$546,MATCH(G274,Aerodynamique!$Y$6:$Y$546,1))</f>
        <v>1.3209795988859982E-2</v>
      </c>
      <c r="J274">
        <f t="shared" ca="1" si="22"/>
        <v>3888.7504147389673</v>
      </c>
      <c r="K274" s="86">
        <f ca="1">INDEX(Aerodynamique!$AC$6:$AC$1006,MATCH(INDEX(Aerodynamique!$W$6:$W$546,MATCH(G274,Aerodynamique!$Y$6:$Y$546,1)),Aerodynamique!$AD$6:$AD$1006,-1))</f>
        <v>-3.9400000000000062</v>
      </c>
      <c r="L274">
        <f ca="1">Montée!$B$19*((E274-E273)/60)*J274/10</f>
        <v>12.433682271275263</v>
      </c>
      <c r="M274">
        <f t="shared" ca="1" si="24"/>
        <v>3566.3266364136166</v>
      </c>
    </row>
    <row r="275" spans="5:13">
      <c r="E275" s="210">
        <f t="shared" si="20"/>
        <v>270</v>
      </c>
      <c r="F275">
        <f t="shared" ca="1" si="23"/>
        <v>11126.860624483679</v>
      </c>
      <c r="G275">
        <f t="shared" ca="1" si="21"/>
        <v>0.36889219047780314</v>
      </c>
      <c r="H275">
        <f ca="1">INDEX(Aerodynamique!$T$6:$T$546,MATCH(G275,Aerodynamique!$Y$6:$Y$546,1))</f>
        <v>0.75000000000000788</v>
      </c>
      <c r="I275">
        <f ca="1">INDEX(Aerodynamique!$Z$6:$Z$546,MATCH(G275,Aerodynamique!$Y$6:$Y$546,1))</f>
        <v>1.3209795988859982E-2</v>
      </c>
      <c r="J275">
        <f t="shared" ca="1" si="22"/>
        <v>3888.7504147389673</v>
      </c>
      <c r="K275" s="86">
        <f ca="1">INDEX(Aerodynamique!$AC$6:$AC$1006,MATCH(INDEX(Aerodynamique!$W$6:$W$546,MATCH(G275,Aerodynamique!$Y$6:$Y$546,1)),Aerodynamique!$AD$6:$AD$1006,-1))</f>
        <v>-3.9400000000000062</v>
      </c>
      <c r="L275">
        <f ca="1">Montée!$B$19*((E275-E274)/60)*J275/10</f>
        <v>12.433682271275263</v>
      </c>
      <c r="M275">
        <f t="shared" ca="1" si="24"/>
        <v>3578.7603186848919</v>
      </c>
    </row>
    <row r="276" spans="5:13">
      <c r="E276" s="210">
        <f t="shared" si="20"/>
        <v>271</v>
      </c>
      <c r="F276">
        <f t="shared" ca="1" si="23"/>
        <v>11114.426942212403</v>
      </c>
      <c r="G276">
        <f t="shared" ca="1" si="21"/>
        <v>0.36847997283227396</v>
      </c>
      <c r="H276">
        <f ca="1">INDEX(Aerodynamique!$T$6:$T$546,MATCH(G276,Aerodynamique!$Y$6:$Y$546,1))</f>
        <v>0.75000000000000788</v>
      </c>
      <c r="I276">
        <f ca="1">INDEX(Aerodynamique!$Z$6:$Z$546,MATCH(G276,Aerodynamique!$Y$6:$Y$546,1))</f>
        <v>1.3209795988859982E-2</v>
      </c>
      <c r="J276">
        <f t="shared" ca="1" si="22"/>
        <v>3888.7504147389673</v>
      </c>
      <c r="K276" s="86">
        <f ca="1">INDEX(Aerodynamique!$AC$6:$AC$1006,MATCH(INDEX(Aerodynamique!$W$6:$W$546,MATCH(G276,Aerodynamique!$Y$6:$Y$546,1)),Aerodynamique!$AD$6:$AD$1006,-1))</f>
        <v>-3.9400000000000062</v>
      </c>
      <c r="L276">
        <f ca="1">Montée!$B$19*((E276-E275)/60)*J276/10</f>
        <v>12.433682271275263</v>
      </c>
      <c r="M276">
        <f t="shared" ca="1" si="24"/>
        <v>3591.1940009561672</v>
      </c>
    </row>
    <row r="277" spans="5:13">
      <c r="E277" s="210">
        <f t="shared" si="20"/>
        <v>272</v>
      </c>
      <c r="F277">
        <f t="shared" ca="1" si="23"/>
        <v>11101.993259941128</v>
      </c>
      <c r="G277">
        <f t="shared" ca="1" si="21"/>
        <v>0.36806775518674484</v>
      </c>
      <c r="H277">
        <f ca="1">INDEX(Aerodynamique!$T$6:$T$546,MATCH(G277,Aerodynamique!$Y$6:$Y$546,1))</f>
        <v>0.75000000000000788</v>
      </c>
      <c r="I277">
        <f ca="1">INDEX(Aerodynamique!$Z$6:$Z$546,MATCH(G277,Aerodynamique!$Y$6:$Y$546,1))</f>
        <v>1.3209795988859982E-2</v>
      </c>
      <c r="J277">
        <f t="shared" ca="1" si="22"/>
        <v>3888.7504147389673</v>
      </c>
      <c r="K277" s="86">
        <f ca="1">INDEX(Aerodynamique!$AC$6:$AC$1006,MATCH(INDEX(Aerodynamique!$W$6:$W$546,MATCH(G277,Aerodynamique!$Y$6:$Y$546,1)),Aerodynamique!$AD$6:$AD$1006,-1))</f>
        <v>-3.9400000000000062</v>
      </c>
      <c r="L277">
        <f ca="1">Montée!$B$19*((E277-E276)/60)*J277/10</f>
        <v>12.433682271275263</v>
      </c>
      <c r="M277">
        <f t="shared" ca="1" si="24"/>
        <v>3603.6276832274425</v>
      </c>
    </row>
    <row r="278" spans="5:13">
      <c r="E278" s="210">
        <f t="shared" si="20"/>
        <v>273</v>
      </c>
      <c r="F278">
        <f t="shared" ca="1" si="23"/>
        <v>11089.559577669852</v>
      </c>
      <c r="G278">
        <f t="shared" ca="1" si="21"/>
        <v>0.3676555375412156</v>
      </c>
      <c r="H278">
        <f ca="1">INDEX(Aerodynamique!$T$6:$T$546,MATCH(G278,Aerodynamique!$Y$6:$Y$546,1))</f>
        <v>0.75000000000000788</v>
      </c>
      <c r="I278">
        <f ca="1">INDEX(Aerodynamique!$Z$6:$Z$546,MATCH(G278,Aerodynamique!$Y$6:$Y$546,1))</f>
        <v>1.3209795988859982E-2</v>
      </c>
      <c r="J278">
        <f t="shared" ca="1" si="22"/>
        <v>3888.7504147389673</v>
      </c>
      <c r="K278" s="86">
        <f ca="1">INDEX(Aerodynamique!$AC$6:$AC$1006,MATCH(INDEX(Aerodynamique!$W$6:$W$546,MATCH(G278,Aerodynamique!$Y$6:$Y$546,1)),Aerodynamique!$AD$6:$AD$1006,-1))</f>
        <v>-3.9400000000000062</v>
      </c>
      <c r="L278">
        <f ca="1">Montée!$B$19*((E278-E277)/60)*J278/10</f>
        <v>12.433682271275263</v>
      </c>
      <c r="M278">
        <f t="shared" ca="1" si="24"/>
        <v>3616.0613654987178</v>
      </c>
    </row>
    <row r="279" spans="5:13">
      <c r="E279" s="210">
        <f t="shared" si="20"/>
        <v>274</v>
      </c>
      <c r="F279">
        <f t="shared" ca="1" si="23"/>
        <v>11077.125895398576</v>
      </c>
      <c r="G279">
        <f t="shared" ca="1" si="21"/>
        <v>0.36724331989568648</v>
      </c>
      <c r="H279">
        <f ca="1">INDEX(Aerodynamique!$T$6:$T$546,MATCH(G279,Aerodynamique!$Y$6:$Y$546,1))</f>
        <v>0.75000000000000788</v>
      </c>
      <c r="I279">
        <f ca="1">INDEX(Aerodynamique!$Z$6:$Z$546,MATCH(G279,Aerodynamique!$Y$6:$Y$546,1))</f>
        <v>1.3209795988859982E-2</v>
      </c>
      <c r="J279">
        <f t="shared" ca="1" si="22"/>
        <v>3888.7504147389673</v>
      </c>
      <c r="K279" s="86">
        <f ca="1">INDEX(Aerodynamique!$AC$6:$AC$1006,MATCH(INDEX(Aerodynamique!$W$6:$W$546,MATCH(G279,Aerodynamique!$Y$6:$Y$546,1)),Aerodynamique!$AD$6:$AD$1006,-1))</f>
        <v>-3.9400000000000062</v>
      </c>
      <c r="L279">
        <f ca="1">Montée!$B$19*((E279-E278)/60)*J279/10</f>
        <v>12.433682271275263</v>
      </c>
      <c r="M279">
        <f t="shared" ca="1" si="24"/>
        <v>3628.4950477699931</v>
      </c>
    </row>
    <row r="280" spans="5:13">
      <c r="E280" s="210">
        <f t="shared" si="20"/>
        <v>275</v>
      </c>
      <c r="F280">
        <f t="shared" ca="1" si="23"/>
        <v>11064.6922131273</v>
      </c>
      <c r="G280">
        <f t="shared" ca="1" si="21"/>
        <v>0.36683110225015725</v>
      </c>
      <c r="H280">
        <f ca="1">INDEX(Aerodynamique!$T$6:$T$546,MATCH(G280,Aerodynamique!$Y$6:$Y$546,1))</f>
        <v>0.75000000000000788</v>
      </c>
      <c r="I280">
        <f ca="1">INDEX(Aerodynamique!$Z$6:$Z$546,MATCH(G280,Aerodynamique!$Y$6:$Y$546,1))</f>
        <v>1.3209795988859982E-2</v>
      </c>
      <c r="J280">
        <f t="shared" ca="1" si="22"/>
        <v>3888.7504147389673</v>
      </c>
      <c r="K280" s="86">
        <f ca="1">INDEX(Aerodynamique!$AC$6:$AC$1006,MATCH(INDEX(Aerodynamique!$W$6:$W$546,MATCH(G280,Aerodynamique!$Y$6:$Y$546,1)),Aerodynamique!$AD$6:$AD$1006,-1))</f>
        <v>-3.9400000000000062</v>
      </c>
      <c r="L280">
        <f ca="1">Montée!$B$19*((E280-E279)/60)*J280/10</f>
        <v>12.433682271275263</v>
      </c>
      <c r="M280">
        <f t="shared" ca="1" si="24"/>
        <v>3640.9287300412684</v>
      </c>
    </row>
    <row r="281" spans="5:13">
      <c r="E281" s="210">
        <f t="shared" si="20"/>
        <v>276</v>
      </c>
      <c r="F281">
        <f t="shared" ca="1" si="23"/>
        <v>11052.258530856025</v>
      </c>
      <c r="G281">
        <f t="shared" ca="1" si="21"/>
        <v>0.36641888460462813</v>
      </c>
      <c r="H281">
        <f ca="1">INDEX(Aerodynamique!$T$6:$T$546,MATCH(G281,Aerodynamique!$Y$6:$Y$546,1))</f>
        <v>0.75000000000000788</v>
      </c>
      <c r="I281">
        <f ca="1">INDEX(Aerodynamique!$Z$6:$Z$546,MATCH(G281,Aerodynamique!$Y$6:$Y$546,1))</f>
        <v>1.3209795988859982E-2</v>
      </c>
      <c r="J281">
        <f t="shared" ca="1" si="22"/>
        <v>3888.7504147389673</v>
      </c>
      <c r="K281" s="86">
        <f ca="1">INDEX(Aerodynamique!$AC$6:$AC$1006,MATCH(INDEX(Aerodynamique!$W$6:$W$546,MATCH(G281,Aerodynamique!$Y$6:$Y$546,1)),Aerodynamique!$AD$6:$AD$1006,-1))</f>
        <v>-3.9400000000000062</v>
      </c>
      <c r="L281">
        <f ca="1">Montée!$B$19*((E281-E280)/60)*J281/10</f>
        <v>12.433682271275263</v>
      </c>
      <c r="M281">
        <f t="shared" ca="1" si="24"/>
        <v>3653.3624123125437</v>
      </c>
    </row>
    <row r="282" spans="5:13">
      <c r="E282" s="210">
        <f t="shared" si="20"/>
        <v>277</v>
      </c>
      <c r="F282">
        <f t="shared" ca="1" si="23"/>
        <v>11039.824848584749</v>
      </c>
      <c r="G282">
        <f t="shared" ca="1" si="21"/>
        <v>0.36600666695909895</v>
      </c>
      <c r="H282">
        <f ca="1">INDEX(Aerodynamique!$T$6:$T$546,MATCH(G282,Aerodynamique!$Y$6:$Y$546,1))</f>
        <v>0.75000000000000788</v>
      </c>
      <c r="I282">
        <f ca="1">INDEX(Aerodynamique!$Z$6:$Z$546,MATCH(G282,Aerodynamique!$Y$6:$Y$546,1))</f>
        <v>1.3209795988859982E-2</v>
      </c>
      <c r="J282">
        <f t="shared" ca="1" si="22"/>
        <v>3888.7504147389673</v>
      </c>
      <c r="K282" s="86">
        <f ca="1">INDEX(Aerodynamique!$AC$6:$AC$1006,MATCH(INDEX(Aerodynamique!$W$6:$W$546,MATCH(G282,Aerodynamique!$Y$6:$Y$546,1)),Aerodynamique!$AD$6:$AD$1006,-1))</f>
        <v>-3.9400000000000062</v>
      </c>
      <c r="L282">
        <f ca="1">Montée!$B$19*((E282-E281)/60)*J282/10</f>
        <v>12.433682271275263</v>
      </c>
      <c r="M282">
        <f t="shared" ca="1" si="24"/>
        <v>3665.796094583819</v>
      </c>
    </row>
    <row r="283" spans="5:13">
      <c r="E283" s="210">
        <f t="shared" si="20"/>
        <v>278</v>
      </c>
      <c r="F283">
        <f t="shared" ca="1" si="23"/>
        <v>11027.391166313473</v>
      </c>
      <c r="G283">
        <f t="shared" ca="1" si="21"/>
        <v>0.36559444931356977</v>
      </c>
      <c r="H283">
        <f ca="1">INDEX(Aerodynamique!$T$6:$T$546,MATCH(G283,Aerodynamique!$Y$6:$Y$546,1))</f>
        <v>0.75000000000000788</v>
      </c>
      <c r="I283">
        <f ca="1">INDEX(Aerodynamique!$Z$6:$Z$546,MATCH(G283,Aerodynamique!$Y$6:$Y$546,1))</f>
        <v>1.3209795988859982E-2</v>
      </c>
      <c r="J283">
        <f t="shared" ca="1" si="22"/>
        <v>3888.7504147389673</v>
      </c>
      <c r="K283" s="86">
        <f ca="1">INDEX(Aerodynamique!$AC$6:$AC$1006,MATCH(INDEX(Aerodynamique!$W$6:$W$546,MATCH(G283,Aerodynamique!$Y$6:$Y$546,1)),Aerodynamique!$AD$6:$AD$1006,-1))</f>
        <v>-3.9400000000000062</v>
      </c>
      <c r="L283">
        <f ca="1">Montée!$B$19*((E283-E282)/60)*J283/10</f>
        <v>12.433682271275263</v>
      </c>
      <c r="M283">
        <f t="shared" ca="1" si="24"/>
        <v>3678.2297768550943</v>
      </c>
    </row>
    <row r="284" spans="5:13">
      <c r="E284" s="210">
        <f t="shared" si="20"/>
        <v>279</v>
      </c>
      <c r="F284">
        <f t="shared" ca="1" si="23"/>
        <v>11014.957484042197</v>
      </c>
      <c r="G284">
        <f t="shared" ca="1" si="21"/>
        <v>0.36518223166804059</v>
      </c>
      <c r="H284">
        <f ca="1">INDEX(Aerodynamique!$T$6:$T$546,MATCH(G284,Aerodynamique!$Y$6:$Y$546,1))</f>
        <v>0.70000000000000784</v>
      </c>
      <c r="I284">
        <f ca="1">INDEX(Aerodynamique!$Z$6:$Z$546,MATCH(G284,Aerodynamique!$Y$6:$Y$546,1))</f>
        <v>1.3145347157704431E-2</v>
      </c>
      <c r="J284">
        <f t="shared" ca="1" si="22"/>
        <v>3869.7777206037249</v>
      </c>
      <c r="K284" s="86">
        <f ca="1">INDEX(Aerodynamique!$AC$6:$AC$1006,MATCH(INDEX(Aerodynamique!$W$6:$W$546,MATCH(G284,Aerodynamique!$Y$6:$Y$546,1)),Aerodynamique!$AD$6:$AD$1006,-1))</f>
        <v>-3.9000000000000061</v>
      </c>
      <c r="L284">
        <f ca="1">Montée!$B$19*((E284-E283)/60)*J284/10</f>
        <v>12.373019995338606</v>
      </c>
      <c r="M284">
        <f t="shared" ca="1" si="24"/>
        <v>3690.6027968504327</v>
      </c>
    </row>
    <row r="285" spans="5:13">
      <c r="E285" s="210">
        <f t="shared" si="20"/>
        <v>280</v>
      </c>
      <c r="F285">
        <f t="shared" ca="1" si="23"/>
        <v>11002.584464046859</v>
      </c>
      <c r="G285">
        <f t="shared" ca="1" si="21"/>
        <v>0.36477202517737395</v>
      </c>
      <c r="H285">
        <f ca="1">INDEX(Aerodynamique!$T$6:$T$546,MATCH(G285,Aerodynamique!$Y$6:$Y$546,1))</f>
        <v>0.70000000000000784</v>
      </c>
      <c r="I285">
        <f ca="1">INDEX(Aerodynamique!$Z$6:$Z$546,MATCH(G285,Aerodynamique!$Y$6:$Y$546,1))</f>
        <v>1.3145347157704431E-2</v>
      </c>
      <c r="J285">
        <f t="shared" ca="1" si="22"/>
        <v>3869.7777206037249</v>
      </c>
      <c r="K285" s="86">
        <f ca="1">INDEX(Aerodynamique!$AC$6:$AC$1006,MATCH(INDEX(Aerodynamique!$W$6:$W$546,MATCH(G285,Aerodynamique!$Y$6:$Y$546,1)),Aerodynamique!$AD$6:$AD$1006,-1))</f>
        <v>-3.9000000000000061</v>
      </c>
      <c r="L285">
        <f ca="1">Montée!$B$19*((E285-E284)/60)*J285/10</f>
        <v>12.373019995338606</v>
      </c>
      <c r="M285">
        <f t="shared" ca="1" si="24"/>
        <v>3702.9758168457711</v>
      </c>
    </row>
    <row r="286" spans="5:13">
      <c r="E286" s="210">
        <f t="shared" si="20"/>
        <v>281</v>
      </c>
      <c r="F286">
        <f t="shared" ca="1" si="23"/>
        <v>10990.21144405152</v>
      </c>
      <c r="G286">
        <f t="shared" ca="1" si="21"/>
        <v>0.36436181868670731</v>
      </c>
      <c r="H286">
        <f ca="1">INDEX(Aerodynamique!$T$6:$T$546,MATCH(G286,Aerodynamique!$Y$6:$Y$546,1))</f>
        <v>0.70000000000000784</v>
      </c>
      <c r="I286">
        <f ca="1">INDEX(Aerodynamique!$Z$6:$Z$546,MATCH(G286,Aerodynamique!$Y$6:$Y$546,1))</f>
        <v>1.3145347157704431E-2</v>
      </c>
      <c r="J286">
        <f t="shared" ca="1" si="22"/>
        <v>3869.7777206037249</v>
      </c>
      <c r="K286" s="86">
        <f ca="1">INDEX(Aerodynamique!$AC$6:$AC$1006,MATCH(INDEX(Aerodynamique!$W$6:$W$546,MATCH(G286,Aerodynamique!$Y$6:$Y$546,1)),Aerodynamique!$AD$6:$AD$1006,-1))</f>
        <v>-3.9000000000000061</v>
      </c>
      <c r="L286">
        <f ca="1">Montée!$B$19*((E286-E285)/60)*J286/10</f>
        <v>12.373019995338606</v>
      </c>
      <c r="M286">
        <f t="shared" ca="1" si="24"/>
        <v>3715.3488368411095</v>
      </c>
    </row>
    <row r="287" spans="5:13">
      <c r="E287" s="210">
        <f t="shared" si="20"/>
        <v>282</v>
      </c>
      <c r="F287">
        <f t="shared" ca="1" si="23"/>
        <v>10977.838424056181</v>
      </c>
      <c r="G287">
        <f t="shared" ca="1" si="21"/>
        <v>0.36395161219604066</v>
      </c>
      <c r="H287">
        <f ca="1">INDEX(Aerodynamique!$T$6:$T$546,MATCH(G287,Aerodynamique!$Y$6:$Y$546,1))</f>
        <v>0.70000000000000784</v>
      </c>
      <c r="I287">
        <f ca="1">INDEX(Aerodynamique!$Z$6:$Z$546,MATCH(G287,Aerodynamique!$Y$6:$Y$546,1))</f>
        <v>1.3145347157704431E-2</v>
      </c>
      <c r="J287">
        <f t="shared" ca="1" si="22"/>
        <v>3869.7777206037249</v>
      </c>
      <c r="K287" s="86">
        <f ca="1">INDEX(Aerodynamique!$AC$6:$AC$1006,MATCH(INDEX(Aerodynamique!$W$6:$W$546,MATCH(G287,Aerodynamique!$Y$6:$Y$546,1)),Aerodynamique!$AD$6:$AD$1006,-1))</f>
        <v>-3.9000000000000061</v>
      </c>
      <c r="L287">
        <f ca="1">Montée!$B$19*((E287-E286)/60)*J287/10</f>
        <v>12.373019995338606</v>
      </c>
      <c r="M287">
        <f t="shared" ca="1" si="24"/>
        <v>3727.7218568364478</v>
      </c>
    </row>
    <row r="288" spans="5:13">
      <c r="E288" s="210">
        <f t="shared" si="20"/>
        <v>283</v>
      </c>
      <c r="F288">
        <f t="shared" ca="1" si="23"/>
        <v>10965.465404060842</v>
      </c>
      <c r="G288">
        <f t="shared" ca="1" si="21"/>
        <v>0.36354140570537402</v>
      </c>
      <c r="H288">
        <f ca="1">INDEX(Aerodynamique!$T$6:$T$546,MATCH(G288,Aerodynamique!$Y$6:$Y$546,1))</f>
        <v>0.70000000000000784</v>
      </c>
      <c r="I288">
        <f ca="1">INDEX(Aerodynamique!$Z$6:$Z$546,MATCH(G288,Aerodynamique!$Y$6:$Y$546,1))</f>
        <v>1.3145347157704431E-2</v>
      </c>
      <c r="J288">
        <f t="shared" ca="1" si="22"/>
        <v>3869.7777206037249</v>
      </c>
      <c r="K288" s="86">
        <f ca="1">INDEX(Aerodynamique!$AC$6:$AC$1006,MATCH(INDEX(Aerodynamique!$W$6:$W$546,MATCH(G288,Aerodynamique!$Y$6:$Y$546,1)),Aerodynamique!$AD$6:$AD$1006,-1))</f>
        <v>-3.9000000000000061</v>
      </c>
      <c r="L288">
        <f ca="1">Montée!$B$19*((E288-E287)/60)*J288/10</f>
        <v>12.373019995338606</v>
      </c>
      <c r="M288">
        <f t="shared" ca="1" si="24"/>
        <v>3740.0948768317862</v>
      </c>
    </row>
    <row r="289" spans="5:13">
      <c r="E289" s="210">
        <f t="shared" si="20"/>
        <v>284</v>
      </c>
      <c r="F289">
        <f t="shared" ca="1" si="23"/>
        <v>10953.092384065503</v>
      </c>
      <c r="G289">
        <f t="shared" ca="1" si="21"/>
        <v>0.36313119921470743</v>
      </c>
      <c r="H289">
        <f ca="1">INDEX(Aerodynamique!$T$6:$T$546,MATCH(G289,Aerodynamique!$Y$6:$Y$546,1))</f>
        <v>0.70000000000000784</v>
      </c>
      <c r="I289">
        <f ca="1">INDEX(Aerodynamique!$Z$6:$Z$546,MATCH(G289,Aerodynamique!$Y$6:$Y$546,1))</f>
        <v>1.3145347157704431E-2</v>
      </c>
      <c r="J289">
        <f t="shared" ca="1" si="22"/>
        <v>3869.7777206037249</v>
      </c>
      <c r="K289" s="86">
        <f ca="1">INDEX(Aerodynamique!$AC$6:$AC$1006,MATCH(INDEX(Aerodynamique!$W$6:$W$546,MATCH(G289,Aerodynamique!$Y$6:$Y$546,1)),Aerodynamique!$AD$6:$AD$1006,-1))</f>
        <v>-3.9000000000000061</v>
      </c>
      <c r="L289">
        <f ca="1">Montée!$B$19*((E289-E288)/60)*J289/10</f>
        <v>12.373019995338606</v>
      </c>
      <c r="M289">
        <f t="shared" ca="1" si="24"/>
        <v>3752.4678968271246</v>
      </c>
    </row>
    <row r="290" spans="5:13">
      <c r="E290" s="210">
        <f t="shared" si="20"/>
        <v>285</v>
      </c>
      <c r="F290">
        <f t="shared" ca="1" si="23"/>
        <v>10940.719364070164</v>
      </c>
      <c r="G290">
        <f t="shared" ca="1" si="21"/>
        <v>0.36272099272404074</v>
      </c>
      <c r="H290">
        <f ca="1">INDEX(Aerodynamique!$T$6:$T$546,MATCH(G290,Aerodynamique!$Y$6:$Y$546,1))</f>
        <v>0.70000000000000784</v>
      </c>
      <c r="I290">
        <f ca="1">INDEX(Aerodynamique!$Z$6:$Z$546,MATCH(G290,Aerodynamique!$Y$6:$Y$546,1))</f>
        <v>1.3145347157704431E-2</v>
      </c>
      <c r="J290">
        <f t="shared" ca="1" si="22"/>
        <v>3869.7777206037249</v>
      </c>
      <c r="K290" s="86">
        <f ca="1">INDEX(Aerodynamique!$AC$6:$AC$1006,MATCH(INDEX(Aerodynamique!$W$6:$W$546,MATCH(G290,Aerodynamique!$Y$6:$Y$546,1)),Aerodynamique!$AD$6:$AD$1006,-1))</f>
        <v>-3.9000000000000061</v>
      </c>
      <c r="L290">
        <f ca="1">Montée!$B$19*((E290-E289)/60)*J290/10</f>
        <v>12.373019995338606</v>
      </c>
      <c r="M290">
        <f t="shared" ca="1" si="24"/>
        <v>3764.840916822463</v>
      </c>
    </row>
    <row r="291" spans="5:13">
      <c r="E291" s="210">
        <f t="shared" si="20"/>
        <v>286</v>
      </c>
      <c r="F291">
        <f t="shared" ca="1" si="23"/>
        <v>10928.346344074826</v>
      </c>
      <c r="G291">
        <f t="shared" ca="1" si="21"/>
        <v>0.36231078623337415</v>
      </c>
      <c r="H291">
        <f ca="1">INDEX(Aerodynamique!$T$6:$T$546,MATCH(G291,Aerodynamique!$Y$6:$Y$546,1))</f>
        <v>0.70000000000000784</v>
      </c>
      <c r="I291">
        <f ca="1">INDEX(Aerodynamique!$Z$6:$Z$546,MATCH(G291,Aerodynamique!$Y$6:$Y$546,1))</f>
        <v>1.3145347157704431E-2</v>
      </c>
      <c r="J291">
        <f t="shared" ca="1" si="22"/>
        <v>3869.7777206037249</v>
      </c>
      <c r="K291" s="86">
        <f ca="1">INDEX(Aerodynamique!$AC$6:$AC$1006,MATCH(INDEX(Aerodynamique!$W$6:$W$546,MATCH(G291,Aerodynamique!$Y$6:$Y$546,1)),Aerodynamique!$AD$6:$AD$1006,-1))</f>
        <v>-3.9000000000000061</v>
      </c>
      <c r="L291">
        <f ca="1">Montée!$B$19*((E291-E290)/60)*J291/10</f>
        <v>12.373019995338606</v>
      </c>
      <c r="M291">
        <f t="shared" ca="1" si="24"/>
        <v>3777.2139368178014</v>
      </c>
    </row>
    <row r="292" spans="5:13">
      <c r="E292" s="210">
        <f t="shared" si="20"/>
        <v>287</v>
      </c>
      <c r="F292">
        <f t="shared" ca="1" si="23"/>
        <v>10915.973324079487</v>
      </c>
      <c r="G292">
        <f t="shared" ca="1" si="21"/>
        <v>0.36190057974270751</v>
      </c>
      <c r="H292">
        <f ca="1">INDEX(Aerodynamique!$T$6:$T$546,MATCH(G292,Aerodynamique!$Y$6:$Y$546,1))</f>
        <v>0.70000000000000784</v>
      </c>
      <c r="I292">
        <f ca="1">INDEX(Aerodynamique!$Z$6:$Z$546,MATCH(G292,Aerodynamique!$Y$6:$Y$546,1))</f>
        <v>1.3145347157704431E-2</v>
      </c>
      <c r="J292">
        <f t="shared" ca="1" si="22"/>
        <v>3869.7777206037249</v>
      </c>
      <c r="K292" s="86">
        <f ca="1">INDEX(Aerodynamique!$AC$6:$AC$1006,MATCH(INDEX(Aerodynamique!$W$6:$W$546,MATCH(G292,Aerodynamique!$Y$6:$Y$546,1)),Aerodynamique!$AD$6:$AD$1006,-1))</f>
        <v>-3.9000000000000061</v>
      </c>
      <c r="L292">
        <f ca="1">Montée!$B$19*((E292-E291)/60)*J292/10</f>
        <v>12.373019995338606</v>
      </c>
      <c r="M292">
        <f t="shared" ca="1" si="24"/>
        <v>3789.5869568131398</v>
      </c>
    </row>
    <row r="293" spans="5:13">
      <c r="E293" s="210">
        <f t="shared" si="20"/>
        <v>288</v>
      </c>
      <c r="F293">
        <f t="shared" ca="1" si="23"/>
        <v>10903.600304084148</v>
      </c>
      <c r="G293">
        <f t="shared" ca="1" si="21"/>
        <v>0.36149037325204086</v>
      </c>
      <c r="H293">
        <f ca="1">INDEX(Aerodynamique!$T$6:$T$546,MATCH(G293,Aerodynamique!$Y$6:$Y$546,1))</f>
        <v>0.70000000000000784</v>
      </c>
      <c r="I293">
        <f ca="1">INDEX(Aerodynamique!$Z$6:$Z$546,MATCH(G293,Aerodynamique!$Y$6:$Y$546,1))</f>
        <v>1.3145347157704431E-2</v>
      </c>
      <c r="J293">
        <f t="shared" ca="1" si="22"/>
        <v>3869.7777206037249</v>
      </c>
      <c r="K293" s="86">
        <f ca="1">INDEX(Aerodynamique!$AC$6:$AC$1006,MATCH(INDEX(Aerodynamique!$W$6:$W$546,MATCH(G293,Aerodynamique!$Y$6:$Y$546,1)),Aerodynamique!$AD$6:$AD$1006,-1))</f>
        <v>-3.9000000000000061</v>
      </c>
      <c r="L293">
        <f ca="1">Montée!$B$19*((E293-E292)/60)*J293/10</f>
        <v>12.373019995338606</v>
      </c>
      <c r="M293">
        <f t="shared" ca="1" si="24"/>
        <v>3801.9599768084781</v>
      </c>
    </row>
    <row r="294" spans="5:13">
      <c r="E294" s="210">
        <f t="shared" si="20"/>
        <v>289</v>
      </c>
      <c r="F294">
        <f t="shared" ca="1" si="23"/>
        <v>10891.227284088809</v>
      </c>
      <c r="G294">
        <f t="shared" ca="1" si="21"/>
        <v>0.36108016676137428</v>
      </c>
      <c r="H294">
        <f ca="1">INDEX(Aerodynamique!$T$6:$T$546,MATCH(G294,Aerodynamique!$Y$6:$Y$546,1))</f>
        <v>0.70000000000000784</v>
      </c>
      <c r="I294">
        <f ca="1">INDEX(Aerodynamique!$Z$6:$Z$546,MATCH(G294,Aerodynamique!$Y$6:$Y$546,1))</f>
        <v>1.3145347157704431E-2</v>
      </c>
      <c r="J294">
        <f t="shared" ca="1" si="22"/>
        <v>3869.7777206037249</v>
      </c>
      <c r="K294" s="86">
        <f ca="1">INDEX(Aerodynamique!$AC$6:$AC$1006,MATCH(INDEX(Aerodynamique!$W$6:$W$546,MATCH(G294,Aerodynamique!$Y$6:$Y$546,1)),Aerodynamique!$AD$6:$AD$1006,-1))</f>
        <v>-3.9000000000000061</v>
      </c>
      <c r="L294">
        <f ca="1">Montée!$B$19*((E294-E293)/60)*J294/10</f>
        <v>12.373019995338606</v>
      </c>
      <c r="M294">
        <f t="shared" ca="1" si="24"/>
        <v>3814.3329968038165</v>
      </c>
    </row>
    <row r="295" spans="5:13">
      <c r="E295" s="210">
        <f t="shared" si="20"/>
        <v>290</v>
      </c>
      <c r="F295">
        <f t="shared" ca="1" si="23"/>
        <v>10878.85426409347</v>
      </c>
      <c r="G295">
        <f t="shared" ca="1" si="21"/>
        <v>0.36066996027070758</v>
      </c>
      <c r="H295">
        <f ca="1">INDEX(Aerodynamique!$T$6:$T$546,MATCH(G295,Aerodynamique!$Y$6:$Y$546,1))</f>
        <v>0.70000000000000784</v>
      </c>
      <c r="I295">
        <f ca="1">INDEX(Aerodynamique!$Z$6:$Z$546,MATCH(G295,Aerodynamique!$Y$6:$Y$546,1))</f>
        <v>1.3145347157704431E-2</v>
      </c>
      <c r="J295">
        <f t="shared" ca="1" si="22"/>
        <v>3869.7777206037249</v>
      </c>
      <c r="K295" s="86">
        <f ca="1">INDEX(Aerodynamique!$AC$6:$AC$1006,MATCH(INDEX(Aerodynamique!$W$6:$W$546,MATCH(G295,Aerodynamique!$Y$6:$Y$546,1)),Aerodynamique!$AD$6:$AD$1006,-1))</f>
        <v>-3.9000000000000061</v>
      </c>
      <c r="L295">
        <f ca="1">Montée!$B$19*((E295-E294)/60)*J295/10</f>
        <v>12.373019995338606</v>
      </c>
      <c r="M295">
        <f t="shared" ca="1" si="24"/>
        <v>3826.7060167991549</v>
      </c>
    </row>
    <row r="296" spans="5:13">
      <c r="E296" s="210">
        <f t="shared" si="20"/>
        <v>291</v>
      </c>
      <c r="F296">
        <f t="shared" ca="1" si="23"/>
        <v>10866.481244098131</v>
      </c>
      <c r="G296">
        <f t="shared" ca="1" si="21"/>
        <v>0.36025975378004099</v>
      </c>
      <c r="H296">
        <f ca="1">INDEX(Aerodynamique!$T$6:$T$546,MATCH(G296,Aerodynamique!$Y$6:$Y$546,1))</f>
        <v>0.65000000000000779</v>
      </c>
      <c r="I296">
        <f ca="1">INDEX(Aerodynamique!$Z$6:$Z$546,MATCH(G296,Aerodynamique!$Y$6:$Y$546,1))</f>
        <v>1.3081966136561041E-2</v>
      </c>
      <c r="J296">
        <f t="shared" ca="1" si="22"/>
        <v>3851.1193724758818</v>
      </c>
      <c r="K296" s="86">
        <f ca="1">INDEX(Aerodynamique!$AC$6:$AC$1006,MATCH(INDEX(Aerodynamique!$W$6:$W$546,MATCH(G296,Aerodynamique!$Y$6:$Y$546,1)),Aerodynamique!$AD$6:$AD$1006,-1))</f>
        <v>-3.8600000000000061</v>
      </c>
      <c r="L296">
        <f ca="1">Montée!$B$19*((E296-E295)/60)*J296/10</f>
        <v>12.313362792487746</v>
      </c>
      <c r="M296">
        <f t="shared" ca="1" si="24"/>
        <v>3839.0193795916425</v>
      </c>
    </row>
    <row r="297" spans="5:13">
      <c r="E297" s="210">
        <f t="shared" si="20"/>
        <v>292</v>
      </c>
      <c r="F297">
        <f t="shared" ca="1" si="23"/>
        <v>10854.167881305644</v>
      </c>
      <c r="G297">
        <f t="shared" ca="1" si="21"/>
        <v>0.35985152512274354</v>
      </c>
      <c r="H297">
        <f ca="1">INDEX(Aerodynamique!$T$6:$T$546,MATCH(G297,Aerodynamique!$Y$6:$Y$546,1))</f>
        <v>0.65000000000000779</v>
      </c>
      <c r="I297">
        <f ca="1">INDEX(Aerodynamique!$Z$6:$Z$546,MATCH(G297,Aerodynamique!$Y$6:$Y$546,1))</f>
        <v>1.3081966136561041E-2</v>
      </c>
      <c r="J297">
        <f t="shared" ca="1" si="22"/>
        <v>3851.1193724758818</v>
      </c>
      <c r="K297" s="86">
        <f ca="1">INDEX(Aerodynamique!$AC$6:$AC$1006,MATCH(INDEX(Aerodynamique!$W$6:$W$546,MATCH(G297,Aerodynamique!$Y$6:$Y$546,1)),Aerodynamique!$AD$6:$AD$1006,-1))</f>
        <v>-3.8600000000000061</v>
      </c>
      <c r="L297">
        <f ca="1">Montée!$B$19*((E297-E296)/60)*J297/10</f>
        <v>12.313362792487746</v>
      </c>
      <c r="M297">
        <f t="shared" ca="1" si="24"/>
        <v>3851.3327423841301</v>
      </c>
    </row>
    <row r="298" spans="5:13">
      <c r="E298" s="210">
        <f t="shared" si="20"/>
        <v>293</v>
      </c>
      <c r="F298">
        <f t="shared" ca="1" si="23"/>
        <v>10841.854518513157</v>
      </c>
      <c r="G298">
        <f t="shared" ca="1" si="21"/>
        <v>0.35944329646544609</v>
      </c>
      <c r="H298">
        <f ca="1">INDEX(Aerodynamique!$T$6:$T$546,MATCH(G298,Aerodynamique!$Y$6:$Y$546,1))</f>
        <v>0.65000000000000779</v>
      </c>
      <c r="I298">
        <f ca="1">INDEX(Aerodynamique!$Z$6:$Z$546,MATCH(G298,Aerodynamique!$Y$6:$Y$546,1))</f>
        <v>1.3081966136561041E-2</v>
      </c>
      <c r="J298">
        <f t="shared" ca="1" si="22"/>
        <v>3851.1193724758818</v>
      </c>
      <c r="K298" s="86">
        <f ca="1">INDEX(Aerodynamique!$AC$6:$AC$1006,MATCH(INDEX(Aerodynamique!$W$6:$W$546,MATCH(G298,Aerodynamique!$Y$6:$Y$546,1)),Aerodynamique!$AD$6:$AD$1006,-1))</f>
        <v>-3.8600000000000061</v>
      </c>
      <c r="L298">
        <f ca="1">Montée!$B$19*((E298-E297)/60)*J298/10</f>
        <v>12.313362792487746</v>
      </c>
      <c r="M298">
        <f t="shared" ca="1" si="24"/>
        <v>3863.6461051766178</v>
      </c>
    </row>
    <row r="299" spans="5:13">
      <c r="E299" s="210">
        <f t="shared" si="20"/>
        <v>294</v>
      </c>
      <c r="F299">
        <f t="shared" ca="1" si="23"/>
        <v>10829.54115572067</v>
      </c>
      <c r="G299">
        <f t="shared" ca="1" si="21"/>
        <v>0.35903506780814876</v>
      </c>
      <c r="H299">
        <f ca="1">INDEX(Aerodynamique!$T$6:$T$546,MATCH(G299,Aerodynamique!$Y$6:$Y$546,1))</f>
        <v>0.65000000000000779</v>
      </c>
      <c r="I299">
        <f ca="1">INDEX(Aerodynamique!$Z$6:$Z$546,MATCH(G299,Aerodynamique!$Y$6:$Y$546,1))</f>
        <v>1.3081966136561041E-2</v>
      </c>
      <c r="J299">
        <f t="shared" ca="1" si="22"/>
        <v>3851.1193724758818</v>
      </c>
      <c r="K299" s="86">
        <f ca="1">INDEX(Aerodynamique!$AC$6:$AC$1006,MATCH(INDEX(Aerodynamique!$W$6:$W$546,MATCH(G299,Aerodynamique!$Y$6:$Y$546,1)),Aerodynamique!$AD$6:$AD$1006,-1))</f>
        <v>-3.8600000000000061</v>
      </c>
      <c r="L299">
        <f ca="1">Montée!$B$19*((E299-E298)/60)*J299/10</f>
        <v>12.313362792487746</v>
      </c>
      <c r="M299">
        <f t="shared" ca="1" si="24"/>
        <v>3875.9594679691054</v>
      </c>
    </row>
    <row r="300" spans="5:13">
      <c r="E300" s="210">
        <f t="shared" si="20"/>
        <v>295</v>
      </c>
      <c r="F300">
        <f t="shared" ca="1" si="23"/>
        <v>10817.227792928183</v>
      </c>
      <c r="G300">
        <f t="shared" ca="1" si="21"/>
        <v>0.35862683915085131</v>
      </c>
      <c r="H300">
        <f ca="1">INDEX(Aerodynamique!$T$6:$T$546,MATCH(G300,Aerodynamique!$Y$6:$Y$546,1))</f>
        <v>0.65000000000000779</v>
      </c>
      <c r="I300">
        <f ca="1">INDEX(Aerodynamique!$Z$6:$Z$546,MATCH(G300,Aerodynamique!$Y$6:$Y$546,1))</f>
        <v>1.3081966136561041E-2</v>
      </c>
      <c r="J300">
        <f t="shared" ca="1" si="22"/>
        <v>3851.1193724758818</v>
      </c>
      <c r="K300" s="86">
        <f ca="1">INDEX(Aerodynamique!$AC$6:$AC$1006,MATCH(INDEX(Aerodynamique!$W$6:$W$546,MATCH(G300,Aerodynamique!$Y$6:$Y$546,1)),Aerodynamique!$AD$6:$AD$1006,-1))</f>
        <v>-3.8600000000000061</v>
      </c>
      <c r="L300">
        <f ca="1">Montée!$B$19*((E300-E299)/60)*J300/10</f>
        <v>12.313362792487746</v>
      </c>
      <c r="M300">
        <f t="shared" ca="1" si="24"/>
        <v>3888.272830761593</v>
      </c>
    </row>
    <row r="301" spans="5:13">
      <c r="E301" s="210">
        <f t="shared" si="20"/>
        <v>296</v>
      </c>
      <c r="F301">
        <f t="shared" ca="1" si="23"/>
        <v>10804.914430135696</v>
      </c>
      <c r="G301">
        <f t="shared" ca="1" si="21"/>
        <v>0.35821861049355386</v>
      </c>
      <c r="H301">
        <f ca="1">INDEX(Aerodynamique!$T$6:$T$546,MATCH(G301,Aerodynamique!$Y$6:$Y$546,1))</f>
        <v>0.65000000000000779</v>
      </c>
      <c r="I301">
        <f ca="1">INDEX(Aerodynamique!$Z$6:$Z$546,MATCH(G301,Aerodynamique!$Y$6:$Y$546,1))</f>
        <v>1.3081966136561041E-2</v>
      </c>
      <c r="J301">
        <f t="shared" ca="1" si="22"/>
        <v>3851.1193724758818</v>
      </c>
      <c r="K301" s="86">
        <f ca="1">INDEX(Aerodynamique!$AC$6:$AC$1006,MATCH(INDEX(Aerodynamique!$W$6:$W$546,MATCH(G301,Aerodynamique!$Y$6:$Y$546,1)),Aerodynamique!$AD$6:$AD$1006,-1))</f>
        <v>-3.8600000000000061</v>
      </c>
      <c r="L301">
        <f ca="1">Montée!$B$19*((E301-E300)/60)*J301/10</f>
        <v>12.313362792487746</v>
      </c>
      <c r="M301">
        <f t="shared" ca="1" si="24"/>
        <v>3900.5861935540806</v>
      </c>
    </row>
    <row r="302" spans="5:13">
      <c r="E302" s="210">
        <f t="shared" si="20"/>
        <v>297</v>
      </c>
      <c r="F302">
        <f t="shared" ca="1" si="23"/>
        <v>10792.601067343208</v>
      </c>
      <c r="G302">
        <f t="shared" ca="1" si="21"/>
        <v>0.35781038183625646</v>
      </c>
      <c r="H302">
        <f ca="1">INDEX(Aerodynamique!$T$6:$T$546,MATCH(G302,Aerodynamique!$Y$6:$Y$546,1))</f>
        <v>0.65000000000000779</v>
      </c>
      <c r="I302">
        <f ca="1">INDEX(Aerodynamique!$Z$6:$Z$546,MATCH(G302,Aerodynamique!$Y$6:$Y$546,1))</f>
        <v>1.3081966136561041E-2</v>
      </c>
      <c r="J302">
        <f t="shared" ca="1" si="22"/>
        <v>3851.1193724758818</v>
      </c>
      <c r="K302" s="86">
        <f ca="1">INDEX(Aerodynamique!$AC$6:$AC$1006,MATCH(INDEX(Aerodynamique!$W$6:$W$546,MATCH(G302,Aerodynamique!$Y$6:$Y$546,1)),Aerodynamique!$AD$6:$AD$1006,-1))</f>
        <v>-3.8600000000000061</v>
      </c>
      <c r="L302">
        <f ca="1">Montée!$B$19*((E302-E301)/60)*J302/10</f>
        <v>12.313362792487746</v>
      </c>
      <c r="M302">
        <f t="shared" ca="1" si="24"/>
        <v>3912.8995563465683</v>
      </c>
    </row>
    <row r="303" spans="5:13">
      <c r="E303" s="210">
        <f t="shared" si="20"/>
        <v>298</v>
      </c>
      <c r="F303">
        <f t="shared" ca="1" si="23"/>
        <v>10780.287704550721</v>
      </c>
      <c r="G303">
        <f t="shared" ca="1" si="21"/>
        <v>0.35740215317895907</v>
      </c>
      <c r="H303">
        <f ca="1">INDEX(Aerodynamique!$T$6:$T$546,MATCH(G303,Aerodynamique!$Y$6:$Y$546,1))</f>
        <v>0.65000000000000779</v>
      </c>
      <c r="I303">
        <f ca="1">INDEX(Aerodynamique!$Z$6:$Z$546,MATCH(G303,Aerodynamique!$Y$6:$Y$546,1))</f>
        <v>1.3081966136561041E-2</v>
      </c>
      <c r="J303">
        <f t="shared" ca="1" si="22"/>
        <v>3851.1193724758818</v>
      </c>
      <c r="K303" s="86">
        <f ca="1">INDEX(Aerodynamique!$AC$6:$AC$1006,MATCH(INDEX(Aerodynamique!$W$6:$W$546,MATCH(G303,Aerodynamique!$Y$6:$Y$546,1)),Aerodynamique!$AD$6:$AD$1006,-1))</f>
        <v>-3.8600000000000061</v>
      </c>
      <c r="L303">
        <f ca="1">Montée!$B$19*((E303-E302)/60)*J303/10</f>
        <v>12.313362792487746</v>
      </c>
      <c r="M303">
        <f t="shared" ca="1" si="24"/>
        <v>3925.2129191390559</v>
      </c>
    </row>
    <row r="304" spans="5:13">
      <c r="E304" s="210">
        <f t="shared" si="20"/>
        <v>299</v>
      </c>
      <c r="F304">
        <f t="shared" ca="1" si="23"/>
        <v>10767.974341758234</v>
      </c>
      <c r="G304">
        <f t="shared" ca="1" si="21"/>
        <v>0.35699392452166168</v>
      </c>
      <c r="H304">
        <f ca="1">INDEX(Aerodynamique!$T$6:$T$546,MATCH(G304,Aerodynamique!$Y$6:$Y$546,1))</f>
        <v>0.65000000000000779</v>
      </c>
      <c r="I304">
        <f ca="1">INDEX(Aerodynamique!$Z$6:$Z$546,MATCH(G304,Aerodynamique!$Y$6:$Y$546,1))</f>
        <v>1.3081966136561041E-2</v>
      </c>
      <c r="J304">
        <f t="shared" ca="1" si="22"/>
        <v>3851.1193724758818</v>
      </c>
      <c r="K304" s="86">
        <f ca="1">INDEX(Aerodynamique!$AC$6:$AC$1006,MATCH(INDEX(Aerodynamique!$W$6:$W$546,MATCH(G304,Aerodynamique!$Y$6:$Y$546,1)),Aerodynamique!$AD$6:$AD$1006,-1))</f>
        <v>-3.8600000000000061</v>
      </c>
      <c r="L304">
        <f ca="1">Montée!$B$19*((E304-E303)/60)*J304/10</f>
        <v>12.313362792487746</v>
      </c>
      <c r="M304">
        <f t="shared" ca="1" si="24"/>
        <v>3937.5262819315435</v>
      </c>
    </row>
    <row r="305" spans="5:13">
      <c r="E305" s="210">
        <f t="shared" si="20"/>
        <v>300</v>
      </c>
      <c r="F305">
        <f t="shared" ca="1" si="23"/>
        <v>10755.660978965747</v>
      </c>
      <c r="G305">
        <f t="shared" ca="1" si="21"/>
        <v>0.35658569586436423</v>
      </c>
      <c r="H305">
        <f ca="1">INDEX(Aerodynamique!$T$6:$T$546,MATCH(G305,Aerodynamique!$Y$6:$Y$546,1))</f>
        <v>0.65000000000000779</v>
      </c>
      <c r="I305">
        <f ca="1">INDEX(Aerodynamique!$Z$6:$Z$546,MATCH(G305,Aerodynamique!$Y$6:$Y$546,1))</f>
        <v>1.3081966136561041E-2</v>
      </c>
      <c r="J305">
        <f t="shared" ca="1" si="22"/>
        <v>3851.1193724758818</v>
      </c>
      <c r="K305" s="86">
        <f ca="1">INDEX(Aerodynamique!$AC$6:$AC$1006,MATCH(INDEX(Aerodynamique!$W$6:$W$546,MATCH(G305,Aerodynamique!$Y$6:$Y$546,1)),Aerodynamique!$AD$6:$AD$1006,-1))</f>
        <v>-3.8600000000000061</v>
      </c>
      <c r="L305">
        <f ca="1">Montée!$B$19*((E305-E304)/60)*J305/10</f>
        <v>12.313362792487746</v>
      </c>
      <c r="M305">
        <f t="shared" ca="1" si="24"/>
        <v>3949.8396447240311</v>
      </c>
    </row>
    <row r="306" spans="5:13">
      <c r="E306" s="210">
        <f t="shared" si="20"/>
        <v>301</v>
      </c>
      <c r="F306">
        <f t="shared" ca="1" si="23"/>
        <v>10743.34761617326</v>
      </c>
      <c r="G306">
        <f t="shared" ca="1" si="21"/>
        <v>0.35617746720706678</v>
      </c>
      <c r="H306">
        <f ca="1">INDEX(Aerodynamique!$T$6:$T$546,MATCH(G306,Aerodynamique!$Y$6:$Y$546,1))</f>
        <v>0.65000000000000779</v>
      </c>
      <c r="I306">
        <f ca="1">INDEX(Aerodynamique!$Z$6:$Z$546,MATCH(G306,Aerodynamique!$Y$6:$Y$546,1))</f>
        <v>1.3081966136561041E-2</v>
      </c>
      <c r="J306">
        <f t="shared" ca="1" si="22"/>
        <v>3851.1193724758818</v>
      </c>
      <c r="K306" s="86">
        <f ca="1">INDEX(Aerodynamique!$AC$6:$AC$1006,MATCH(INDEX(Aerodynamique!$W$6:$W$546,MATCH(G306,Aerodynamique!$Y$6:$Y$546,1)),Aerodynamique!$AD$6:$AD$1006,-1))</f>
        <v>-3.8600000000000061</v>
      </c>
      <c r="L306">
        <f ca="1">Montée!$B$19*((E306-E305)/60)*J306/10</f>
        <v>12.313362792487746</v>
      </c>
      <c r="M306">
        <f t="shared" ca="1" si="24"/>
        <v>3962.1530075165188</v>
      </c>
    </row>
    <row r="307" spans="5:13">
      <c r="E307" s="210">
        <f t="shared" si="20"/>
        <v>302</v>
      </c>
      <c r="F307">
        <f t="shared" ca="1" si="23"/>
        <v>10731.034253380772</v>
      </c>
      <c r="G307">
        <f t="shared" ca="1" si="21"/>
        <v>0.35576923854976938</v>
      </c>
      <c r="H307">
        <f ca="1">INDEX(Aerodynamique!$T$6:$T$546,MATCH(G307,Aerodynamique!$Y$6:$Y$546,1))</f>
        <v>0.65000000000000779</v>
      </c>
      <c r="I307">
        <f ca="1">INDEX(Aerodynamique!$Z$6:$Z$546,MATCH(G307,Aerodynamique!$Y$6:$Y$546,1))</f>
        <v>1.3081966136561041E-2</v>
      </c>
      <c r="J307">
        <f t="shared" ca="1" si="22"/>
        <v>3851.1193724758818</v>
      </c>
      <c r="K307" s="86">
        <f ca="1">INDEX(Aerodynamique!$AC$6:$AC$1006,MATCH(INDEX(Aerodynamique!$W$6:$W$546,MATCH(G307,Aerodynamique!$Y$6:$Y$546,1)),Aerodynamique!$AD$6:$AD$1006,-1))</f>
        <v>-3.8600000000000061</v>
      </c>
      <c r="L307">
        <f ca="1">Montée!$B$19*((E307-E306)/60)*J307/10</f>
        <v>12.313362792487746</v>
      </c>
      <c r="M307">
        <f t="shared" ca="1" si="24"/>
        <v>3974.4663703090064</v>
      </c>
    </row>
    <row r="308" spans="5:13">
      <c r="E308" s="210">
        <f t="shared" si="20"/>
        <v>303</v>
      </c>
      <c r="F308">
        <f t="shared" ca="1" si="23"/>
        <v>10718.720890588285</v>
      </c>
      <c r="G308">
        <f t="shared" ca="1" si="21"/>
        <v>0.35536100989247199</v>
      </c>
      <c r="H308">
        <f ca="1">INDEX(Aerodynamique!$T$6:$T$546,MATCH(G308,Aerodynamique!$Y$6:$Y$546,1))</f>
        <v>0.60000000000000775</v>
      </c>
      <c r="I308">
        <f ca="1">INDEX(Aerodynamique!$Z$6:$Z$546,MATCH(G308,Aerodynamique!$Y$6:$Y$546,1))</f>
        <v>1.3019652925429807E-2</v>
      </c>
      <c r="J308">
        <f t="shared" ca="1" si="22"/>
        <v>3832.7753703554363</v>
      </c>
      <c r="K308" s="86">
        <f ca="1">INDEX(Aerodynamique!$AC$6:$AC$1006,MATCH(INDEX(Aerodynamique!$W$6:$W$546,MATCH(G308,Aerodynamique!$Y$6:$Y$546,1)),Aerodynamique!$AD$6:$AD$1006,-1))</f>
        <v>-3.8200000000000061</v>
      </c>
      <c r="L308">
        <f ca="1">Montée!$B$19*((E308-E307)/60)*J308/10</f>
        <v>12.254710662722681</v>
      </c>
      <c r="M308">
        <f t="shared" ca="1" si="24"/>
        <v>3986.721080971729</v>
      </c>
    </row>
    <row r="309" spans="5:13">
      <c r="E309" s="210">
        <f t="shared" si="20"/>
        <v>304</v>
      </c>
      <c r="F309">
        <f t="shared" ca="1" si="23"/>
        <v>10706.466179925563</v>
      </c>
      <c r="G309">
        <f t="shared" ca="1" si="21"/>
        <v>0.35495472574705039</v>
      </c>
      <c r="H309">
        <f ca="1">INDEX(Aerodynamique!$T$6:$T$546,MATCH(G309,Aerodynamique!$Y$6:$Y$546,1))</f>
        <v>0.60000000000000775</v>
      </c>
      <c r="I309">
        <f ca="1">INDEX(Aerodynamique!$Z$6:$Z$546,MATCH(G309,Aerodynamique!$Y$6:$Y$546,1))</f>
        <v>1.3019652925429807E-2</v>
      </c>
      <c r="J309">
        <f t="shared" ca="1" si="22"/>
        <v>3832.7753703554363</v>
      </c>
      <c r="K309" s="86">
        <f ca="1">INDEX(Aerodynamique!$AC$6:$AC$1006,MATCH(INDEX(Aerodynamique!$W$6:$W$546,MATCH(G309,Aerodynamique!$Y$6:$Y$546,1)),Aerodynamique!$AD$6:$AD$1006,-1))</f>
        <v>-3.8200000000000061</v>
      </c>
      <c r="L309">
        <f ca="1">Montée!$B$19*((E309-E308)/60)*J309/10</f>
        <v>12.254710662722681</v>
      </c>
      <c r="M309">
        <f t="shared" ca="1" si="24"/>
        <v>3998.9757916344515</v>
      </c>
    </row>
    <row r="310" spans="5:13">
      <c r="E310" s="210">
        <f t="shared" si="20"/>
        <v>305</v>
      </c>
      <c r="F310">
        <f t="shared" ca="1" si="23"/>
        <v>10694.21146926284</v>
      </c>
      <c r="G310">
        <f t="shared" ca="1" si="21"/>
        <v>0.35454844160162879</v>
      </c>
      <c r="H310">
        <f ca="1">INDEX(Aerodynamique!$T$6:$T$546,MATCH(G310,Aerodynamique!$Y$6:$Y$546,1))</f>
        <v>0.60000000000000775</v>
      </c>
      <c r="I310">
        <f ca="1">INDEX(Aerodynamique!$Z$6:$Z$546,MATCH(G310,Aerodynamique!$Y$6:$Y$546,1))</f>
        <v>1.3019652925429807E-2</v>
      </c>
      <c r="J310">
        <f t="shared" ca="1" si="22"/>
        <v>3832.7753703554363</v>
      </c>
      <c r="K310" s="86">
        <f ca="1">INDEX(Aerodynamique!$AC$6:$AC$1006,MATCH(INDEX(Aerodynamique!$W$6:$W$546,MATCH(G310,Aerodynamique!$Y$6:$Y$546,1)),Aerodynamique!$AD$6:$AD$1006,-1))</f>
        <v>-3.8200000000000061</v>
      </c>
      <c r="L310">
        <f ca="1">Montée!$B$19*((E310-E309)/60)*J310/10</f>
        <v>12.254710662722681</v>
      </c>
      <c r="M310">
        <f t="shared" ca="1" si="24"/>
        <v>4011.2305022971741</v>
      </c>
    </row>
    <row r="311" spans="5:13">
      <c r="E311" s="210">
        <f t="shared" si="20"/>
        <v>306</v>
      </c>
      <c r="F311">
        <f t="shared" ca="1" si="23"/>
        <v>10681.956758600118</v>
      </c>
      <c r="G311">
        <f t="shared" ca="1" si="21"/>
        <v>0.3541421574562072</v>
      </c>
      <c r="H311">
        <f ca="1">INDEX(Aerodynamique!$T$6:$T$546,MATCH(G311,Aerodynamique!$Y$6:$Y$546,1))</f>
        <v>0.60000000000000775</v>
      </c>
      <c r="I311">
        <f ca="1">INDEX(Aerodynamique!$Z$6:$Z$546,MATCH(G311,Aerodynamique!$Y$6:$Y$546,1))</f>
        <v>1.3019652925429807E-2</v>
      </c>
      <c r="J311">
        <f t="shared" ca="1" si="22"/>
        <v>3832.7753703554363</v>
      </c>
      <c r="K311" s="86">
        <f ca="1">INDEX(Aerodynamique!$AC$6:$AC$1006,MATCH(INDEX(Aerodynamique!$W$6:$W$546,MATCH(G311,Aerodynamique!$Y$6:$Y$546,1)),Aerodynamique!$AD$6:$AD$1006,-1))</f>
        <v>-3.8200000000000061</v>
      </c>
      <c r="L311">
        <f ca="1">Montée!$B$19*((E311-E310)/60)*J311/10</f>
        <v>12.254710662722681</v>
      </c>
      <c r="M311">
        <f t="shared" ca="1" si="24"/>
        <v>4023.4852129598967</v>
      </c>
    </row>
    <row r="312" spans="5:13">
      <c r="E312" s="210">
        <f t="shared" si="20"/>
        <v>307</v>
      </c>
      <c r="F312">
        <f t="shared" ca="1" si="23"/>
        <v>10669.702047937395</v>
      </c>
      <c r="G312">
        <f t="shared" ca="1" si="21"/>
        <v>0.3537358733107856</v>
      </c>
      <c r="H312">
        <f ca="1">INDEX(Aerodynamique!$T$6:$T$546,MATCH(G312,Aerodynamique!$Y$6:$Y$546,1))</f>
        <v>0.60000000000000775</v>
      </c>
      <c r="I312">
        <f ca="1">INDEX(Aerodynamique!$Z$6:$Z$546,MATCH(G312,Aerodynamique!$Y$6:$Y$546,1))</f>
        <v>1.3019652925429807E-2</v>
      </c>
      <c r="J312">
        <f t="shared" ca="1" si="22"/>
        <v>3832.7753703554363</v>
      </c>
      <c r="K312" s="86">
        <f ca="1">INDEX(Aerodynamique!$AC$6:$AC$1006,MATCH(INDEX(Aerodynamique!$W$6:$W$546,MATCH(G312,Aerodynamique!$Y$6:$Y$546,1)),Aerodynamique!$AD$6:$AD$1006,-1))</f>
        <v>-3.8200000000000061</v>
      </c>
      <c r="L312">
        <f ca="1">Montée!$B$19*((E312-E311)/60)*J312/10</f>
        <v>12.254710662722681</v>
      </c>
      <c r="M312">
        <f t="shared" ca="1" si="24"/>
        <v>4035.7399236226192</v>
      </c>
    </row>
    <row r="313" spans="5:13">
      <c r="E313" s="210">
        <f t="shared" si="20"/>
        <v>308</v>
      </c>
      <c r="F313">
        <f t="shared" ca="1" si="23"/>
        <v>10657.447337274672</v>
      </c>
      <c r="G313">
        <f t="shared" ca="1" si="21"/>
        <v>0.35332958916536406</v>
      </c>
      <c r="H313">
        <f ca="1">INDEX(Aerodynamique!$T$6:$T$546,MATCH(G313,Aerodynamique!$Y$6:$Y$546,1))</f>
        <v>0.60000000000000775</v>
      </c>
      <c r="I313">
        <f ca="1">INDEX(Aerodynamique!$Z$6:$Z$546,MATCH(G313,Aerodynamique!$Y$6:$Y$546,1))</f>
        <v>1.3019652925429807E-2</v>
      </c>
      <c r="J313">
        <f t="shared" ca="1" si="22"/>
        <v>3832.7753703554363</v>
      </c>
      <c r="K313" s="86">
        <f ca="1">INDEX(Aerodynamique!$AC$6:$AC$1006,MATCH(INDEX(Aerodynamique!$W$6:$W$546,MATCH(G313,Aerodynamique!$Y$6:$Y$546,1)),Aerodynamique!$AD$6:$AD$1006,-1))</f>
        <v>-3.8200000000000061</v>
      </c>
      <c r="L313">
        <f ca="1">Montée!$B$19*((E313-E312)/60)*J313/10</f>
        <v>12.254710662722681</v>
      </c>
      <c r="M313">
        <f t="shared" ca="1" si="24"/>
        <v>4047.9946342853418</v>
      </c>
    </row>
    <row r="314" spans="5:13">
      <c r="E314" s="210">
        <f t="shared" si="20"/>
        <v>309</v>
      </c>
      <c r="F314">
        <f t="shared" ca="1" si="23"/>
        <v>10645.19262661195</v>
      </c>
      <c r="G314">
        <f t="shared" ca="1" si="21"/>
        <v>0.35292330501994246</v>
      </c>
      <c r="H314">
        <f ca="1">INDEX(Aerodynamique!$T$6:$T$546,MATCH(G314,Aerodynamique!$Y$6:$Y$546,1))</f>
        <v>0.60000000000000775</v>
      </c>
      <c r="I314">
        <f ca="1">INDEX(Aerodynamique!$Z$6:$Z$546,MATCH(G314,Aerodynamique!$Y$6:$Y$546,1))</f>
        <v>1.3019652925429807E-2</v>
      </c>
      <c r="J314">
        <f t="shared" ca="1" si="22"/>
        <v>3832.7753703554363</v>
      </c>
      <c r="K314" s="86">
        <f ca="1">INDEX(Aerodynamique!$AC$6:$AC$1006,MATCH(INDEX(Aerodynamique!$W$6:$W$546,MATCH(G314,Aerodynamique!$Y$6:$Y$546,1)),Aerodynamique!$AD$6:$AD$1006,-1))</f>
        <v>-3.8200000000000061</v>
      </c>
      <c r="L314">
        <f ca="1">Montée!$B$19*((E314-E313)/60)*J314/10</f>
        <v>12.254710662722681</v>
      </c>
      <c r="M314">
        <f t="shared" ca="1" si="24"/>
        <v>4060.2493449480644</v>
      </c>
    </row>
    <row r="315" spans="5:13">
      <c r="E315" s="210">
        <f t="shared" si="20"/>
        <v>310</v>
      </c>
      <c r="F315">
        <f t="shared" ca="1" si="23"/>
        <v>10632.937915949227</v>
      </c>
      <c r="G315">
        <f t="shared" ca="1" si="21"/>
        <v>0.35251702087452091</v>
      </c>
      <c r="H315">
        <f ca="1">INDEX(Aerodynamique!$T$6:$T$546,MATCH(G315,Aerodynamique!$Y$6:$Y$546,1))</f>
        <v>0.60000000000000775</v>
      </c>
      <c r="I315">
        <f ca="1">INDEX(Aerodynamique!$Z$6:$Z$546,MATCH(G315,Aerodynamique!$Y$6:$Y$546,1))</f>
        <v>1.3019652925429807E-2</v>
      </c>
      <c r="J315">
        <f t="shared" ca="1" si="22"/>
        <v>3832.7753703554363</v>
      </c>
      <c r="K315" s="86">
        <f ca="1">INDEX(Aerodynamique!$AC$6:$AC$1006,MATCH(INDEX(Aerodynamique!$W$6:$W$546,MATCH(G315,Aerodynamique!$Y$6:$Y$546,1)),Aerodynamique!$AD$6:$AD$1006,-1))</f>
        <v>-3.8200000000000061</v>
      </c>
      <c r="L315">
        <f ca="1">Montée!$B$19*((E315-E314)/60)*J315/10</f>
        <v>12.254710662722681</v>
      </c>
      <c r="M315">
        <f t="shared" ca="1" si="24"/>
        <v>4072.504055610787</v>
      </c>
    </row>
    <row r="316" spans="5:13">
      <c r="E316" s="210">
        <f t="shared" si="20"/>
        <v>311</v>
      </c>
      <c r="F316">
        <f t="shared" ca="1" si="23"/>
        <v>10620.683205286505</v>
      </c>
      <c r="G316">
        <f t="shared" ca="1" si="21"/>
        <v>0.35211073672909926</v>
      </c>
      <c r="H316">
        <f ca="1">INDEX(Aerodynamique!$T$6:$T$546,MATCH(G316,Aerodynamique!$Y$6:$Y$546,1))</f>
        <v>0.60000000000000775</v>
      </c>
      <c r="I316">
        <f ca="1">INDEX(Aerodynamique!$Z$6:$Z$546,MATCH(G316,Aerodynamique!$Y$6:$Y$546,1))</f>
        <v>1.3019652925429807E-2</v>
      </c>
      <c r="J316">
        <f t="shared" ca="1" si="22"/>
        <v>3832.7753703554363</v>
      </c>
      <c r="K316" s="86">
        <f ca="1">INDEX(Aerodynamique!$AC$6:$AC$1006,MATCH(INDEX(Aerodynamique!$W$6:$W$546,MATCH(G316,Aerodynamique!$Y$6:$Y$546,1)),Aerodynamique!$AD$6:$AD$1006,-1))</f>
        <v>-3.8200000000000061</v>
      </c>
      <c r="L316">
        <f ca="1">Montée!$B$19*((E316-E315)/60)*J316/10</f>
        <v>12.254710662722681</v>
      </c>
      <c r="M316">
        <f t="shared" ca="1" si="24"/>
        <v>4084.7587662735095</v>
      </c>
    </row>
    <row r="317" spans="5:13">
      <c r="E317" s="210">
        <f t="shared" si="20"/>
        <v>312</v>
      </c>
      <c r="F317">
        <f t="shared" ca="1" si="23"/>
        <v>10608.428494623782</v>
      </c>
      <c r="G317">
        <f t="shared" ca="1" si="21"/>
        <v>0.35170445258367772</v>
      </c>
      <c r="H317">
        <f ca="1">INDEX(Aerodynamique!$T$6:$T$546,MATCH(G317,Aerodynamique!$Y$6:$Y$546,1))</f>
        <v>0.60000000000000775</v>
      </c>
      <c r="I317">
        <f ca="1">INDEX(Aerodynamique!$Z$6:$Z$546,MATCH(G317,Aerodynamique!$Y$6:$Y$546,1))</f>
        <v>1.3019652925429807E-2</v>
      </c>
      <c r="J317">
        <f t="shared" ca="1" si="22"/>
        <v>3832.7753703554363</v>
      </c>
      <c r="K317" s="86">
        <f ca="1">INDEX(Aerodynamique!$AC$6:$AC$1006,MATCH(INDEX(Aerodynamique!$W$6:$W$546,MATCH(G317,Aerodynamique!$Y$6:$Y$546,1)),Aerodynamique!$AD$6:$AD$1006,-1))</f>
        <v>-3.8200000000000061</v>
      </c>
      <c r="L317">
        <f ca="1">Montée!$B$19*((E317-E316)/60)*J317/10</f>
        <v>12.254710662722681</v>
      </c>
      <c r="M317">
        <f t="shared" ca="1" si="24"/>
        <v>4097.0134769362321</v>
      </c>
    </row>
    <row r="318" spans="5:13">
      <c r="E318" s="210">
        <f t="shared" si="20"/>
        <v>313</v>
      </c>
      <c r="F318">
        <f t="shared" ca="1" si="23"/>
        <v>10596.17378396106</v>
      </c>
      <c r="G318">
        <f t="shared" ca="1" si="21"/>
        <v>0.35129816843825612</v>
      </c>
      <c r="H318">
        <f ca="1">INDEX(Aerodynamique!$T$6:$T$546,MATCH(G318,Aerodynamique!$Y$6:$Y$546,1))</f>
        <v>0.60000000000000775</v>
      </c>
      <c r="I318">
        <f ca="1">INDEX(Aerodynamique!$Z$6:$Z$546,MATCH(G318,Aerodynamique!$Y$6:$Y$546,1))</f>
        <v>1.3019652925429807E-2</v>
      </c>
      <c r="J318">
        <f t="shared" ca="1" si="22"/>
        <v>3832.7753703554363</v>
      </c>
      <c r="K318" s="86">
        <f ca="1">INDEX(Aerodynamique!$AC$6:$AC$1006,MATCH(INDEX(Aerodynamique!$W$6:$W$546,MATCH(G318,Aerodynamique!$Y$6:$Y$546,1)),Aerodynamique!$AD$6:$AD$1006,-1))</f>
        <v>-3.8200000000000061</v>
      </c>
      <c r="L318">
        <f ca="1">Montée!$B$19*((E318-E317)/60)*J318/10</f>
        <v>12.254710662722681</v>
      </c>
      <c r="M318">
        <f t="shared" ca="1" si="24"/>
        <v>4109.2681875989547</v>
      </c>
    </row>
    <row r="319" spans="5:13">
      <c r="E319" s="210">
        <f t="shared" si="20"/>
        <v>314</v>
      </c>
      <c r="F319">
        <f t="shared" ca="1" si="23"/>
        <v>10583.919073298337</v>
      </c>
      <c r="G319">
        <f t="shared" ca="1" si="21"/>
        <v>0.35089188429283458</v>
      </c>
      <c r="H319">
        <f ca="1">INDEX(Aerodynamique!$T$6:$T$546,MATCH(G319,Aerodynamique!$Y$6:$Y$546,1))</f>
        <v>0.60000000000000775</v>
      </c>
      <c r="I319">
        <f ca="1">INDEX(Aerodynamique!$Z$6:$Z$546,MATCH(G319,Aerodynamique!$Y$6:$Y$546,1))</f>
        <v>1.3019652925429807E-2</v>
      </c>
      <c r="J319">
        <f t="shared" ca="1" si="22"/>
        <v>3832.7753703554363</v>
      </c>
      <c r="K319" s="86">
        <f ca="1">INDEX(Aerodynamique!$AC$6:$AC$1006,MATCH(INDEX(Aerodynamique!$W$6:$W$546,MATCH(G319,Aerodynamique!$Y$6:$Y$546,1)),Aerodynamique!$AD$6:$AD$1006,-1))</f>
        <v>-3.8200000000000061</v>
      </c>
      <c r="L319">
        <f ca="1">Montée!$B$19*((E319-E318)/60)*J319/10</f>
        <v>12.254710662722681</v>
      </c>
      <c r="M319">
        <f t="shared" ca="1" si="24"/>
        <v>4121.5228982616773</v>
      </c>
    </row>
    <row r="320" spans="5:13">
      <c r="E320" s="210">
        <f t="shared" si="20"/>
        <v>315</v>
      </c>
      <c r="F320">
        <f t="shared" ca="1" si="23"/>
        <v>10571.664362635614</v>
      </c>
      <c r="G320">
        <f t="shared" ca="1" si="21"/>
        <v>0.35048560014741298</v>
      </c>
      <c r="H320">
        <f ca="1">INDEX(Aerodynamique!$T$6:$T$546,MATCH(G320,Aerodynamique!$Y$6:$Y$546,1))</f>
        <v>0.5500000000000077</v>
      </c>
      <c r="I320">
        <f ca="1">INDEX(Aerodynamique!$Z$6:$Z$546,MATCH(G320,Aerodynamique!$Y$6:$Y$546,1))</f>
        <v>1.2958407524310734E-2</v>
      </c>
      <c r="J320">
        <f t="shared" ca="1" si="22"/>
        <v>3814.7457142423891</v>
      </c>
      <c r="K320" s="86">
        <f ca="1">INDEX(Aerodynamique!$AC$6:$AC$1006,MATCH(INDEX(Aerodynamique!$W$6:$W$546,MATCH(G320,Aerodynamique!$Y$6:$Y$546,1)),Aerodynamique!$AD$6:$AD$1006,-1))</f>
        <v>-3.760000000000006</v>
      </c>
      <c r="L320">
        <f ca="1">Montée!$B$19*((E320-E319)/60)*J320/10</f>
        <v>12.197063606043413</v>
      </c>
      <c r="M320">
        <f t="shared" ca="1" si="24"/>
        <v>4133.7199618677205</v>
      </c>
    </row>
    <row r="321" spans="5:13">
      <c r="E321" s="210">
        <f t="shared" si="20"/>
        <v>316</v>
      </c>
      <c r="F321">
        <f t="shared" ca="1" si="23"/>
        <v>10559.467299029571</v>
      </c>
      <c r="G321">
        <f t="shared" ca="1" si="21"/>
        <v>0.35008122719237389</v>
      </c>
      <c r="H321">
        <f ca="1">INDEX(Aerodynamique!$T$6:$T$546,MATCH(G321,Aerodynamique!$Y$6:$Y$546,1))</f>
        <v>0.5500000000000077</v>
      </c>
      <c r="I321">
        <f ca="1">INDEX(Aerodynamique!$Z$6:$Z$546,MATCH(G321,Aerodynamique!$Y$6:$Y$546,1))</f>
        <v>1.2958407524310734E-2</v>
      </c>
      <c r="J321">
        <f t="shared" ca="1" si="22"/>
        <v>3814.7457142423891</v>
      </c>
      <c r="K321" s="86">
        <f ca="1">INDEX(Aerodynamique!$AC$6:$AC$1006,MATCH(INDEX(Aerodynamique!$W$6:$W$546,MATCH(G321,Aerodynamique!$Y$6:$Y$546,1)),Aerodynamique!$AD$6:$AD$1006,-1))</f>
        <v>-3.760000000000006</v>
      </c>
      <c r="L321">
        <f ca="1">Montée!$B$19*((E321-E320)/60)*J321/10</f>
        <v>12.197063606043413</v>
      </c>
      <c r="M321">
        <f t="shared" ca="1" si="24"/>
        <v>4145.9170254737637</v>
      </c>
    </row>
    <row r="322" spans="5:13">
      <c r="E322" s="210">
        <f t="shared" si="20"/>
        <v>317</v>
      </c>
      <c r="F322">
        <f t="shared" ca="1" si="23"/>
        <v>10547.270235423528</v>
      </c>
      <c r="G322">
        <f t="shared" ca="1" si="21"/>
        <v>0.34967685423733486</v>
      </c>
      <c r="H322">
        <f ca="1">INDEX(Aerodynamique!$T$6:$T$546,MATCH(G322,Aerodynamique!$Y$6:$Y$546,1))</f>
        <v>0.5500000000000077</v>
      </c>
      <c r="I322">
        <f ca="1">INDEX(Aerodynamique!$Z$6:$Z$546,MATCH(G322,Aerodynamique!$Y$6:$Y$546,1))</f>
        <v>1.2958407524310734E-2</v>
      </c>
      <c r="J322">
        <f t="shared" ca="1" si="22"/>
        <v>3814.7457142423891</v>
      </c>
      <c r="K322" s="86">
        <f ca="1">INDEX(Aerodynamique!$AC$6:$AC$1006,MATCH(INDEX(Aerodynamique!$W$6:$W$546,MATCH(G322,Aerodynamique!$Y$6:$Y$546,1)),Aerodynamique!$AD$6:$AD$1006,-1))</f>
        <v>-3.760000000000006</v>
      </c>
      <c r="L322">
        <f ca="1">Montée!$B$19*((E322-E321)/60)*J322/10</f>
        <v>12.197063606043413</v>
      </c>
      <c r="M322">
        <f t="shared" ca="1" si="24"/>
        <v>4158.1140890798069</v>
      </c>
    </row>
    <row r="323" spans="5:13">
      <c r="E323" s="210">
        <f t="shared" si="20"/>
        <v>318</v>
      </c>
      <c r="F323">
        <f t="shared" ca="1" si="23"/>
        <v>10535.073171817485</v>
      </c>
      <c r="G323">
        <f t="shared" ca="1" si="21"/>
        <v>0.34927248128229577</v>
      </c>
      <c r="H323">
        <f ca="1">INDEX(Aerodynamique!$T$6:$T$546,MATCH(G323,Aerodynamique!$Y$6:$Y$546,1))</f>
        <v>0.5500000000000077</v>
      </c>
      <c r="I323">
        <f ca="1">INDEX(Aerodynamique!$Z$6:$Z$546,MATCH(G323,Aerodynamique!$Y$6:$Y$546,1))</f>
        <v>1.2958407524310734E-2</v>
      </c>
      <c r="J323">
        <f t="shared" ca="1" si="22"/>
        <v>3814.7457142423891</v>
      </c>
      <c r="K323" s="86">
        <f ca="1">INDEX(Aerodynamique!$AC$6:$AC$1006,MATCH(INDEX(Aerodynamique!$W$6:$W$546,MATCH(G323,Aerodynamique!$Y$6:$Y$546,1)),Aerodynamique!$AD$6:$AD$1006,-1))</f>
        <v>-3.760000000000006</v>
      </c>
      <c r="L323">
        <f ca="1">Montée!$B$19*((E323-E322)/60)*J323/10</f>
        <v>12.197063606043413</v>
      </c>
      <c r="M323">
        <f t="shared" ca="1" si="24"/>
        <v>4170.3111526858502</v>
      </c>
    </row>
    <row r="324" spans="5:13">
      <c r="E324" s="210">
        <f t="shared" si="20"/>
        <v>319</v>
      </c>
      <c r="F324">
        <f t="shared" ca="1" si="23"/>
        <v>10522.876108211442</v>
      </c>
      <c r="G324">
        <f t="shared" ca="1" si="21"/>
        <v>0.34886810832725668</v>
      </c>
      <c r="H324">
        <f ca="1">INDEX(Aerodynamique!$T$6:$T$546,MATCH(G324,Aerodynamique!$Y$6:$Y$546,1))</f>
        <v>0.5500000000000077</v>
      </c>
      <c r="I324">
        <f ca="1">INDEX(Aerodynamique!$Z$6:$Z$546,MATCH(G324,Aerodynamique!$Y$6:$Y$546,1))</f>
        <v>1.2958407524310734E-2</v>
      </c>
      <c r="J324">
        <f t="shared" ca="1" si="22"/>
        <v>3814.7457142423891</v>
      </c>
      <c r="K324" s="86">
        <f ca="1">INDEX(Aerodynamique!$AC$6:$AC$1006,MATCH(INDEX(Aerodynamique!$W$6:$W$546,MATCH(G324,Aerodynamique!$Y$6:$Y$546,1)),Aerodynamique!$AD$6:$AD$1006,-1))</f>
        <v>-3.760000000000006</v>
      </c>
      <c r="L324">
        <f ca="1">Montée!$B$19*((E324-E323)/60)*J324/10</f>
        <v>12.197063606043413</v>
      </c>
      <c r="M324">
        <f t="shared" ca="1" si="24"/>
        <v>4182.5082162918934</v>
      </c>
    </row>
    <row r="325" spans="5:13">
      <c r="E325" s="210">
        <f t="shared" si="20"/>
        <v>320</v>
      </c>
      <c r="F325">
        <f t="shared" ca="1" si="23"/>
        <v>10510.679044605398</v>
      </c>
      <c r="G325">
        <f t="shared" ca="1" si="21"/>
        <v>0.34846373537221759</v>
      </c>
      <c r="H325">
        <f ca="1">INDEX(Aerodynamique!$T$6:$T$546,MATCH(G325,Aerodynamique!$Y$6:$Y$546,1))</f>
        <v>0.5500000000000077</v>
      </c>
      <c r="I325">
        <f ca="1">INDEX(Aerodynamique!$Z$6:$Z$546,MATCH(G325,Aerodynamique!$Y$6:$Y$546,1))</f>
        <v>1.2958407524310734E-2</v>
      </c>
      <c r="J325">
        <f t="shared" ca="1" si="22"/>
        <v>3814.7457142423891</v>
      </c>
      <c r="K325" s="86">
        <f ca="1">INDEX(Aerodynamique!$AC$6:$AC$1006,MATCH(INDEX(Aerodynamique!$W$6:$W$546,MATCH(G325,Aerodynamique!$Y$6:$Y$546,1)),Aerodynamique!$AD$6:$AD$1006,-1))</f>
        <v>-3.760000000000006</v>
      </c>
      <c r="L325">
        <f ca="1">Montée!$B$19*((E325-E324)/60)*J325/10</f>
        <v>12.197063606043413</v>
      </c>
      <c r="M325">
        <f t="shared" ca="1" si="24"/>
        <v>4194.7052798979366</v>
      </c>
    </row>
    <row r="326" spans="5:13">
      <c r="E326" s="210">
        <f t="shared" ref="E326:E389" si="25">E325+$E$3</f>
        <v>321</v>
      </c>
      <c r="F326">
        <f t="shared" ca="1" si="23"/>
        <v>10498.481980999355</v>
      </c>
      <c r="G326">
        <f t="shared" ref="G326:G389" ca="1" si="26">2*F326*g/(rho*V^2*SRef)</f>
        <v>0.34805936241717855</v>
      </c>
      <c r="H326">
        <f ca="1">INDEX(Aerodynamique!$T$6:$T$546,MATCH(G326,Aerodynamique!$Y$6:$Y$546,1))</f>
        <v>0.5500000000000077</v>
      </c>
      <c r="I326">
        <f ca="1">INDEX(Aerodynamique!$Z$6:$Z$546,MATCH(G326,Aerodynamique!$Y$6:$Y$546,1))</f>
        <v>1.2958407524310734E-2</v>
      </c>
      <c r="J326">
        <f t="shared" ref="J326:J389" ca="1" si="27">(1/2)*rho*V^2*SRef*I326</f>
        <v>3814.7457142423891</v>
      </c>
      <c r="K326" s="86">
        <f ca="1">INDEX(Aerodynamique!$AC$6:$AC$1006,MATCH(INDEX(Aerodynamique!$W$6:$W$546,MATCH(G326,Aerodynamique!$Y$6:$Y$546,1)),Aerodynamique!$AD$6:$AD$1006,-1))</f>
        <v>-3.760000000000006</v>
      </c>
      <c r="L326">
        <f ca="1">Montée!$B$19*((E326-E325)/60)*J326/10</f>
        <v>12.197063606043413</v>
      </c>
      <c r="M326">
        <f t="shared" ca="1" si="24"/>
        <v>4206.9023435039799</v>
      </c>
    </row>
    <row r="327" spans="5:13">
      <c r="E327" s="210">
        <f t="shared" si="25"/>
        <v>322</v>
      </c>
      <c r="F327">
        <f t="shared" ref="F327:F390" ca="1" si="28">F326-L326</f>
        <v>10486.284917393312</v>
      </c>
      <c r="G327">
        <f t="shared" ca="1" si="26"/>
        <v>0.34765498946213946</v>
      </c>
      <c r="H327">
        <f ca="1">INDEX(Aerodynamique!$T$6:$T$546,MATCH(G327,Aerodynamique!$Y$6:$Y$546,1))</f>
        <v>0.5500000000000077</v>
      </c>
      <c r="I327">
        <f ca="1">INDEX(Aerodynamique!$Z$6:$Z$546,MATCH(G327,Aerodynamique!$Y$6:$Y$546,1))</f>
        <v>1.2958407524310734E-2</v>
      </c>
      <c r="J327">
        <f t="shared" ca="1" si="27"/>
        <v>3814.7457142423891</v>
      </c>
      <c r="K327" s="86">
        <f ca="1">INDEX(Aerodynamique!$AC$6:$AC$1006,MATCH(INDEX(Aerodynamique!$W$6:$W$546,MATCH(G327,Aerodynamique!$Y$6:$Y$546,1)),Aerodynamique!$AD$6:$AD$1006,-1))</f>
        <v>-3.760000000000006</v>
      </c>
      <c r="L327">
        <f ca="1">Montée!$B$19*((E327-E326)/60)*J327/10</f>
        <v>12.197063606043413</v>
      </c>
      <c r="M327">
        <f t="shared" ca="1" si="24"/>
        <v>4219.0994071100231</v>
      </c>
    </row>
    <row r="328" spans="5:13">
      <c r="E328" s="210">
        <f t="shared" si="25"/>
        <v>323</v>
      </c>
      <c r="F328">
        <f t="shared" ca="1" si="28"/>
        <v>10474.087853787269</v>
      </c>
      <c r="G328">
        <f t="shared" ca="1" si="26"/>
        <v>0.34725061650710037</v>
      </c>
      <c r="H328">
        <f ca="1">INDEX(Aerodynamique!$T$6:$T$546,MATCH(G328,Aerodynamique!$Y$6:$Y$546,1))</f>
        <v>0.5500000000000077</v>
      </c>
      <c r="I328">
        <f ca="1">INDEX(Aerodynamique!$Z$6:$Z$546,MATCH(G328,Aerodynamique!$Y$6:$Y$546,1))</f>
        <v>1.2958407524310734E-2</v>
      </c>
      <c r="J328">
        <f t="shared" ca="1" si="27"/>
        <v>3814.7457142423891</v>
      </c>
      <c r="K328" s="86">
        <f ca="1">INDEX(Aerodynamique!$AC$6:$AC$1006,MATCH(INDEX(Aerodynamique!$W$6:$W$546,MATCH(G328,Aerodynamique!$Y$6:$Y$546,1)),Aerodynamique!$AD$6:$AD$1006,-1))</f>
        <v>-3.760000000000006</v>
      </c>
      <c r="L328">
        <f ca="1">Montée!$B$19*((E328-E327)/60)*J328/10</f>
        <v>12.197063606043413</v>
      </c>
      <c r="M328">
        <f t="shared" ref="M328:M391" ca="1" si="29">M327+L328</f>
        <v>4231.2964707160663</v>
      </c>
    </row>
    <row r="329" spans="5:13">
      <c r="E329" s="210">
        <f t="shared" si="25"/>
        <v>324</v>
      </c>
      <c r="F329">
        <f t="shared" ca="1" si="28"/>
        <v>10461.890790181225</v>
      </c>
      <c r="G329">
        <f t="shared" ca="1" si="26"/>
        <v>0.34684624355206128</v>
      </c>
      <c r="H329">
        <f ca="1">INDEX(Aerodynamique!$T$6:$T$546,MATCH(G329,Aerodynamique!$Y$6:$Y$546,1))</f>
        <v>0.5500000000000077</v>
      </c>
      <c r="I329">
        <f ca="1">INDEX(Aerodynamique!$Z$6:$Z$546,MATCH(G329,Aerodynamique!$Y$6:$Y$546,1))</f>
        <v>1.2958407524310734E-2</v>
      </c>
      <c r="J329">
        <f t="shared" ca="1" si="27"/>
        <v>3814.7457142423891</v>
      </c>
      <c r="K329" s="86">
        <f ca="1">INDEX(Aerodynamique!$AC$6:$AC$1006,MATCH(INDEX(Aerodynamique!$W$6:$W$546,MATCH(G329,Aerodynamique!$Y$6:$Y$546,1)),Aerodynamique!$AD$6:$AD$1006,-1))</f>
        <v>-3.760000000000006</v>
      </c>
      <c r="L329">
        <f ca="1">Montée!$B$19*((E329-E328)/60)*J329/10</f>
        <v>12.197063606043413</v>
      </c>
      <c r="M329">
        <f t="shared" ca="1" si="29"/>
        <v>4243.4935343221096</v>
      </c>
    </row>
    <row r="330" spans="5:13">
      <c r="E330" s="210">
        <f t="shared" si="25"/>
        <v>325</v>
      </c>
      <c r="F330">
        <f t="shared" ca="1" si="28"/>
        <v>10449.693726575182</v>
      </c>
      <c r="G330">
        <f t="shared" ca="1" si="26"/>
        <v>0.34644187059702219</v>
      </c>
      <c r="H330">
        <f ca="1">INDEX(Aerodynamique!$T$6:$T$546,MATCH(G330,Aerodynamique!$Y$6:$Y$546,1))</f>
        <v>0.5500000000000077</v>
      </c>
      <c r="I330">
        <f ca="1">INDEX(Aerodynamique!$Z$6:$Z$546,MATCH(G330,Aerodynamique!$Y$6:$Y$546,1))</f>
        <v>1.2958407524310734E-2</v>
      </c>
      <c r="J330">
        <f t="shared" ca="1" si="27"/>
        <v>3814.7457142423891</v>
      </c>
      <c r="K330" s="86">
        <f ca="1">INDEX(Aerodynamique!$AC$6:$AC$1006,MATCH(INDEX(Aerodynamique!$W$6:$W$546,MATCH(G330,Aerodynamique!$Y$6:$Y$546,1)),Aerodynamique!$AD$6:$AD$1006,-1))</f>
        <v>-3.760000000000006</v>
      </c>
      <c r="L330">
        <f ca="1">Montée!$B$19*((E330-E329)/60)*J330/10</f>
        <v>12.197063606043413</v>
      </c>
      <c r="M330">
        <f t="shared" ca="1" si="29"/>
        <v>4255.6905979281528</v>
      </c>
    </row>
    <row r="331" spans="5:13">
      <c r="E331" s="210">
        <f t="shared" si="25"/>
        <v>326</v>
      </c>
      <c r="F331">
        <f t="shared" ca="1" si="28"/>
        <v>10437.496662969139</v>
      </c>
      <c r="G331">
        <f t="shared" ca="1" si="26"/>
        <v>0.34603749764198316</v>
      </c>
      <c r="H331">
        <f ca="1">INDEX(Aerodynamique!$T$6:$T$546,MATCH(G331,Aerodynamique!$Y$6:$Y$546,1))</f>
        <v>0.5500000000000077</v>
      </c>
      <c r="I331">
        <f ca="1">INDEX(Aerodynamique!$Z$6:$Z$546,MATCH(G331,Aerodynamique!$Y$6:$Y$546,1))</f>
        <v>1.2958407524310734E-2</v>
      </c>
      <c r="J331">
        <f t="shared" ca="1" si="27"/>
        <v>3814.7457142423891</v>
      </c>
      <c r="K331" s="86">
        <f ca="1">INDEX(Aerodynamique!$AC$6:$AC$1006,MATCH(INDEX(Aerodynamique!$W$6:$W$546,MATCH(G331,Aerodynamique!$Y$6:$Y$546,1)),Aerodynamique!$AD$6:$AD$1006,-1))</f>
        <v>-3.760000000000006</v>
      </c>
      <c r="L331">
        <f ca="1">Montée!$B$19*((E331-E330)/60)*J331/10</f>
        <v>12.197063606043413</v>
      </c>
      <c r="M331">
        <f t="shared" ca="1" si="29"/>
        <v>4267.887661534196</v>
      </c>
    </row>
    <row r="332" spans="5:13">
      <c r="E332" s="210">
        <f t="shared" si="25"/>
        <v>327</v>
      </c>
      <c r="F332">
        <f t="shared" ca="1" si="28"/>
        <v>10425.299599363096</v>
      </c>
      <c r="G332">
        <f t="shared" ca="1" si="26"/>
        <v>0.34563312468694407</v>
      </c>
      <c r="H332">
        <f ca="1">INDEX(Aerodynamique!$T$6:$T$546,MATCH(G332,Aerodynamique!$Y$6:$Y$546,1))</f>
        <v>0.50000000000000766</v>
      </c>
      <c r="I332">
        <f ca="1">INDEX(Aerodynamique!$Z$6:$Z$546,MATCH(G332,Aerodynamique!$Y$6:$Y$546,1))</f>
        <v>1.2898229933203817E-2</v>
      </c>
      <c r="J332">
        <f t="shared" ca="1" si="27"/>
        <v>3797.0304041367403</v>
      </c>
      <c r="K332" s="86">
        <f ca="1">INDEX(Aerodynamique!$AC$6:$AC$1006,MATCH(INDEX(Aerodynamique!$W$6:$W$546,MATCH(G332,Aerodynamique!$Y$6:$Y$546,1)),Aerodynamique!$AD$6:$AD$1006,-1))</f>
        <v>-3.720000000000006</v>
      </c>
      <c r="L332">
        <f ca="1">Montée!$B$19*((E332-E331)/60)*J332/10</f>
        <v>12.140421622449942</v>
      </c>
      <c r="M332">
        <f t="shared" ca="1" si="29"/>
        <v>4280.0280831566461</v>
      </c>
    </row>
    <row r="333" spans="5:13">
      <c r="E333" s="210">
        <f t="shared" si="25"/>
        <v>328</v>
      </c>
      <c r="F333">
        <f t="shared" ca="1" si="28"/>
        <v>10413.159177740647</v>
      </c>
      <c r="G333">
        <f t="shared" ca="1" si="26"/>
        <v>0.34523062960079415</v>
      </c>
      <c r="H333">
        <f ca="1">INDEX(Aerodynamique!$T$6:$T$546,MATCH(G333,Aerodynamique!$Y$6:$Y$546,1))</f>
        <v>0.50000000000000766</v>
      </c>
      <c r="I333">
        <f ca="1">INDEX(Aerodynamique!$Z$6:$Z$546,MATCH(G333,Aerodynamique!$Y$6:$Y$546,1))</f>
        <v>1.2898229933203817E-2</v>
      </c>
      <c r="J333">
        <f t="shared" ca="1" si="27"/>
        <v>3797.0304041367403</v>
      </c>
      <c r="K333" s="86">
        <f ca="1">INDEX(Aerodynamique!$AC$6:$AC$1006,MATCH(INDEX(Aerodynamique!$W$6:$W$546,MATCH(G333,Aerodynamique!$Y$6:$Y$546,1)),Aerodynamique!$AD$6:$AD$1006,-1))</f>
        <v>-3.720000000000006</v>
      </c>
      <c r="L333">
        <f ca="1">Montée!$B$19*((E333-E332)/60)*J333/10</f>
        <v>12.140421622449942</v>
      </c>
      <c r="M333">
        <f t="shared" ca="1" si="29"/>
        <v>4292.1685047790961</v>
      </c>
    </row>
    <row r="334" spans="5:13">
      <c r="E334" s="210">
        <f t="shared" si="25"/>
        <v>329</v>
      </c>
      <c r="F334">
        <f t="shared" ca="1" si="28"/>
        <v>10401.018756118197</v>
      </c>
      <c r="G334">
        <f t="shared" ca="1" si="26"/>
        <v>0.34482813451464428</v>
      </c>
      <c r="H334">
        <f ca="1">INDEX(Aerodynamique!$T$6:$T$546,MATCH(G334,Aerodynamique!$Y$6:$Y$546,1))</f>
        <v>0.50000000000000766</v>
      </c>
      <c r="I334">
        <f ca="1">INDEX(Aerodynamique!$Z$6:$Z$546,MATCH(G334,Aerodynamique!$Y$6:$Y$546,1))</f>
        <v>1.2898229933203817E-2</v>
      </c>
      <c r="J334">
        <f t="shared" ca="1" si="27"/>
        <v>3797.0304041367403</v>
      </c>
      <c r="K334" s="86">
        <f ca="1">INDEX(Aerodynamique!$AC$6:$AC$1006,MATCH(INDEX(Aerodynamique!$W$6:$W$546,MATCH(G334,Aerodynamique!$Y$6:$Y$546,1)),Aerodynamique!$AD$6:$AD$1006,-1))</f>
        <v>-3.720000000000006</v>
      </c>
      <c r="L334">
        <f ca="1">Montée!$B$19*((E334-E333)/60)*J334/10</f>
        <v>12.140421622449942</v>
      </c>
      <c r="M334">
        <f t="shared" ca="1" si="29"/>
        <v>4304.3089264015462</v>
      </c>
    </row>
    <row r="335" spans="5:13">
      <c r="E335" s="210">
        <f t="shared" si="25"/>
        <v>330</v>
      </c>
      <c r="F335">
        <f t="shared" ca="1" si="28"/>
        <v>10388.878334495748</v>
      </c>
      <c r="G335">
        <f t="shared" ca="1" si="26"/>
        <v>0.34442563942849441</v>
      </c>
      <c r="H335">
        <f ca="1">INDEX(Aerodynamique!$T$6:$T$546,MATCH(G335,Aerodynamique!$Y$6:$Y$546,1))</f>
        <v>0.50000000000000766</v>
      </c>
      <c r="I335">
        <f ca="1">INDEX(Aerodynamique!$Z$6:$Z$546,MATCH(G335,Aerodynamique!$Y$6:$Y$546,1))</f>
        <v>1.2898229933203817E-2</v>
      </c>
      <c r="J335">
        <f t="shared" ca="1" si="27"/>
        <v>3797.0304041367403</v>
      </c>
      <c r="K335" s="86">
        <f ca="1">INDEX(Aerodynamique!$AC$6:$AC$1006,MATCH(INDEX(Aerodynamique!$W$6:$W$546,MATCH(G335,Aerodynamique!$Y$6:$Y$546,1)),Aerodynamique!$AD$6:$AD$1006,-1))</f>
        <v>-3.720000000000006</v>
      </c>
      <c r="L335">
        <f ca="1">Montée!$B$19*((E335-E334)/60)*J335/10</f>
        <v>12.140421622449942</v>
      </c>
      <c r="M335">
        <f t="shared" ca="1" si="29"/>
        <v>4316.4493480239962</v>
      </c>
    </row>
    <row r="336" spans="5:13">
      <c r="E336" s="210">
        <f t="shared" si="25"/>
        <v>331</v>
      </c>
      <c r="F336">
        <f t="shared" ca="1" si="28"/>
        <v>10376.737912873299</v>
      </c>
      <c r="G336">
        <f t="shared" ca="1" si="26"/>
        <v>0.34402314434234454</v>
      </c>
      <c r="H336">
        <f ca="1">INDEX(Aerodynamique!$T$6:$T$546,MATCH(G336,Aerodynamique!$Y$6:$Y$546,1))</f>
        <v>0.50000000000000766</v>
      </c>
      <c r="I336">
        <f ca="1">INDEX(Aerodynamique!$Z$6:$Z$546,MATCH(G336,Aerodynamique!$Y$6:$Y$546,1))</f>
        <v>1.2898229933203817E-2</v>
      </c>
      <c r="J336">
        <f t="shared" ca="1" si="27"/>
        <v>3797.0304041367403</v>
      </c>
      <c r="K336" s="86">
        <f ca="1">INDEX(Aerodynamique!$AC$6:$AC$1006,MATCH(INDEX(Aerodynamique!$W$6:$W$546,MATCH(G336,Aerodynamique!$Y$6:$Y$546,1)),Aerodynamique!$AD$6:$AD$1006,-1))</f>
        <v>-3.720000000000006</v>
      </c>
      <c r="L336">
        <f ca="1">Montée!$B$19*((E336-E335)/60)*J336/10</f>
        <v>12.140421622449942</v>
      </c>
      <c r="M336">
        <f t="shared" ca="1" si="29"/>
        <v>4328.5897696464463</v>
      </c>
    </row>
    <row r="337" spans="5:13">
      <c r="E337" s="210">
        <f t="shared" si="25"/>
        <v>332</v>
      </c>
      <c r="F337">
        <f t="shared" ca="1" si="28"/>
        <v>10364.59749125085</v>
      </c>
      <c r="G337">
        <f t="shared" ca="1" si="26"/>
        <v>0.34362064925619468</v>
      </c>
      <c r="H337">
        <f ca="1">INDEX(Aerodynamique!$T$6:$T$546,MATCH(G337,Aerodynamique!$Y$6:$Y$546,1))</f>
        <v>0.50000000000000766</v>
      </c>
      <c r="I337">
        <f ca="1">INDEX(Aerodynamique!$Z$6:$Z$546,MATCH(G337,Aerodynamique!$Y$6:$Y$546,1))</f>
        <v>1.2898229933203817E-2</v>
      </c>
      <c r="J337">
        <f t="shared" ca="1" si="27"/>
        <v>3797.0304041367403</v>
      </c>
      <c r="K337" s="86">
        <f ca="1">INDEX(Aerodynamique!$AC$6:$AC$1006,MATCH(INDEX(Aerodynamique!$W$6:$W$546,MATCH(G337,Aerodynamique!$Y$6:$Y$546,1)),Aerodynamique!$AD$6:$AD$1006,-1))</f>
        <v>-3.720000000000006</v>
      </c>
      <c r="L337">
        <f ca="1">Montée!$B$19*((E337-E336)/60)*J337/10</f>
        <v>12.140421622449942</v>
      </c>
      <c r="M337">
        <f t="shared" ca="1" si="29"/>
        <v>4340.7301912688963</v>
      </c>
    </row>
    <row r="338" spans="5:13">
      <c r="E338" s="210">
        <f t="shared" si="25"/>
        <v>333</v>
      </c>
      <c r="F338">
        <f t="shared" ca="1" si="28"/>
        <v>10352.457069628401</v>
      </c>
      <c r="G338">
        <f t="shared" ca="1" si="26"/>
        <v>0.34321815417004475</v>
      </c>
      <c r="H338">
        <f ca="1">INDEX(Aerodynamique!$T$6:$T$546,MATCH(G338,Aerodynamique!$Y$6:$Y$546,1))</f>
        <v>0.50000000000000766</v>
      </c>
      <c r="I338">
        <f ca="1">INDEX(Aerodynamique!$Z$6:$Z$546,MATCH(G338,Aerodynamique!$Y$6:$Y$546,1))</f>
        <v>1.2898229933203817E-2</v>
      </c>
      <c r="J338">
        <f t="shared" ca="1" si="27"/>
        <v>3797.0304041367403</v>
      </c>
      <c r="K338" s="86">
        <f ca="1">INDEX(Aerodynamique!$AC$6:$AC$1006,MATCH(INDEX(Aerodynamique!$W$6:$W$546,MATCH(G338,Aerodynamique!$Y$6:$Y$546,1)),Aerodynamique!$AD$6:$AD$1006,-1))</f>
        <v>-3.720000000000006</v>
      </c>
      <c r="L338">
        <f ca="1">Montée!$B$19*((E338-E337)/60)*J338/10</f>
        <v>12.140421622449942</v>
      </c>
      <c r="M338">
        <f t="shared" ca="1" si="29"/>
        <v>4352.8706128913464</v>
      </c>
    </row>
    <row r="339" spans="5:13">
      <c r="E339" s="210">
        <f t="shared" si="25"/>
        <v>334</v>
      </c>
      <c r="F339">
        <f t="shared" ca="1" si="28"/>
        <v>10340.316648005952</v>
      </c>
      <c r="G339">
        <f t="shared" ca="1" si="26"/>
        <v>0.34281565908389489</v>
      </c>
      <c r="H339">
        <f ca="1">INDEX(Aerodynamique!$T$6:$T$546,MATCH(G339,Aerodynamique!$Y$6:$Y$546,1))</f>
        <v>0.50000000000000766</v>
      </c>
      <c r="I339">
        <f ca="1">INDEX(Aerodynamique!$Z$6:$Z$546,MATCH(G339,Aerodynamique!$Y$6:$Y$546,1))</f>
        <v>1.2898229933203817E-2</v>
      </c>
      <c r="J339">
        <f t="shared" ca="1" si="27"/>
        <v>3797.0304041367403</v>
      </c>
      <c r="K339" s="86">
        <f ca="1">INDEX(Aerodynamique!$AC$6:$AC$1006,MATCH(INDEX(Aerodynamique!$W$6:$W$546,MATCH(G339,Aerodynamique!$Y$6:$Y$546,1)),Aerodynamique!$AD$6:$AD$1006,-1))</f>
        <v>-3.720000000000006</v>
      </c>
      <c r="L339">
        <f ca="1">Montée!$B$19*((E339-E338)/60)*J339/10</f>
        <v>12.140421622449942</v>
      </c>
      <c r="M339">
        <f t="shared" ca="1" si="29"/>
        <v>4365.0110345137964</v>
      </c>
    </row>
    <row r="340" spans="5:13">
      <c r="E340" s="210">
        <f t="shared" si="25"/>
        <v>335</v>
      </c>
      <c r="F340">
        <f t="shared" ca="1" si="28"/>
        <v>10328.176226383503</v>
      </c>
      <c r="G340">
        <f t="shared" ca="1" si="26"/>
        <v>0.34241316399774496</v>
      </c>
      <c r="H340">
        <f ca="1">INDEX(Aerodynamique!$T$6:$T$546,MATCH(G340,Aerodynamique!$Y$6:$Y$546,1))</f>
        <v>0.50000000000000766</v>
      </c>
      <c r="I340">
        <f ca="1">INDEX(Aerodynamique!$Z$6:$Z$546,MATCH(G340,Aerodynamique!$Y$6:$Y$546,1))</f>
        <v>1.2898229933203817E-2</v>
      </c>
      <c r="J340">
        <f t="shared" ca="1" si="27"/>
        <v>3797.0304041367403</v>
      </c>
      <c r="K340" s="86">
        <f ca="1">INDEX(Aerodynamique!$AC$6:$AC$1006,MATCH(INDEX(Aerodynamique!$W$6:$W$546,MATCH(G340,Aerodynamique!$Y$6:$Y$546,1)),Aerodynamique!$AD$6:$AD$1006,-1))</f>
        <v>-3.720000000000006</v>
      </c>
      <c r="L340">
        <f ca="1">Montée!$B$19*((E340-E339)/60)*J340/10</f>
        <v>12.140421622449942</v>
      </c>
      <c r="M340">
        <f t="shared" ca="1" si="29"/>
        <v>4377.1514561362465</v>
      </c>
    </row>
    <row r="341" spans="5:13">
      <c r="E341" s="210">
        <f t="shared" si="25"/>
        <v>336</v>
      </c>
      <c r="F341">
        <f t="shared" ca="1" si="28"/>
        <v>10316.035804761053</v>
      </c>
      <c r="G341">
        <f t="shared" ca="1" si="26"/>
        <v>0.34201066891159509</v>
      </c>
      <c r="H341">
        <f ca="1">INDEX(Aerodynamique!$T$6:$T$546,MATCH(G341,Aerodynamique!$Y$6:$Y$546,1))</f>
        <v>0.50000000000000766</v>
      </c>
      <c r="I341">
        <f ca="1">INDEX(Aerodynamique!$Z$6:$Z$546,MATCH(G341,Aerodynamique!$Y$6:$Y$546,1))</f>
        <v>1.2898229933203817E-2</v>
      </c>
      <c r="J341">
        <f t="shared" ca="1" si="27"/>
        <v>3797.0304041367403</v>
      </c>
      <c r="K341" s="86">
        <f ca="1">INDEX(Aerodynamique!$AC$6:$AC$1006,MATCH(INDEX(Aerodynamique!$W$6:$W$546,MATCH(G341,Aerodynamique!$Y$6:$Y$546,1)),Aerodynamique!$AD$6:$AD$1006,-1))</f>
        <v>-3.720000000000006</v>
      </c>
      <c r="L341">
        <f ca="1">Montée!$B$19*((E341-E340)/60)*J341/10</f>
        <v>12.140421622449942</v>
      </c>
      <c r="M341">
        <f t="shared" ca="1" si="29"/>
        <v>4389.2918777586965</v>
      </c>
    </row>
    <row r="342" spans="5:13">
      <c r="E342" s="210">
        <f t="shared" si="25"/>
        <v>337</v>
      </c>
      <c r="F342">
        <f t="shared" ca="1" si="28"/>
        <v>10303.895383138604</v>
      </c>
      <c r="G342">
        <f t="shared" ca="1" si="26"/>
        <v>0.34160817382544517</v>
      </c>
      <c r="H342">
        <f ca="1">INDEX(Aerodynamique!$T$6:$T$546,MATCH(G342,Aerodynamique!$Y$6:$Y$546,1))</f>
        <v>0.50000000000000766</v>
      </c>
      <c r="I342">
        <f ca="1">INDEX(Aerodynamique!$Z$6:$Z$546,MATCH(G342,Aerodynamique!$Y$6:$Y$546,1))</f>
        <v>1.2898229933203817E-2</v>
      </c>
      <c r="J342">
        <f t="shared" ca="1" si="27"/>
        <v>3797.0304041367403</v>
      </c>
      <c r="K342" s="86">
        <f ca="1">INDEX(Aerodynamique!$AC$6:$AC$1006,MATCH(INDEX(Aerodynamique!$W$6:$W$546,MATCH(G342,Aerodynamique!$Y$6:$Y$546,1)),Aerodynamique!$AD$6:$AD$1006,-1))</f>
        <v>-3.720000000000006</v>
      </c>
      <c r="L342">
        <f ca="1">Montée!$B$19*((E342-E341)/60)*J342/10</f>
        <v>12.140421622449942</v>
      </c>
      <c r="M342">
        <f t="shared" ca="1" si="29"/>
        <v>4401.4322993811465</v>
      </c>
    </row>
    <row r="343" spans="5:13">
      <c r="E343" s="210">
        <f t="shared" si="25"/>
        <v>338</v>
      </c>
      <c r="F343">
        <f t="shared" ca="1" si="28"/>
        <v>10291.754961516155</v>
      </c>
      <c r="G343">
        <f t="shared" ca="1" si="26"/>
        <v>0.34120567873929536</v>
      </c>
      <c r="H343">
        <f ca="1">INDEX(Aerodynamique!$T$6:$T$546,MATCH(G343,Aerodynamique!$Y$6:$Y$546,1))</f>
        <v>0.50000000000000766</v>
      </c>
      <c r="I343">
        <f ca="1">INDEX(Aerodynamique!$Z$6:$Z$546,MATCH(G343,Aerodynamique!$Y$6:$Y$546,1))</f>
        <v>1.2898229933203817E-2</v>
      </c>
      <c r="J343">
        <f t="shared" ca="1" si="27"/>
        <v>3797.0304041367403</v>
      </c>
      <c r="K343" s="86">
        <f ca="1">INDEX(Aerodynamique!$AC$6:$AC$1006,MATCH(INDEX(Aerodynamique!$W$6:$W$546,MATCH(G343,Aerodynamique!$Y$6:$Y$546,1)),Aerodynamique!$AD$6:$AD$1006,-1))</f>
        <v>-3.720000000000006</v>
      </c>
      <c r="L343">
        <f ca="1">Montée!$B$19*((E343-E342)/60)*J343/10</f>
        <v>12.140421622449942</v>
      </c>
      <c r="M343">
        <f t="shared" ca="1" si="29"/>
        <v>4413.5727210035966</v>
      </c>
    </row>
    <row r="344" spans="5:13">
      <c r="E344" s="210">
        <f t="shared" si="25"/>
        <v>339</v>
      </c>
      <c r="F344">
        <f t="shared" ca="1" si="28"/>
        <v>10279.614539893706</v>
      </c>
      <c r="G344">
        <f t="shared" ca="1" si="26"/>
        <v>0.34080318365314544</v>
      </c>
      <c r="H344">
        <f ca="1">INDEX(Aerodynamique!$T$6:$T$546,MATCH(G344,Aerodynamique!$Y$6:$Y$546,1))</f>
        <v>0.50000000000000766</v>
      </c>
      <c r="I344">
        <f ca="1">INDEX(Aerodynamique!$Z$6:$Z$546,MATCH(G344,Aerodynamique!$Y$6:$Y$546,1))</f>
        <v>1.2898229933203817E-2</v>
      </c>
      <c r="J344">
        <f t="shared" ca="1" si="27"/>
        <v>3797.0304041367403</v>
      </c>
      <c r="K344" s="86">
        <f ca="1">INDEX(Aerodynamique!$AC$6:$AC$1006,MATCH(INDEX(Aerodynamique!$W$6:$W$546,MATCH(G344,Aerodynamique!$Y$6:$Y$546,1)),Aerodynamique!$AD$6:$AD$1006,-1))</f>
        <v>-3.720000000000006</v>
      </c>
      <c r="L344">
        <f ca="1">Montée!$B$19*((E344-E343)/60)*J344/10</f>
        <v>12.140421622449942</v>
      </c>
      <c r="M344">
        <f t="shared" ca="1" si="29"/>
        <v>4425.7131426260466</v>
      </c>
    </row>
    <row r="345" spans="5:13">
      <c r="E345" s="210">
        <f t="shared" si="25"/>
        <v>340</v>
      </c>
      <c r="F345">
        <f t="shared" ca="1" si="28"/>
        <v>10267.474118271257</v>
      </c>
      <c r="G345">
        <f t="shared" ca="1" si="26"/>
        <v>0.34040068856699557</v>
      </c>
      <c r="H345">
        <f ca="1">INDEX(Aerodynamique!$T$6:$T$546,MATCH(G345,Aerodynamique!$Y$6:$Y$546,1))</f>
        <v>0.45000000000000762</v>
      </c>
      <c r="I345">
        <f ca="1">INDEX(Aerodynamique!$Z$6:$Z$546,MATCH(G345,Aerodynamique!$Y$6:$Y$546,1))</f>
        <v>1.2839120152109059E-2</v>
      </c>
      <c r="J345">
        <f t="shared" ca="1" si="27"/>
        <v>3779.6294400384895</v>
      </c>
      <c r="K345" s="86">
        <f ca="1">INDEX(Aerodynamique!$AC$6:$AC$1006,MATCH(INDEX(Aerodynamique!$W$6:$W$546,MATCH(G345,Aerodynamique!$Y$6:$Y$546,1)),Aerodynamique!$AD$6:$AD$1006,-1))</f>
        <v>-3.6800000000000059</v>
      </c>
      <c r="L345">
        <f ca="1">Montée!$B$19*((E345-E344)/60)*J345/10</f>
        <v>12.084784711942266</v>
      </c>
      <c r="M345">
        <f t="shared" ca="1" si="29"/>
        <v>4437.7979273379888</v>
      </c>
    </row>
    <row r="346" spans="5:13">
      <c r="E346" s="210">
        <f t="shared" si="25"/>
        <v>341</v>
      </c>
      <c r="F346">
        <f t="shared" ca="1" si="28"/>
        <v>10255.389333559315</v>
      </c>
      <c r="G346">
        <f t="shared" ca="1" si="26"/>
        <v>0.34000003802824147</v>
      </c>
      <c r="H346">
        <f ca="1">INDEX(Aerodynamique!$T$6:$T$546,MATCH(G346,Aerodynamique!$Y$6:$Y$546,1))</f>
        <v>0.45000000000000762</v>
      </c>
      <c r="I346">
        <f ca="1">INDEX(Aerodynamique!$Z$6:$Z$546,MATCH(G346,Aerodynamique!$Y$6:$Y$546,1))</f>
        <v>1.2839120152109059E-2</v>
      </c>
      <c r="J346">
        <f t="shared" ca="1" si="27"/>
        <v>3779.6294400384895</v>
      </c>
      <c r="K346" s="86">
        <f ca="1">INDEX(Aerodynamique!$AC$6:$AC$1006,MATCH(INDEX(Aerodynamique!$W$6:$W$546,MATCH(G346,Aerodynamique!$Y$6:$Y$546,1)),Aerodynamique!$AD$6:$AD$1006,-1))</f>
        <v>-3.6800000000000059</v>
      </c>
      <c r="L346">
        <f ca="1">Montée!$B$19*((E346-E345)/60)*J346/10</f>
        <v>12.084784711942266</v>
      </c>
      <c r="M346">
        <f t="shared" ca="1" si="29"/>
        <v>4449.8827120499309</v>
      </c>
    </row>
    <row r="347" spans="5:13">
      <c r="E347" s="210">
        <f t="shared" si="25"/>
        <v>342</v>
      </c>
      <c r="F347">
        <f t="shared" ca="1" si="28"/>
        <v>10243.304548847373</v>
      </c>
      <c r="G347">
        <f t="shared" ca="1" si="26"/>
        <v>0.33959938748948737</v>
      </c>
      <c r="H347">
        <f ca="1">INDEX(Aerodynamique!$T$6:$T$546,MATCH(G347,Aerodynamique!$Y$6:$Y$546,1))</f>
        <v>0.45000000000000762</v>
      </c>
      <c r="I347">
        <f ca="1">INDEX(Aerodynamique!$Z$6:$Z$546,MATCH(G347,Aerodynamique!$Y$6:$Y$546,1))</f>
        <v>1.2839120152109059E-2</v>
      </c>
      <c r="J347">
        <f t="shared" ca="1" si="27"/>
        <v>3779.6294400384895</v>
      </c>
      <c r="K347" s="86">
        <f ca="1">INDEX(Aerodynamique!$AC$6:$AC$1006,MATCH(INDEX(Aerodynamique!$W$6:$W$546,MATCH(G347,Aerodynamique!$Y$6:$Y$546,1)),Aerodynamique!$AD$6:$AD$1006,-1))</f>
        <v>-3.6800000000000059</v>
      </c>
      <c r="L347">
        <f ca="1">Montée!$B$19*((E347-E346)/60)*J347/10</f>
        <v>12.084784711942266</v>
      </c>
      <c r="M347">
        <f t="shared" ca="1" si="29"/>
        <v>4461.967496761873</v>
      </c>
    </row>
    <row r="348" spans="5:13">
      <c r="E348" s="210">
        <f t="shared" si="25"/>
        <v>343</v>
      </c>
      <c r="F348">
        <f t="shared" ca="1" si="28"/>
        <v>10231.219764135431</v>
      </c>
      <c r="G348">
        <f t="shared" ca="1" si="26"/>
        <v>0.33919873695073327</v>
      </c>
      <c r="H348">
        <f ca="1">INDEX(Aerodynamique!$T$6:$T$546,MATCH(G348,Aerodynamique!$Y$6:$Y$546,1))</f>
        <v>0.45000000000000762</v>
      </c>
      <c r="I348">
        <f ca="1">INDEX(Aerodynamique!$Z$6:$Z$546,MATCH(G348,Aerodynamique!$Y$6:$Y$546,1))</f>
        <v>1.2839120152109059E-2</v>
      </c>
      <c r="J348">
        <f t="shared" ca="1" si="27"/>
        <v>3779.6294400384895</v>
      </c>
      <c r="K348" s="86">
        <f ca="1">INDEX(Aerodynamique!$AC$6:$AC$1006,MATCH(INDEX(Aerodynamique!$W$6:$W$546,MATCH(G348,Aerodynamique!$Y$6:$Y$546,1)),Aerodynamique!$AD$6:$AD$1006,-1))</f>
        <v>-3.6800000000000059</v>
      </c>
      <c r="L348">
        <f ca="1">Montée!$B$19*((E348-E347)/60)*J348/10</f>
        <v>12.084784711942266</v>
      </c>
      <c r="M348">
        <f t="shared" ca="1" si="29"/>
        <v>4474.0522814738151</v>
      </c>
    </row>
    <row r="349" spans="5:13">
      <c r="E349" s="210">
        <f t="shared" si="25"/>
        <v>344</v>
      </c>
      <c r="F349">
        <f t="shared" ca="1" si="28"/>
        <v>10219.134979423488</v>
      </c>
      <c r="G349">
        <f t="shared" ca="1" si="26"/>
        <v>0.33879808641197923</v>
      </c>
      <c r="H349">
        <f ca="1">INDEX(Aerodynamique!$T$6:$T$546,MATCH(G349,Aerodynamique!$Y$6:$Y$546,1))</f>
        <v>0.45000000000000762</v>
      </c>
      <c r="I349">
        <f ca="1">INDEX(Aerodynamique!$Z$6:$Z$546,MATCH(G349,Aerodynamique!$Y$6:$Y$546,1))</f>
        <v>1.2839120152109059E-2</v>
      </c>
      <c r="J349">
        <f t="shared" ca="1" si="27"/>
        <v>3779.6294400384895</v>
      </c>
      <c r="K349" s="86">
        <f ca="1">INDEX(Aerodynamique!$AC$6:$AC$1006,MATCH(INDEX(Aerodynamique!$W$6:$W$546,MATCH(G349,Aerodynamique!$Y$6:$Y$546,1)),Aerodynamique!$AD$6:$AD$1006,-1))</f>
        <v>-3.6800000000000059</v>
      </c>
      <c r="L349">
        <f ca="1">Montée!$B$19*((E349-E348)/60)*J349/10</f>
        <v>12.084784711942266</v>
      </c>
      <c r="M349">
        <f t="shared" ca="1" si="29"/>
        <v>4486.1370661857572</v>
      </c>
    </row>
    <row r="350" spans="5:13">
      <c r="E350" s="210">
        <f t="shared" si="25"/>
        <v>345</v>
      </c>
      <c r="F350">
        <f t="shared" ca="1" si="28"/>
        <v>10207.050194711546</v>
      </c>
      <c r="G350">
        <f t="shared" ca="1" si="26"/>
        <v>0.33839743587322513</v>
      </c>
      <c r="H350">
        <f ca="1">INDEX(Aerodynamique!$T$6:$T$546,MATCH(G350,Aerodynamique!$Y$6:$Y$546,1))</f>
        <v>0.45000000000000762</v>
      </c>
      <c r="I350">
        <f ca="1">INDEX(Aerodynamique!$Z$6:$Z$546,MATCH(G350,Aerodynamique!$Y$6:$Y$546,1))</f>
        <v>1.2839120152109059E-2</v>
      </c>
      <c r="J350">
        <f t="shared" ca="1" si="27"/>
        <v>3779.6294400384895</v>
      </c>
      <c r="K350" s="86">
        <f ca="1">INDEX(Aerodynamique!$AC$6:$AC$1006,MATCH(INDEX(Aerodynamique!$W$6:$W$546,MATCH(G350,Aerodynamique!$Y$6:$Y$546,1)),Aerodynamique!$AD$6:$AD$1006,-1))</f>
        <v>-3.6800000000000059</v>
      </c>
      <c r="L350">
        <f ca="1">Montée!$B$19*((E350-E349)/60)*J350/10</f>
        <v>12.084784711942266</v>
      </c>
      <c r="M350">
        <f t="shared" ca="1" si="29"/>
        <v>4498.2218508976994</v>
      </c>
    </row>
    <row r="351" spans="5:13">
      <c r="E351" s="210">
        <f t="shared" si="25"/>
        <v>346</v>
      </c>
      <c r="F351">
        <f t="shared" ca="1" si="28"/>
        <v>10194.965409999604</v>
      </c>
      <c r="G351">
        <f t="shared" ca="1" si="26"/>
        <v>0.33799678533447103</v>
      </c>
      <c r="H351">
        <f ca="1">INDEX(Aerodynamique!$T$6:$T$546,MATCH(G351,Aerodynamique!$Y$6:$Y$546,1))</f>
        <v>0.45000000000000762</v>
      </c>
      <c r="I351">
        <f ca="1">INDEX(Aerodynamique!$Z$6:$Z$546,MATCH(G351,Aerodynamique!$Y$6:$Y$546,1))</f>
        <v>1.2839120152109059E-2</v>
      </c>
      <c r="J351">
        <f t="shared" ca="1" si="27"/>
        <v>3779.6294400384895</v>
      </c>
      <c r="K351" s="86">
        <f ca="1">INDEX(Aerodynamique!$AC$6:$AC$1006,MATCH(INDEX(Aerodynamique!$W$6:$W$546,MATCH(G351,Aerodynamique!$Y$6:$Y$546,1)),Aerodynamique!$AD$6:$AD$1006,-1))</f>
        <v>-3.6800000000000059</v>
      </c>
      <c r="L351">
        <f ca="1">Montée!$B$19*((E351-E350)/60)*J351/10</f>
        <v>12.084784711942266</v>
      </c>
      <c r="M351">
        <f t="shared" ca="1" si="29"/>
        <v>4510.3066356096415</v>
      </c>
    </row>
    <row r="352" spans="5:13">
      <c r="E352" s="210">
        <f t="shared" si="25"/>
        <v>347</v>
      </c>
      <c r="F352">
        <f t="shared" ca="1" si="28"/>
        <v>10182.880625287662</v>
      </c>
      <c r="G352">
        <f t="shared" ca="1" si="26"/>
        <v>0.33759613479571693</v>
      </c>
      <c r="H352">
        <f ca="1">INDEX(Aerodynamique!$T$6:$T$546,MATCH(G352,Aerodynamique!$Y$6:$Y$546,1))</f>
        <v>0.45000000000000762</v>
      </c>
      <c r="I352">
        <f ca="1">INDEX(Aerodynamique!$Z$6:$Z$546,MATCH(G352,Aerodynamique!$Y$6:$Y$546,1))</f>
        <v>1.2839120152109059E-2</v>
      </c>
      <c r="J352">
        <f t="shared" ca="1" si="27"/>
        <v>3779.6294400384895</v>
      </c>
      <c r="K352" s="86">
        <f ca="1">INDEX(Aerodynamique!$AC$6:$AC$1006,MATCH(INDEX(Aerodynamique!$W$6:$W$546,MATCH(G352,Aerodynamique!$Y$6:$Y$546,1)),Aerodynamique!$AD$6:$AD$1006,-1))</f>
        <v>-3.6800000000000059</v>
      </c>
      <c r="L352">
        <f ca="1">Montée!$B$19*((E352-E351)/60)*J352/10</f>
        <v>12.084784711942266</v>
      </c>
      <c r="M352">
        <f t="shared" ca="1" si="29"/>
        <v>4522.3914203215836</v>
      </c>
    </row>
    <row r="353" spans="5:13">
      <c r="E353" s="210">
        <f t="shared" si="25"/>
        <v>348</v>
      </c>
      <c r="F353">
        <f t="shared" ca="1" si="28"/>
        <v>10170.79584057572</v>
      </c>
      <c r="G353">
        <f t="shared" ca="1" si="26"/>
        <v>0.33719548425696283</v>
      </c>
      <c r="H353">
        <f ca="1">INDEX(Aerodynamique!$T$6:$T$546,MATCH(G353,Aerodynamique!$Y$6:$Y$546,1))</f>
        <v>0.45000000000000762</v>
      </c>
      <c r="I353">
        <f ca="1">INDEX(Aerodynamique!$Z$6:$Z$546,MATCH(G353,Aerodynamique!$Y$6:$Y$546,1))</f>
        <v>1.2839120152109059E-2</v>
      </c>
      <c r="J353">
        <f t="shared" ca="1" si="27"/>
        <v>3779.6294400384895</v>
      </c>
      <c r="K353" s="86">
        <f ca="1">INDEX(Aerodynamique!$AC$6:$AC$1006,MATCH(INDEX(Aerodynamique!$W$6:$W$546,MATCH(G353,Aerodynamique!$Y$6:$Y$546,1)),Aerodynamique!$AD$6:$AD$1006,-1))</f>
        <v>-3.6800000000000059</v>
      </c>
      <c r="L353">
        <f ca="1">Montée!$B$19*((E353-E352)/60)*J353/10</f>
        <v>12.084784711942266</v>
      </c>
      <c r="M353">
        <f t="shared" ca="1" si="29"/>
        <v>4534.4762050335257</v>
      </c>
    </row>
    <row r="354" spans="5:13">
      <c r="E354" s="210">
        <f t="shared" si="25"/>
        <v>349</v>
      </c>
      <c r="F354">
        <f t="shared" ca="1" si="28"/>
        <v>10158.711055863778</v>
      </c>
      <c r="G354">
        <f t="shared" ca="1" si="26"/>
        <v>0.33679483371820879</v>
      </c>
      <c r="H354">
        <f ca="1">INDEX(Aerodynamique!$T$6:$T$546,MATCH(G354,Aerodynamique!$Y$6:$Y$546,1))</f>
        <v>0.45000000000000762</v>
      </c>
      <c r="I354">
        <f ca="1">INDEX(Aerodynamique!$Z$6:$Z$546,MATCH(G354,Aerodynamique!$Y$6:$Y$546,1))</f>
        <v>1.2839120152109059E-2</v>
      </c>
      <c r="J354">
        <f t="shared" ca="1" si="27"/>
        <v>3779.6294400384895</v>
      </c>
      <c r="K354" s="86">
        <f ca="1">INDEX(Aerodynamique!$AC$6:$AC$1006,MATCH(INDEX(Aerodynamique!$W$6:$W$546,MATCH(G354,Aerodynamique!$Y$6:$Y$546,1)),Aerodynamique!$AD$6:$AD$1006,-1))</f>
        <v>-3.6800000000000059</v>
      </c>
      <c r="L354">
        <f ca="1">Montée!$B$19*((E354-E353)/60)*J354/10</f>
        <v>12.084784711942266</v>
      </c>
      <c r="M354">
        <f t="shared" ca="1" si="29"/>
        <v>4546.5609897454679</v>
      </c>
    </row>
    <row r="355" spans="5:13">
      <c r="E355" s="210">
        <f t="shared" si="25"/>
        <v>350</v>
      </c>
      <c r="F355">
        <f t="shared" ca="1" si="28"/>
        <v>10146.626271151836</v>
      </c>
      <c r="G355">
        <f t="shared" ca="1" si="26"/>
        <v>0.33639418317945469</v>
      </c>
      <c r="H355">
        <f ca="1">INDEX(Aerodynamique!$T$6:$T$546,MATCH(G355,Aerodynamique!$Y$6:$Y$546,1))</f>
        <v>0.45000000000000762</v>
      </c>
      <c r="I355">
        <f ca="1">INDEX(Aerodynamique!$Z$6:$Z$546,MATCH(G355,Aerodynamique!$Y$6:$Y$546,1))</f>
        <v>1.2839120152109059E-2</v>
      </c>
      <c r="J355">
        <f t="shared" ca="1" si="27"/>
        <v>3779.6294400384895</v>
      </c>
      <c r="K355" s="86">
        <f ca="1">INDEX(Aerodynamique!$AC$6:$AC$1006,MATCH(INDEX(Aerodynamique!$W$6:$W$546,MATCH(G355,Aerodynamique!$Y$6:$Y$546,1)),Aerodynamique!$AD$6:$AD$1006,-1))</f>
        <v>-3.6800000000000059</v>
      </c>
      <c r="L355">
        <f ca="1">Montée!$B$19*((E355-E354)/60)*J355/10</f>
        <v>12.084784711942266</v>
      </c>
      <c r="M355">
        <f t="shared" ca="1" si="29"/>
        <v>4558.64577445741</v>
      </c>
    </row>
    <row r="356" spans="5:13">
      <c r="E356" s="210">
        <f t="shared" si="25"/>
        <v>351</v>
      </c>
      <c r="F356">
        <f t="shared" ca="1" si="28"/>
        <v>10134.541486439894</v>
      </c>
      <c r="G356">
        <f t="shared" ca="1" si="26"/>
        <v>0.33599353264070064</v>
      </c>
      <c r="H356">
        <f ca="1">INDEX(Aerodynamique!$T$6:$T$546,MATCH(G356,Aerodynamique!$Y$6:$Y$546,1))</f>
        <v>0.45000000000000762</v>
      </c>
      <c r="I356">
        <f ca="1">INDEX(Aerodynamique!$Z$6:$Z$546,MATCH(G356,Aerodynamique!$Y$6:$Y$546,1))</f>
        <v>1.2839120152109059E-2</v>
      </c>
      <c r="J356">
        <f t="shared" ca="1" si="27"/>
        <v>3779.6294400384895</v>
      </c>
      <c r="K356" s="86">
        <f ca="1">INDEX(Aerodynamique!$AC$6:$AC$1006,MATCH(INDEX(Aerodynamique!$W$6:$W$546,MATCH(G356,Aerodynamique!$Y$6:$Y$546,1)),Aerodynamique!$AD$6:$AD$1006,-1))</f>
        <v>-3.6800000000000059</v>
      </c>
      <c r="L356">
        <f ca="1">Montée!$B$19*((E356-E355)/60)*J356/10</f>
        <v>12.084784711942266</v>
      </c>
      <c r="M356">
        <f t="shared" ca="1" si="29"/>
        <v>4570.7305591693521</v>
      </c>
    </row>
    <row r="357" spans="5:13">
      <c r="E357" s="210">
        <f t="shared" si="25"/>
        <v>352</v>
      </c>
      <c r="F357">
        <f t="shared" ca="1" si="28"/>
        <v>10122.456701727951</v>
      </c>
      <c r="G357">
        <f t="shared" ca="1" si="26"/>
        <v>0.33559288210194649</v>
      </c>
      <c r="H357">
        <f ca="1">INDEX(Aerodynamique!$T$6:$T$546,MATCH(G357,Aerodynamique!$Y$6:$Y$546,1))</f>
        <v>0.40000000000000763</v>
      </c>
      <c r="I357">
        <f ca="1">INDEX(Aerodynamique!$Z$6:$Z$546,MATCH(G357,Aerodynamique!$Y$6:$Y$546,1))</f>
        <v>1.2781078181026457E-2</v>
      </c>
      <c r="J357">
        <f t="shared" ca="1" si="27"/>
        <v>3762.5428219476362</v>
      </c>
      <c r="K357" s="86">
        <f ca="1">INDEX(Aerodynamique!$AC$6:$AC$1006,MATCH(INDEX(Aerodynamique!$W$6:$W$546,MATCH(G357,Aerodynamique!$Y$6:$Y$546,1)),Aerodynamique!$AD$6:$AD$1006,-1))</f>
        <v>-3.6400000000000059</v>
      </c>
      <c r="L357">
        <f ca="1">Montée!$B$19*((E357-E356)/60)*J357/10</f>
        <v>12.030152874520384</v>
      </c>
      <c r="M357">
        <f t="shared" ca="1" si="29"/>
        <v>4582.7607120438724</v>
      </c>
    </row>
    <row r="358" spans="5:13">
      <c r="E358" s="210">
        <f t="shared" si="25"/>
        <v>353</v>
      </c>
      <c r="F358">
        <f t="shared" ca="1" si="28"/>
        <v>10110.426548853431</v>
      </c>
      <c r="G358">
        <f t="shared" ca="1" si="26"/>
        <v>0.33519404278909493</v>
      </c>
      <c r="H358">
        <f ca="1">INDEX(Aerodynamique!$T$6:$T$546,MATCH(G358,Aerodynamique!$Y$6:$Y$546,1))</f>
        <v>0.40000000000000763</v>
      </c>
      <c r="I358">
        <f ca="1">INDEX(Aerodynamique!$Z$6:$Z$546,MATCH(G358,Aerodynamique!$Y$6:$Y$546,1))</f>
        <v>1.2781078181026457E-2</v>
      </c>
      <c r="J358">
        <f t="shared" ca="1" si="27"/>
        <v>3762.5428219476362</v>
      </c>
      <c r="K358" s="86">
        <f ca="1">INDEX(Aerodynamique!$AC$6:$AC$1006,MATCH(INDEX(Aerodynamique!$W$6:$W$546,MATCH(G358,Aerodynamique!$Y$6:$Y$546,1)),Aerodynamique!$AD$6:$AD$1006,-1))</f>
        <v>-3.6400000000000059</v>
      </c>
      <c r="L358">
        <f ca="1">Montée!$B$19*((E358-E357)/60)*J358/10</f>
        <v>12.030152874520384</v>
      </c>
      <c r="M358">
        <f t="shared" ca="1" si="29"/>
        <v>4594.7908649183928</v>
      </c>
    </row>
    <row r="359" spans="5:13">
      <c r="E359" s="210">
        <f t="shared" si="25"/>
        <v>354</v>
      </c>
      <c r="F359">
        <f t="shared" ca="1" si="28"/>
        <v>10098.396395978911</v>
      </c>
      <c r="G359">
        <f t="shared" ca="1" si="26"/>
        <v>0.33479520347624331</v>
      </c>
      <c r="H359">
        <f ca="1">INDEX(Aerodynamique!$T$6:$T$546,MATCH(G359,Aerodynamique!$Y$6:$Y$546,1))</f>
        <v>0.40000000000000763</v>
      </c>
      <c r="I359">
        <f ca="1">INDEX(Aerodynamique!$Z$6:$Z$546,MATCH(G359,Aerodynamique!$Y$6:$Y$546,1))</f>
        <v>1.2781078181026457E-2</v>
      </c>
      <c r="J359">
        <f t="shared" ca="1" si="27"/>
        <v>3762.5428219476362</v>
      </c>
      <c r="K359" s="86">
        <f ca="1">INDEX(Aerodynamique!$AC$6:$AC$1006,MATCH(INDEX(Aerodynamique!$W$6:$W$546,MATCH(G359,Aerodynamique!$Y$6:$Y$546,1)),Aerodynamique!$AD$6:$AD$1006,-1))</f>
        <v>-3.6400000000000059</v>
      </c>
      <c r="L359">
        <f ca="1">Montée!$B$19*((E359-E358)/60)*J359/10</f>
        <v>12.030152874520384</v>
      </c>
      <c r="M359">
        <f t="shared" ca="1" si="29"/>
        <v>4606.8210177929132</v>
      </c>
    </row>
    <row r="360" spans="5:13">
      <c r="E360" s="210">
        <f t="shared" si="25"/>
        <v>355</v>
      </c>
      <c r="F360">
        <f t="shared" ca="1" si="28"/>
        <v>10086.36624310439</v>
      </c>
      <c r="G360">
        <f t="shared" ca="1" si="26"/>
        <v>0.33439636416339169</v>
      </c>
      <c r="H360">
        <f ca="1">INDEX(Aerodynamique!$T$6:$T$546,MATCH(G360,Aerodynamique!$Y$6:$Y$546,1))</f>
        <v>0.40000000000000763</v>
      </c>
      <c r="I360">
        <f ca="1">INDEX(Aerodynamique!$Z$6:$Z$546,MATCH(G360,Aerodynamique!$Y$6:$Y$546,1))</f>
        <v>1.2781078181026457E-2</v>
      </c>
      <c r="J360">
        <f t="shared" ca="1" si="27"/>
        <v>3762.5428219476362</v>
      </c>
      <c r="K360" s="86">
        <f ca="1">INDEX(Aerodynamique!$AC$6:$AC$1006,MATCH(INDEX(Aerodynamique!$W$6:$W$546,MATCH(G360,Aerodynamique!$Y$6:$Y$546,1)),Aerodynamique!$AD$6:$AD$1006,-1))</f>
        <v>-3.6400000000000059</v>
      </c>
      <c r="L360">
        <f ca="1">Montée!$B$19*((E360-E359)/60)*J360/10</f>
        <v>12.030152874520384</v>
      </c>
      <c r="M360">
        <f t="shared" ca="1" si="29"/>
        <v>4618.8511706674335</v>
      </c>
    </row>
    <row r="361" spans="5:13">
      <c r="E361" s="210">
        <f t="shared" si="25"/>
        <v>356</v>
      </c>
      <c r="F361">
        <f t="shared" ca="1" si="28"/>
        <v>10074.33609022987</v>
      </c>
      <c r="G361">
        <f t="shared" ca="1" si="26"/>
        <v>0.33399752485054013</v>
      </c>
      <c r="H361">
        <f ca="1">INDEX(Aerodynamique!$T$6:$T$546,MATCH(G361,Aerodynamique!$Y$6:$Y$546,1))</f>
        <v>0.40000000000000763</v>
      </c>
      <c r="I361">
        <f ca="1">INDEX(Aerodynamique!$Z$6:$Z$546,MATCH(G361,Aerodynamique!$Y$6:$Y$546,1))</f>
        <v>1.2781078181026457E-2</v>
      </c>
      <c r="J361">
        <f t="shared" ca="1" si="27"/>
        <v>3762.5428219476362</v>
      </c>
      <c r="K361" s="86">
        <f ca="1">INDEX(Aerodynamique!$AC$6:$AC$1006,MATCH(INDEX(Aerodynamique!$W$6:$W$546,MATCH(G361,Aerodynamique!$Y$6:$Y$546,1)),Aerodynamique!$AD$6:$AD$1006,-1))</f>
        <v>-3.6400000000000059</v>
      </c>
      <c r="L361">
        <f ca="1">Montée!$B$19*((E361-E360)/60)*J361/10</f>
        <v>12.030152874520384</v>
      </c>
      <c r="M361">
        <f t="shared" ca="1" si="29"/>
        <v>4630.8813235419539</v>
      </c>
    </row>
    <row r="362" spans="5:13">
      <c r="E362" s="210">
        <f t="shared" si="25"/>
        <v>357</v>
      </c>
      <c r="F362">
        <f t="shared" ca="1" si="28"/>
        <v>10062.30593735535</v>
      </c>
      <c r="G362">
        <f t="shared" ca="1" si="26"/>
        <v>0.33359868553768851</v>
      </c>
      <c r="H362">
        <f ca="1">INDEX(Aerodynamique!$T$6:$T$546,MATCH(G362,Aerodynamique!$Y$6:$Y$546,1))</f>
        <v>0.40000000000000763</v>
      </c>
      <c r="I362">
        <f ca="1">INDEX(Aerodynamique!$Z$6:$Z$546,MATCH(G362,Aerodynamique!$Y$6:$Y$546,1))</f>
        <v>1.2781078181026457E-2</v>
      </c>
      <c r="J362">
        <f t="shared" ca="1" si="27"/>
        <v>3762.5428219476362</v>
      </c>
      <c r="K362" s="86">
        <f ca="1">INDEX(Aerodynamique!$AC$6:$AC$1006,MATCH(INDEX(Aerodynamique!$W$6:$W$546,MATCH(G362,Aerodynamique!$Y$6:$Y$546,1)),Aerodynamique!$AD$6:$AD$1006,-1))</f>
        <v>-3.6400000000000059</v>
      </c>
      <c r="L362">
        <f ca="1">Montée!$B$19*((E362-E361)/60)*J362/10</f>
        <v>12.030152874520384</v>
      </c>
      <c r="M362">
        <f t="shared" ca="1" si="29"/>
        <v>4642.9114764164742</v>
      </c>
    </row>
    <row r="363" spans="5:13">
      <c r="E363" s="210">
        <f t="shared" si="25"/>
        <v>358</v>
      </c>
      <c r="F363">
        <f t="shared" ca="1" si="28"/>
        <v>10050.275784480829</v>
      </c>
      <c r="G363">
        <f t="shared" ca="1" si="26"/>
        <v>0.33319984622483689</v>
      </c>
      <c r="H363">
        <f ca="1">INDEX(Aerodynamique!$T$6:$T$546,MATCH(G363,Aerodynamique!$Y$6:$Y$546,1))</f>
        <v>0.40000000000000763</v>
      </c>
      <c r="I363">
        <f ca="1">INDEX(Aerodynamique!$Z$6:$Z$546,MATCH(G363,Aerodynamique!$Y$6:$Y$546,1))</f>
        <v>1.2781078181026457E-2</v>
      </c>
      <c r="J363">
        <f t="shared" ca="1" si="27"/>
        <v>3762.5428219476362</v>
      </c>
      <c r="K363" s="86">
        <f ca="1">INDEX(Aerodynamique!$AC$6:$AC$1006,MATCH(INDEX(Aerodynamique!$W$6:$W$546,MATCH(G363,Aerodynamique!$Y$6:$Y$546,1)),Aerodynamique!$AD$6:$AD$1006,-1))</f>
        <v>-3.6400000000000059</v>
      </c>
      <c r="L363">
        <f ca="1">Montée!$B$19*((E363-E362)/60)*J363/10</f>
        <v>12.030152874520384</v>
      </c>
      <c r="M363">
        <f t="shared" ca="1" si="29"/>
        <v>4654.9416292909946</v>
      </c>
    </row>
    <row r="364" spans="5:13">
      <c r="E364" s="210">
        <f t="shared" si="25"/>
        <v>359</v>
      </c>
      <c r="F364">
        <f t="shared" ca="1" si="28"/>
        <v>10038.245631606309</v>
      </c>
      <c r="G364">
        <f t="shared" ca="1" si="26"/>
        <v>0.33280100691198528</v>
      </c>
      <c r="H364">
        <f ca="1">INDEX(Aerodynamique!$T$6:$T$546,MATCH(G364,Aerodynamique!$Y$6:$Y$546,1))</f>
        <v>0.40000000000000763</v>
      </c>
      <c r="I364">
        <f ca="1">INDEX(Aerodynamique!$Z$6:$Z$546,MATCH(G364,Aerodynamique!$Y$6:$Y$546,1))</f>
        <v>1.2781078181026457E-2</v>
      </c>
      <c r="J364">
        <f t="shared" ca="1" si="27"/>
        <v>3762.5428219476362</v>
      </c>
      <c r="K364" s="86">
        <f ca="1">INDEX(Aerodynamique!$AC$6:$AC$1006,MATCH(INDEX(Aerodynamique!$W$6:$W$546,MATCH(G364,Aerodynamique!$Y$6:$Y$546,1)),Aerodynamique!$AD$6:$AD$1006,-1))</f>
        <v>-3.6400000000000059</v>
      </c>
      <c r="L364">
        <f ca="1">Montée!$B$19*((E364-E363)/60)*J364/10</f>
        <v>12.030152874520384</v>
      </c>
      <c r="M364">
        <f t="shared" ca="1" si="29"/>
        <v>4666.9717821655149</v>
      </c>
    </row>
    <row r="365" spans="5:13">
      <c r="E365" s="210">
        <f t="shared" si="25"/>
        <v>360</v>
      </c>
      <c r="F365">
        <f t="shared" ca="1" si="28"/>
        <v>10026.215478731789</v>
      </c>
      <c r="G365">
        <f t="shared" ca="1" si="26"/>
        <v>0.33240216759913371</v>
      </c>
      <c r="H365">
        <f ca="1">INDEX(Aerodynamique!$T$6:$T$546,MATCH(G365,Aerodynamique!$Y$6:$Y$546,1))</f>
        <v>0.40000000000000763</v>
      </c>
      <c r="I365">
        <f ca="1">INDEX(Aerodynamique!$Z$6:$Z$546,MATCH(G365,Aerodynamique!$Y$6:$Y$546,1))</f>
        <v>1.2781078181026457E-2</v>
      </c>
      <c r="J365">
        <f t="shared" ca="1" si="27"/>
        <v>3762.5428219476362</v>
      </c>
      <c r="K365" s="86">
        <f ca="1">INDEX(Aerodynamique!$AC$6:$AC$1006,MATCH(INDEX(Aerodynamique!$W$6:$W$546,MATCH(G365,Aerodynamique!$Y$6:$Y$546,1)),Aerodynamique!$AD$6:$AD$1006,-1))</f>
        <v>-3.6400000000000059</v>
      </c>
      <c r="L365">
        <f ca="1">Montée!$B$19*((E365-E364)/60)*J365/10</f>
        <v>12.030152874520384</v>
      </c>
      <c r="M365">
        <f t="shared" ca="1" si="29"/>
        <v>4679.0019350400353</v>
      </c>
    </row>
    <row r="366" spans="5:13">
      <c r="E366" s="210">
        <f t="shared" si="25"/>
        <v>361</v>
      </c>
      <c r="F366">
        <f t="shared" ca="1" si="28"/>
        <v>10014.185325857268</v>
      </c>
      <c r="G366">
        <f t="shared" ca="1" si="26"/>
        <v>0.3320033282862821</v>
      </c>
      <c r="H366">
        <f ca="1">INDEX(Aerodynamique!$T$6:$T$546,MATCH(G366,Aerodynamique!$Y$6:$Y$546,1))</f>
        <v>0.40000000000000763</v>
      </c>
      <c r="I366">
        <f ca="1">INDEX(Aerodynamique!$Z$6:$Z$546,MATCH(G366,Aerodynamique!$Y$6:$Y$546,1))</f>
        <v>1.2781078181026457E-2</v>
      </c>
      <c r="J366">
        <f t="shared" ca="1" si="27"/>
        <v>3762.5428219476362</v>
      </c>
      <c r="K366" s="86">
        <f ca="1">INDEX(Aerodynamique!$AC$6:$AC$1006,MATCH(INDEX(Aerodynamique!$W$6:$W$546,MATCH(G366,Aerodynamique!$Y$6:$Y$546,1)),Aerodynamique!$AD$6:$AD$1006,-1))</f>
        <v>-3.6400000000000059</v>
      </c>
      <c r="L366">
        <f ca="1">Montée!$B$19*((E366-E365)/60)*J366/10</f>
        <v>12.030152874520384</v>
      </c>
      <c r="M366">
        <f t="shared" ca="1" si="29"/>
        <v>4691.0320879145556</v>
      </c>
    </row>
    <row r="367" spans="5:13">
      <c r="E367" s="210">
        <f t="shared" si="25"/>
        <v>362</v>
      </c>
      <c r="F367">
        <f t="shared" ca="1" si="28"/>
        <v>10002.155172982748</v>
      </c>
      <c r="G367">
        <f t="shared" ca="1" si="26"/>
        <v>0.33160448897343048</v>
      </c>
      <c r="H367">
        <f ca="1">INDEX(Aerodynamique!$T$6:$T$546,MATCH(G367,Aerodynamique!$Y$6:$Y$546,1))</f>
        <v>0.40000000000000763</v>
      </c>
      <c r="I367">
        <f ca="1">INDEX(Aerodynamique!$Z$6:$Z$546,MATCH(G367,Aerodynamique!$Y$6:$Y$546,1))</f>
        <v>1.2781078181026457E-2</v>
      </c>
      <c r="J367">
        <f t="shared" ca="1" si="27"/>
        <v>3762.5428219476362</v>
      </c>
      <c r="K367" s="86">
        <f ca="1">INDEX(Aerodynamique!$AC$6:$AC$1006,MATCH(INDEX(Aerodynamique!$W$6:$W$546,MATCH(G367,Aerodynamique!$Y$6:$Y$546,1)),Aerodynamique!$AD$6:$AD$1006,-1))</f>
        <v>-3.6400000000000059</v>
      </c>
      <c r="L367">
        <f ca="1">Montée!$B$19*((E367-E366)/60)*J367/10</f>
        <v>12.030152874520384</v>
      </c>
      <c r="M367">
        <f t="shared" ca="1" si="29"/>
        <v>4703.062240789076</v>
      </c>
    </row>
    <row r="368" spans="5:13">
      <c r="E368" s="210">
        <f t="shared" si="25"/>
        <v>363</v>
      </c>
      <c r="F368">
        <f t="shared" ca="1" si="28"/>
        <v>9990.1250201082275</v>
      </c>
      <c r="G368">
        <f t="shared" ca="1" si="26"/>
        <v>0.33120564966057892</v>
      </c>
      <c r="H368">
        <f ca="1">INDEX(Aerodynamique!$T$6:$T$546,MATCH(G368,Aerodynamique!$Y$6:$Y$546,1))</f>
        <v>0.40000000000000763</v>
      </c>
      <c r="I368">
        <f ca="1">INDEX(Aerodynamique!$Z$6:$Z$546,MATCH(G368,Aerodynamique!$Y$6:$Y$546,1))</f>
        <v>1.2781078181026457E-2</v>
      </c>
      <c r="J368">
        <f t="shared" ca="1" si="27"/>
        <v>3762.5428219476362</v>
      </c>
      <c r="K368" s="86">
        <f ca="1">INDEX(Aerodynamique!$AC$6:$AC$1006,MATCH(INDEX(Aerodynamique!$W$6:$W$546,MATCH(G368,Aerodynamique!$Y$6:$Y$546,1)),Aerodynamique!$AD$6:$AD$1006,-1))</f>
        <v>-3.6400000000000059</v>
      </c>
      <c r="L368">
        <f ca="1">Montée!$B$19*((E368-E367)/60)*J368/10</f>
        <v>12.030152874520384</v>
      </c>
      <c r="M368">
        <f t="shared" ca="1" si="29"/>
        <v>4715.0923936635963</v>
      </c>
    </row>
    <row r="369" spans="5:13">
      <c r="E369" s="210">
        <f t="shared" si="25"/>
        <v>364</v>
      </c>
      <c r="F369">
        <f t="shared" ca="1" si="28"/>
        <v>9978.0948672337072</v>
      </c>
      <c r="G369">
        <f t="shared" ca="1" si="26"/>
        <v>0.3308068103477273</v>
      </c>
      <c r="H369">
        <f ca="1">INDEX(Aerodynamique!$T$6:$T$546,MATCH(G369,Aerodynamique!$Y$6:$Y$546,1))</f>
        <v>0.35000000000000764</v>
      </c>
      <c r="I369">
        <f ca="1">INDEX(Aerodynamique!$Z$6:$Z$546,MATCH(G369,Aerodynamique!$Y$6:$Y$546,1))</f>
        <v>1.2724104019956016E-2</v>
      </c>
      <c r="J369">
        <f t="shared" ca="1" si="27"/>
        <v>3745.7705498641817</v>
      </c>
      <c r="K369" s="86">
        <f ca="1">INDEX(Aerodynamique!$AC$6:$AC$1006,MATCH(INDEX(Aerodynamique!$W$6:$W$546,MATCH(G369,Aerodynamique!$Y$6:$Y$546,1)),Aerodynamique!$AD$6:$AD$1006,-1))</f>
        <v>-3.6000000000000059</v>
      </c>
      <c r="L369">
        <f ca="1">Montée!$B$19*((E369-E368)/60)*J369/10</f>
        <v>11.976526110184301</v>
      </c>
      <c r="M369">
        <f t="shared" ca="1" si="29"/>
        <v>4727.0689197737811</v>
      </c>
    </row>
    <row r="370" spans="5:13">
      <c r="E370" s="210">
        <f t="shared" si="25"/>
        <v>365</v>
      </c>
      <c r="F370">
        <f t="shared" ca="1" si="28"/>
        <v>9966.1183411235234</v>
      </c>
      <c r="G370">
        <f t="shared" ca="1" si="26"/>
        <v>0.33040974893928482</v>
      </c>
      <c r="H370">
        <f ca="1">INDEX(Aerodynamique!$T$6:$T$546,MATCH(G370,Aerodynamique!$Y$6:$Y$546,1))</f>
        <v>0.35000000000000764</v>
      </c>
      <c r="I370">
        <f ca="1">INDEX(Aerodynamique!$Z$6:$Z$546,MATCH(G370,Aerodynamique!$Y$6:$Y$546,1))</f>
        <v>1.2724104019956016E-2</v>
      </c>
      <c r="J370">
        <f t="shared" ca="1" si="27"/>
        <v>3745.7705498641817</v>
      </c>
      <c r="K370" s="86">
        <f ca="1">INDEX(Aerodynamique!$AC$6:$AC$1006,MATCH(INDEX(Aerodynamique!$W$6:$W$546,MATCH(G370,Aerodynamique!$Y$6:$Y$546,1)),Aerodynamique!$AD$6:$AD$1006,-1))</f>
        <v>-3.6000000000000059</v>
      </c>
      <c r="L370">
        <f ca="1">Montée!$B$19*((E370-E369)/60)*J370/10</f>
        <v>11.976526110184301</v>
      </c>
      <c r="M370">
        <f t="shared" ca="1" si="29"/>
        <v>4739.0454458839658</v>
      </c>
    </row>
    <row r="371" spans="5:13">
      <c r="E371" s="210">
        <f t="shared" si="25"/>
        <v>366</v>
      </c>
      <c r="F371">
        <f t="shared" ca="1" si="28"/>
        <v>9954.1418150133395</v>
      </c>
      <c r="G371">
        <f t="shared" ca="1" si="26"/>
        <v>0.33001268753084234</v>
      </c>
      <c r="H371">
        <f ca="1">INDEX(Aerodynamique!$T$6:$T$546,MATCH(G371,Aerodynamique!$Y$6:$Y$546,1))</f>
        <v>0.35000000000000764</v>
      </c>
      <c r="I371">
        <f ca="1">INDEX(Aerodynamique!$Z$6:$Z$546,MATCH(G371,Aerodynamique!$Y$6:$Y$546,1))</f>
        <v>1.2724104019956016E-2</v>
      </c>
      <c r="J371">
        <f t="shared" ca="1" si="27"/>
        <v>3745.7705498641817</v>
      </c>
      <c r="K371" s="86">
        <f ca="1">INDEX(Aerodynamique!$AC$6:$AC$1006,MATCH(INDEX(Aerodynamique!$W$6:$W$546,MATCH(G371,Aerodynamique!$Y$6:$Y$546,1)),Aerodynamique!$AD$6:$AD$1006,-1))</f>
        <v>-3.6000000000000059</v>
      </c>
      <c r="L371">
        <f ca="1">Montée!$B$19*((E371-E370)/60)*J371/10</f>
        <v>11.976526110184301</v>
      </c>
      <c r="M371">
        <f t="shared" ca="1" si="29"/>
        <v>4751.0219719941506</v>
      </c>
    </row>
    <row r="372" spans="5:13">
      <c r="E372" s="210">
        <f t="shared" si="25"/>
        <v>367</v>
      </c>
      <c r="F372">
        <f t="shared" ca="1" si="28"/>
        <v>9942.1652889031557</v>
      </c>
      <c r="G372">
        <f t="shared" ca="1" si="26"/>
        <v>0.32961562612239992</v>
      </c>
      <c r="H372">
        <f ca="1">INDEX(Aerodynamique!$T$6:$T$546,MATCH(G372,Aerodynamique!$Y$6:$Y$546,1))</f>
        <v>0.35000000000000764</v>
      </c>
      <c r="I372">
        <f ca="1">INDEX(Aerodynamique!$Z$6:$Z$546,MATCH(G372,Aerodynamique!$Y$6:$Y$546,1))</f>
        <v>1.2724104019956016E-2</v>
      </c>
      <c r="J372">
        <f t="shared" ca="1" si="27"/>
        <v>3745.7705498641817</v>
      </c>
      <c r="K372" s="86">
        <f ca="1">INDEX(Aerodynamique!$AC$6:$AC$1006,MATCH(INDEX(Aerodynamique!$W$6:$W$546,MATCH(G372,Aerodynamique!$Y$6:$Y$546,1)),Aerodynamique!$AD$6:$AD$1006,-1))</f>
        <v>-3.6000000000000059</v>
      </c>
      <c r="L372">
        <f ca="1">Montée!$B$19*((E372-E371)/60)*J372/10</f>
        <v>11.976526110184301</v>
      </c>
      <c r="M372">
        <f t="shared" ca="1" si="29"/>
        <v>4762.9984981043353</v>
      </c>
    </row>
    <row r="373" spans="5:13">
      <c r="E373" s="210">
        <f t="shared" si="25"/>
        <v>368</v>
      </c>
      <c r="F373">
        <f t="shared" ca="1" si="28"/>
        <v>9930.1887627929718</v>
      </c>
      <c r="G373">
        <f t="shared" ca="1" si="26"/>
        <v>0.32921856471395744</v>
      </c>
      <c r="H373">
        <f ca="1">INDEX(Aerodynamique!$T$6:$T$546,MATCH(G373,Aerodynamique!$Y$6:$Y$546,1))</f>
        <v>0.35000000000000764</v>
      </c>
      <c r="I373">
        <f ca="1">INDEX(Aerodynamique!$Z$6:$Z$546,MATCH(G373,Aerodynamique!$Y$6:$Y$546,1))</f>
        <v>1.2724104019956016E-2</v>
      </c>
      <c r="J373">
        <f t="shared" ca="1" si="27"/>
        <v>3745.7705498641817</v>
      </c>
      <c r="K373" s="86">
        <f ca="1">INDEX(Aerodynamique!$AC$6:$AC$1006,MATCH(INDEX(Aerodynamique!$W$6:$W$546,MATCH(G373,Aerodynamique!$Y$6:$Y$546,1)),Aerodynamique!$AD$6:$AD$1006,-1))</f>
        <v>-3.6000000000000059</v>
      </c>
      <c r="L373">
        <f ca="1">Montée!$B$19*((E373-E372)/60)*J373/10</f>
        <v>11.976526110184301</v>
      </c>
      <c r="M373">
        <f t="shared" ca="1" si="29"/>
        <v>4774.9750242145201</v>
      </c>
    </row>
    <row r="374" spans="5:13">
      <c r="E374" s="210">
        <f t="shared" si="25"/>
        <v>369</v>
      </c>
      <c r="F374">
        <f t="shared" ca="1" si="28"/>
        <v>9918.212236682788</v>
      </c>
      <c r="G374">
        <f t="shared" ca="1" si="26"/>
        <v>0.32882150330551502</v>
      </c>
      <c r="H374">
        <f ca="1">INDEX(Aerodynamique!$T$6:$T$546,MATCH(G374,Aerodynamique!$Y$6:$Y$546,1))</f>
        <v>0.35000000000000764</v>
      </c>
      <c r="I374">
        <f ca="1">INDEX(Aerodynamique!$Z$6:$Z$546,MATCH(G374,Aerodynamique!$Y$6:$Y$546,1))</f>
        <v>1.2724104019956016E-2</v>
      </c>
      <c r="J374">
        <f t="shared" ca="1" si="27"/>
        <v>3745.7705498641817</v>
      </c>
      <c r="K374" s="86">
        <f ca="1">INDEX(Aerodynamique!$AC$6:$AC$1006,MATCH(INDEX(Aerodynamique!$W$6:$W$546,MATCH(G374,Aerodynamique!$Y$6:$Y$546,1)),Aerodynamique!$AD$6:$AD$1006,-1))</f>
        <v>-3.6000000000000059</v>
      </c>
      <c r="L374">
        <f ca="1">Montée!$B$19*((E374-E373)/60)*J374/10</f>
        <v>11.976526110184301</v>
      </c>
      <c r="M374">
        <f t="shared" ca="1" si="29"/>
        <v>4786.9515503247048</v>
      </c>
    </row>
    <row r="375" spans="5:13">
      <c r="E375" s="210">
        <f t="shared" si="25"/>
        <v>370</v>
      </c>
      <c r="F375">
        <f t="shared" ca="1" si="28"/>
        <v>9906.2357105726041</v>
      </c>
      <c r="G375">
        <f t="shared" ca="1" si="26"/>
        <v>0.32842444189707259</v>
      </c>
      <c r="H375">
        <f ca="1">INDEX(Aerodynamique!$T$6:$T$546,MATCH(G375,Aerodynamique!$Y$6:$Y$546,1))</f>
        <v>0.35000000000000764</v>
      </c>
      <c r="I375">
        <f ca="1">INDEX(Aerodynamique!$Z$6:$Z$546,MATCH(G375,Aerodynamique!$Y$6:$Y$546,1))</f>
        <v>1.2724104019956016E-2</v>
      </c>
      <c r="J375">
        <f t="shared" ca="1" si="27"/>
        <v>3745.7705498641817</v>
      </c>
      <c r="K375" s="86">
        <f ca="1">INDEX(Aerodynamique!$AC$6:$AC$1006,MATCH(INDEX(Aerodynamique!$W$6:$W$546,MATCH(G375,Aerodynamique!$Y$6:$Y$546,1)),Aerodynamique!$AD$6:$AD$1006,-1))</f>
        <v>-3.6000000000000059</v>
      </c>
      <c r="L375">
        <f ca="1">Montée!$B$19*((E375-E374)/60)*J375/10</f>
        <v>11.976526110184301</v>
      </c>
      <c r="M375">
        <f t="shared" ca="1" si="29"/>
        <v>4798.9280764348896</v>
      </c>
    </row>
    <row r="376" spans="5:13">
      <c r="E376" s="210">
        <f t="shared" si="25"/>
        <v>371</v>
      </c>
      <c r="F376">
        <f t="shared" ca="1" si="28"/>
        <v>9894.2591844624203</v>
      </c>
      <c r="G376">
        <f t="shared" ca="1" si="26"/>
        <v>0.32802738048863012</v>
      </c>
      <c r="H376">
        <f ca="1">INDEX(Aerodynamique!$T$6:$T$546,MATCH(G376,Aerodynamique!$Y$6:$Y$546,1))</f>
        <v>0.35000000000000764</v>
      </c>
      <c r="I376">
        <f ca="1">INDEX(Aerodynamique!$Z$6:$Z$546,MATCH(G376,Aerodynamique!$Y$6:$Y$546,1))</f>
        <v>1.2724104019956016E-2</v>
      </c>
      <c r="J376">
        <f t="shared" ca="1" si="27"/>
        <v>3745.7705498641817</v>
      </c>
      <c r="K376" s="86">
        <f ca="1">INDEX(Aerodynamique!$AC$6:$AC$1006,MATCH(INDEX(Aerodynamique!$W$6:$W$546,MATCH(G376,Aerodynamique!$Y$6:$Y$546,1)),Aerodynamique!$AD$6:$AD$1006,-1))</f>
        <v>-3.6000000000000059</v>
      </c>
      <c r="L376">
        <f ca="1">Montée!$B$19*((E376-E375)/60)*J376/10</f>
        <v>11.976526110184301</v>
      </c>
      <c r="M376">
        <f t="shared" ca="1" si="29"/>
        <v>4810.9046025450743</v>
      </c>
    </row>
    <row r="377" spans="5:13">
      <c r="E377" s="210">
        <f t="shared" si="25"/>
        <v>372</v>
      </c>
      <c r="F377">
        <f t="shared" ca="1" si="28"/>
        <v>9882.2826583522365</v>
      </c>
      <c r="G377">
        <f t="shared" ca="1" si="26"/>
        <v>0.32763031908018769</v>
      </c>
      <c r="H377">
        <f ca="1">INDEX(Aerodynamique!$T$6:$T$546,MATCH(G377,Aerodynamique!$Y$6:$Y$546,1))</f>
        <v>0.35000000000000764</v>
      </c>
      <c r="I377">
        <f ca="1">INDEX(Aerodynamique!$Z$6:$Z$546,MATCH(G377,Aerodynamique!$Y$6:$Y$546,1))</f>
        <v>1.2724104019956016E-2</v>
      </c>
      <c r="J377">
        <f t="shared" ca="1" si="27"/>
        <v>3745.7705498641817</v>
      </c>
      <c r="K377" s="86">
        <f ca="1">INDEX(Aerodynamique!$AC$6:$AC$1006,MATCH(INDEX(Aerodynamique!$W$6:$W$546,MATCH(G377,Aerodynamique!$Y$6:$Y$546,1)),Aerodynamique!$AD$6:$AD$1006,-1))</f>
        <v>-3.6000000000000059</v>
      </c>
      <c r="L377">
        <f ca="1">Montée!$B$19*((E377-E376)/60)*J377/10</f>
        <v>11.976526110184301</v>
      </c>
      <c r="M377">
        <f t="shared" ca="1" si="29"/>
        <v>4822.8811286552591</v>
      </c>
    </row>
    <row r="378" spans="5:13">
      <c r="E378" s="210">
        <f t="shared" si="25"/>
        <v>373</v>
      </c>
      <c r="F378">
        <f t="shared" ca="1" si="28"/>
        <v>9870.3061322420526</v>
      </c>
      <c r="G378">
        <f t="shared" ca="1" si="26"/>
        <v>0.32723325767174521</v>
      </c>
      <c r="H378">
        <f ca="1">INDEX(Aerodynamique!$T$6:$T$546,MATCH(G378,Aerodynamique!$Y$6:$Y$546,1))</f>
        <v>0.35000000000000764</v>
      </c>
      <c r="I378">
        <f ca="1">INDEX(Aerodynamique!$Z$6:$Z$546,MATCH(G378,Aerodynamique!$Y$6:$Y$546,1))</f>
        <v>1.2724104019956016E-2</v>
      </c>
      <c r="J378">
        <f t="shared" ca="1" si="27"/>
        <v>3745.7705498641817</v>
      </c>
      <c r="K378" s="86">
        <f ca="1">INDEX(Aerodynamique!$AC$6:$AC$1006,MATCH(INDEX(Aerodynamique!$W$6:$W$546,MATCH(G378,Aerodynamique!$Y$6:$Y$546,1)),Aerodynamique!$AD$6:$AD$1006,-1))</f>
        <v>-3.6000000000000059</v>
      </c>
      <c r="L378">
        <f ca="1">Montée!$B$19*((E378-E377)/60)*J378/10</f>
        <v>11.976526110184301</v>
      </c>
      <c r="M378">
        <f t="shared" ca="1" si="29"/>
        <v>4834.8576547654438</v>
      </c>
    </row>
    <row r="379" spans="5:13">
      <c r="E379" s="210">
        <f t="shared" si="25"/>
        <v>374</v>
      </c>
      <c r="F379">
        <f t="shared" ca="1" si="28"/>
        <v>9858.3296061318688</v>
      </c>
      <c r="G379">
        <f t="shared" ca="1" si="26"/>
        <v>0.32683619626330279</v>
      </c>
      <c r="H379">
        <f ca="1">INDEX(Aerodynamique!$T$6:$T$546,MATCH(G379,Aerodynamique!$Y$6:$Y$546,1))</f>
        <v>0.35000000000000764</v>
      </c>
      <c r="I379">
        <f ca="1">INDEX(Aerodynamique!$Z$6:$Z$546,MATCH(G379,Aerodynamique!$Y$6:$Y$546,1))</f>
        <v>1.2724104019956016E-2</v>
      </c>
      <c r="J379">
        <f t="shared" ca="1" si="27"/>
        <v>3745.7705498641817</v>
      </c>
      <c r="K379" s="86">
        <f ca="1">INDEX(Aerodynamique!$AC$6:$AC$1006,MATCH(INDEX(Aerodynamique!$W$6:$W$546,MATCH(G379,Aerodynamique!$Y$6:$Y$546,1)),Aerodynamique!$AD$6:$AD$1006,-1))</f>
        <v>-3.6000000000000059</v>
      </c>
      <c r="L379">
        <f ca="1">Montée!$B$19*((E379-E378)/60)*J379/10</f>
        <v>11.976526110184301</v>
      </c>
      <c r="M379">
        <f t="shared" ca="1" si="29"/>
        <v>4846.8341808756286</v>
      </c>
    </row>
    <row r="380" spans="5:13">
      <c r="E380" s="210">
        <f t="shared" si="25"/>
        <v>375</v>
      </c>
      <c r="F380">
        <f t="shared" ca="1" si="28"/>
        <v>9846.3530800216849</v>
      </c>
      <c r="G380">
        <f t="shared" ca="1" si="26"/>
        <v>0.32643913485486037</v>
      </c>
      <c r="H380">
        <f ca="1">INDEX(Aerodynamique!$T$6:$T$546,MATCH(G380,Aerodynamique!$Y$6:$Y$546,1))</f>
        <v>0.35000000000000764</v>
      </c>
      <c r="I380">
        <f ca="1">INDEX(Aerodynamique!$Z$6:$Z$546,MATCH(G380,Aerodynamique!$Y$6:$Y$546,1))</f>
        <v>1.2724104019956016E-2</v>
      </c>
      <c r="J380">
        <f t="shared" ca="1" si="27"/>
        <v>3745.7705498641817</v>
      </c>
      <c r="K380" s="86">
        <f ca="1">INDEX(Aerodynamique!$AC$6:$AC$1006,MATCH(INDEX(Aerodynamique!$W$6:$W$546,MATCH(G380,Aerodynamique!$Y$6:$Y$546,1)),Aerodynamique!$AD$6:$AD$1006,-1))</f>
        <v>-3.6000000000000059</v>
      </c>
      <c r="L380">
        <f ca="1">Montée!$B$19*((E380-E379)/60)*J380/10</f>
        <v>11.976526110184301</v>
      </c>
      <c r="M380">
        <f t="shared" ca="1" si="29"/>
        <v>4858.8107069858133</v>
      </c>
    </row>
    <row r="381" spans="5:13">
      <c r="E381" s="210">
        <f t="shared" si="25"/>
        <v>376</v>
      </c>
      <c r="F381">
        <f t="shared" ca="1" si="28"/>
        <v>9834.3765539115011</v>
      </c>
      <c r="G381">
        <f t="shared" ca="1" si="26"/>
        <v>0.32604207344641789</v>
      </c>
      <c r="H381">
        <f ca="1">INDEX(Aerodynamique!$T$6:$T$546,MATCH(G381,Aerodynamique!$Y$6:$Y$546,1))</f>
        <v>0.35000000000000764</v>
      </c>
      <c r="I381">
        <f ca="1">INDEX(Aerodynamique!$Z$6:$Z$546,MATCH(G381,Aerodynamique!$Y$6:$Y$546,1))</f>
        <v>1.2724104019956016E-2</v>
      </c>
      <c r="J381">
        <f t="shared" ca="1" si="27"/>
        <v>3745.7705498641817</v>
      </c>
      <c r="K381" s="86">
        <f ca="1">INDEX(Aerodynamique!$AC$6:$AC$1006,MATCH(INDEX(Aerodynamique!$W$6:$W$546,MATCH(G381,Aerodynamique!$Y$6:$Y$546,1)),Aerodynamique!$AD$6:$AD$1006,-1))</f>
        <v>-3.6000000000000059</v>
      </c>
      <c r="L381">
        <f ca="1">Montée!$B$19*((E381-E380)/60)*J381/10</f>
        <v>11.976526110184301</v>
      </c>
      <c r="M381">
        <f t="shared" ca="1" si="29"/>
        <v>4870.7872330959981</v>
      </c>
    </row>
    <row r="382" spans="5:13">
      <c r="E382" s="210">
        <f t="shared" si="25"/>
        <v>377</v>
      </c>
      <c r="F382">
        <f t="shared" ca="1" si="28"/>
        <v>9822.4000278013173</v>
      </c>
      <c r="G382">
        <f t="shared" ca="1" si="26"/>
        <v>0.32564501203797541</v>
      </c>
      <c r="H382">
        <f ca="1">INDEX(Aerodynamique!$T$6:$T$546,MATCH(G382,Aerodynamique!$Y$6:$Y$546,1))</f>
        <v>0.30000000000000765</v>
      </c>
      <c r="I382">
        <f ca="1">INDEX(Aerodynamique!$Z$6:$Z$546,MATCH(G382,Aerodynamique!$Y$6:$Y$546,1))</f>
        <v>1.2668197668897733E-2</v>
      </c>
      <c r="J382">
        <f t="shared" ca="1" si="27"/>
        <v>3729.3126237881256</v>
      </c>
      <c r="K382" s="86">
        <f ca="1">INDEX(Aerodynamique!$AC$6:$AC$1006,MATCH(INDEX(Aerodynamique!$W$6:$W$546,MATCH(G382,Aerodynamique!$Y$6:$Y$546,1)),Aerodynamique!$AD$6:$AD$1006,-1))</f>
        <v>-3.5600000000000058</v>
      </c>
      <c r="L382">
        <f ca="1">Montée!$B$19*((E382-E381)/60)*J382/10</f>
        <v>11.923904418934015</v>
      </c>
      <c r="M382">
        <f t="shared" ca="1" si="29"/>
        <v>4882.7111375149325</v>
      </c>
    </row>
    <row r="383" spans="5:13">
      <c r="E383" s="210">
        <f t="shared" si="25"/>
        <v>378</v>
      </c>
      <c r="F383">
        <f t="shared" ca="1" si="28"/>
        <v>9810.4761233823829</v>
      </c>
      <c r="G383">
        <f t="shared" ca="1" si="26"/>
        <v>0.32524969521244873</v>
      </c>
      <c r="H383">
        <f ca="1">INDEX(Aerodynamique!$T$6:$T$546,MATCH(G383,Aerodynamique!$Y$6:$Y$546,1))</f>
        <v>0.30000000000000765</v>
      </c>
      <c r="I383">
        <f ca="1">INDEX(Aerodynamique!$Z$6:$Z$546,MATCH(G383,Aerodynamique!$Y$6:$Y$546,1))</f>
        <v>1.2668197668897733E-2</v>
      </c>
      <c r="J383">
        <f t="shared" ca="1" si="27"/>
        <v>3729.3126237881256</v>
      </c>
      <c r="K383" s="86">
        <f ca="1">INDEX(Aerodynamique!$AC$6:$AC$1006,MATCH(INDEX(Aerodynamique!$W$6:$W$546,MATCH(G383,Aerodynamique!$Y$6:$Y$546,1)),Aerodynamique!$AD$6:$AD$1006,-1))</f>
        <v>-3.5600000000000058</v>
      </c>
      <c r="L383">
        <f ca="1">Montée!$B$19*((E383-E382)/60)*J383/10</f>
        <v>11.923904418934015</v>
      </c>
      <c r="M383">
        <f t="shared" ca="1" si="29"/>
        <v>4894.6350419338669</v>
      </c>
    </row>
    <row r="384" spans="5:13">
      <c r="E384" s="210">
        <f t="shared" si="25"/>
        <v>379</v>
      </c>
      <c r="F384">
        <f t="shared" ca="1" si="28"/>
        <v>9798.5522189634485</v>
      </c>
      <c r="G384">
        <f t="shared" ca="1" si="26"/>
        <v>0.3248543783869221</v>
      </c>
      <c r="H384">
        <f ca="1">INDEX(Aerodynamique!$T$6:$T$546,MATCH(G384,Aerodynamique!$Y$6:$Y$546,1))</f>
        <v>0.30000000000000765</v>
      </c>
      <c r="I384">
        <f ca="1">INDEX(Aerodynamique!$Z$6:$Z$546,MATCH(G384,Aerodynamique!$Y$6:$Y$546,1))</f>
        <v>1.2668197668897733E-2</v>
      </c>
      <c r="J384">
        <f t="shared" ca="1" si="27"/>
        <v>3729.3126237881256</v>
      </c>
      <c r="K384" s="86">
        <f ca="1">INDEX(Aerodynamique!$AC$6:$AC$1006,MATCH(INDEX(Aerodynamique!$W$6:$W$546,MATCH(G384,Aerodynamique!$Y$6:$Y$546,1)),Aerodynamique!$AD$6:$AD$1006,-1))</f>
        <v>-3.5600000000000058</v>
      </c>
      <c r="L384">
        <f ca="1">Montée!$B$19*((E384-E383)/60)*J384/10</f>
        <v>11.923904418934015</v>
      </c>
      <c r="M384">
        <f t="shared" ca="1" si="29"/>
        <v>4906.5589463528013</v>
      </c>
    </row>
    <row r="385" spans="5:13">
      <c r="E385" s="210">
        <f t="shared" si="25"/>
        <v>380</v>
      </c>
      <c r="F385">
        <f t="shared" ca="1" si="28"/>
        <v>9786.6283145445141</v>
      </c>
      <c r="G385">
        <f t="shared" ca="1" si="26"/>
        <v>0.32445906156139537</v>
      </c>
      <c r="H385">
        <f ca="1">INDEX(Aerodynamique!$T$6:$T$546,MATCH(G385,Aerodynamique!$Y$6:$Y$546,1))</f>
        <v>0.30000000000000765</v>
      </c>
      <c r="I385">
        <f ca="1">INDEX(Aerodynamique!$Z$6:$Z$546,MATCH(G385,Aerodynamique!$Y$6:$Y$546,1))</f>
        <v>1.2668197668897733E-2</v>
      </c>
      <c r="J385">
        <f t="shared" ca="1" si="27"/>
        <v>3729.3126237881256</v>
      </c>
      <c r="K385" s="86">
        <f ca="1">INDEX(Aerodynamique!$AC$6:$AC$1006,MATCH(INDEX(Aerodynamique!$W$6:$W$546,MATCH(G385,Aerodynamique!$Y$6:$Y$546,1)),Aerodynamique!$AD$6:$AD$1006,-1))</f>
        <v>-3.5600000000000058</v>
      </c>
      <c r="L385">
        <f ca="1">Montée!$B$19*((E385-E384)/60)*J385/10</f>
        <v>11.923904418934015</v>
      </c>
      <c r="M385">
        <f t="shared" ca="1" si="29"/>
        <v>4918.4828507717357</v>
      </c>
    </row>
    <row r="386" spans="5:13">
      <c r="E386" s="210">
        <f t="shared" si="25"/>
        <v>381</v>
      </c>
      <c r="F386">
        <f t="shared" ca="1" si="28"/>
        <v>9774.7044101255797</v>
      </c>
      <c r="G386">
        <f t="shared" ca="1" si="26"/>
        <v>0.32406374473586874</v>
      </c>
      <c r="H386">
        <f ca="1">INDEX(Aerodynamique!$T$6:$T$546,MATCH(G386,Aerodynamique!$Y$6:$Y$546,1))</f>
        <v>0.30000000000000765</v>
      </c>
      <c r="I386">
        <f ca="1">INDEX(Aerodynamique!$Z$6:$Z$546,MATCH(G386,Aerodynamique!$Y$6:$Y$546,1))</f>
        <v>1.2668197668897733E-2</v>
      </c>
      <c r="J386">
        <f t="shared" ca="1" si="27"/>
        <v>3729.3126237881256</v>
      </c>
      <c r="K386" s="86">
        <f ca="1">INDEX(Aerodynamique!$AC$6:$AC$1006,MATCH(INDEX(Aerodynamique!$W$6:$W$546,MATCH(G386,Aerodynamique!$Y$6:$Y$546,1)),Aerodynamique!$AD$6:$AD$1006,-1))</f>
        <v>-3.5600000000000058</v>
      </c>
      <c r="L386">
        <f ca="1">Montée!$B$19*((E386-E385)/60)*J386/10</f>
        <v>11.923904418934015</v>
      </c>
      <c r="M386">
        <f t="shared" ca="1" si="29"/>
        <v>4930.4067551906701</v>
      </c>
    </row>
    <row r="387" spans="5:13">
      <c r="E387" s="210">
        <f t="shared" si="25"/>
        <v>382</v>
      </c>
      <c r="F387">
        <f t="shared" ca="1" si="28"/>
        <v>9762.7805057066453</v>
      </c>
      <c r="G387">
        <f t="shared" ca="1" si="26"/>
        <v>0.323668427910342</v>
      </c>
      <c r="H387">
        <f ca="1">INDEX(Aerodynamique!$T$6:$T$546,MATCH(G387,Aerodynamique!$Y$6:$Y$546,1))</f>
        <v>0.30000000000000765</v>
      </c>
      <c r="I387">
        <f ca="1">INDEX(Aerodynamique!$Z$6:$Z$546,MATCH(G387,Aerodynamique!$Y$6:$Y$546,1))</f>
        <v>1.2668197668897733E-2</v>
      </c>
      <c r="J387">
        <f t="shared" ca="1" si="27"/>
        <v>3729.3126237881256</v>
      </c>
      <c r="K387" s="86">
        <f ca="1">INDEX(Aerodynamique!$AC$6:$AC$1006,MATCH(INDEX(Aerodynamique!$W$6:$W$546,MATCH(G387,Aerodynamique!$Y$6:$Y$546,1)),Aerodynamique!$AD$6:$AD$1006,-1))</f>
        <v>-3.5600000000000058</v>
      </c>
      <c r="L387">
        <f ca="1">Montée!$B$19*((E387-E386)/60)*J387/10</f>
        <v>11.923904418934015</v>
      </c>
      <c r="M387">
        <f t="shared" ca="1" si="29"/>
        <v>4942.3306596096045</v>
      </c>
    </row>
    <row r="388" spans="5:13">
      <c r="E388" s="210">
        <f t="shared" si="25"/>
        <v>383</v>
      </c>
      <c r="F388">
        <f t="shared" ca="1" si="28"/>
        <v>9750.8566012877109</v>
      </c>
      <c r="G388">
        <f t="shared" ca="1" si="26"/>
        <v>0.32327311108481538</v>
      </c>
      <c r="H388">
        <f ca="1">INDEX(Aerodynamique!$T$6:$T$546,MATCH(G388,Aerodynamique!$Y$6:$Y$546,1))</f>
        <v>0.30000000000000765</v>
      </c>
      <c r="I388">
        <f ca="1">INDEX(Aerodynamique!$Z$6:$Z$546,MATCH(G388,Aerodynamique!$Y$6:$Y$546,1))</f>
        <v>1.2668197668897733E-2</v>
      </c>
      <c r="J388">
        <f t="shared" ca="1" si="27"/>
        <v>3729.3126237881256</v>
      </c>
      <c r="K388" s="86">
        <f ca="1">INDEX(Aerodynamique!$AC$6:$AC$1006,MATCH(INDEX(Aerodynamique!$W$6:$W$546,MATCH(G388,Aerodynamique!$Y$6:$Y$546,1)),Aerodynamique!$AD$6:$AD$1006,-1))</f>
        <v>-3.5600000000000058</v>
      </c>
      <c r="L388">
        <f ca="1">Montée!$B$19*((E388-E387)/60)*J388/10</f>
        <v>11.923904418934015</v>
      </c>
      <c r="M388">
        <f t="shared" ca="1" si="29"/>
        <v>4954.2545640285389</v>
      </c>
    </row>
    <row r="389" spans="5:13">
      <c r="E389" s="210">
        <f t="shared" si="25"/>
        <v>384</v>
      </c>
      <c r="F389">
        <f t="shared" ca="1" si="28"/>
        <v>9738.9326968687765</v>
      </c>
      <c r="G389">
        <f t="shared" ca="1" si="26"/>
        <v>0.32287779425928864</v>
      </c>
      <c r="H389">
        <f ca="1">INDEX(Aerodynamique!$T$6:$T$546,MATCH(G389,Aerodynamique!$Y$6:$Y$546,1))</f>
        <v>0.30000000000000765</v>
      </c>
      <c r="I389">
        <f ca="1">INDEX(Aerodynamique!$Z$6:$Z$546,MATCH(G389,Aerodynamique!$Y$6:$Y$546,1))</f>
        <v>1.2668197668897733E-2</v>
      </c>
      <c r="J389">
        <f t="shared" ca="1" si="27"/>
        <v>3729.3126237881256</v>
      </c>
      <c r="K389" s="86">
        <f ca="1">INDEX(Aerodynamique!$AC$6:$AC$1006,MATCH(INDEX(Aerodynamique!$W$6:$W$546,MATCH(G389,Aerodynamique!$Y$6:$Y$546,1)),Aerodynamique!$AD$6:$AD$1006,-1))</f>
        <v>-3.5600000000000058</v>
      </c>
      <c r="L389">
        <f ca="1">Montée!$B$19*((E389-E388)/60)*J389/10</f>
        <v>11.923904418934015</v>
      </c>
      <c r="M389">
        <f t="shared" ca="1" si="29"/>
        <v>4966.1784684474733</v>
      </c>
    </row>
    <row r="390" spans="5:13">
      <c r="E390" s="210">
        <f t="shared" ref="E390:E453" si="30">E389+$E$3</f>
        <v>385</v>
      </c>
      <c r="F390">
        <f t="shared" ca="1" si="28"/>
        <v>9727.0087924498421</v>
      </c>
      <c r="G390">
        <f t="shared" ref="G390:G453" ca="1" si="31">2*F390*g/(rho*V^2*SRef)</f>
        <v>0.32248247743376202</v>
      </c>
      <c r="H390">
        <f ca="1">INDEX(Aerodynamique!$T$6:$T$546,MATCH(G390,Aerodynamique!$Y$6:$Y$546,1))</f>
        <v>0.30000000000000765</v>
      </c>
      <c r="I390">
        <f ca="1">INDEX(Aerodynamique!$Z$6:$Z$546,MATCH(G390,Aerodynamique!$Y$6:$Y$546,1))</f>
        <v>1.2668197668897733E-2</v>
      </c>
      <c r="J390">
        <f t="shared" ref="J390:J453" ca="1" si="32">(1/2)*rho*V^2*SRef*I390</f>
        <v>3729.3126237881256</v>
      </c>
      <c r="K390" s="86">
        <f ca="1">INDEX(Aerodynamique!$AC$6:$AC$1006,MATCH(INDEX(Aerodynamique!$W$6:$W$546,MATCH(G390,Aerodynamique!$Y$6:$Y$546,1)),Aerodynamique!$AD$6:$AD$1006,-1))</f>
        <v>-3.5600000000000058</v>
      </c>
      <c r="L390">
        <f ca="1">Montée!$B$19*((E390-E389)/60)*J390/10</f>
        <v>11.923904418934015</v>
      </c>
      <c r="M390">
        <f t="shared" ca="1" si="29"/>
        <v>4978.1023728664077</v>
      </c>
    </row>
    <row r="391" spans="5:13">
      <c r="E391" s="210">
        <f t="shared" si="30"/>
        <v>386</v>
      </c>
      <c r="F391">
        <f t="shared" ref="F391:F454" ca="1" si="33">F390-L390</f>
        <v>9715.0848880309077</v>
      </c>
      <c r="G391">
        <f t="shared" ca="1" si="31"/>
        <v>0.32208716060823533</v>
      </c>
      <c r="H391">
        <f ca="1">INDEX(Aerodynamique!$T$6:$T$546,MATCH(G391,Aerodynamique!$Y$6:$Y$546,1))</f>
        <v>0.30000000000000765</v>
      </c>
      <c r="I391">
        <f ca="1">INDEX(Aerodynamique!$Z$6:$Z$546,MATCH(G391,Aerodynamique!$Y$6:$Y$546,1))</f>
        <v>1.2668197668897733E-2</v>
      </c>
      <c r="J391">
        <f t="shared" ca="1" si="32"/>
        <v>3729.3126237881256</v>
      </c>
      <c r="K391" s="86">
        <f ca="1">INDEX(Aerodynamique!$AC$6:$AC$1006,MATCH(INDEX(Aerodynamique!$W$6:$W$546,MATCH(G391,Aerodynamique!$Y$6:$Y$546,1)),Aerodynamique!$AD$6:$AD$1006,-1))</f>
        <v>-3.5600000000000058</v>
      </c>
      <c r="L391">
        <f ca="1">Montée!$B$19*((E391-E390)/60)*J391/10</f>
        <v>11.923904418934015</v>
      </c>
      <c r="M391">
        <f t="shared" ca="1" si="29"/>
        <v>4990.0262772853421</v>
      </c>
    </row>
    <row r="392" spans="5:13">
      <c r="E392" s="210">
        <f t="shared" si="30"/>
        <v>387</v>
      </c>
      <c r="F392">
        <f t="shared" ca="1" si="33"/>
        <v>9703.1609836119733</v>
      </c>
      <c r="G392">
        <f t="shared" ca="1" si="31"/>
        <v>0.32169184378270865</v>
      </c>
      <c r="H392">
        <f ca="1">INDEX(Aerodynamique!$T$6:$T$546,MATCH(G392,Aerodynamique!$Y$6:$Y$546,1))</f>
        <v>0.30000000000000765</v>
      </c>
      <c r="I392">
        <f ca="1">INDEX(Aerodynamique!$Z$6:$Z$546,MATCH(G392,Aerodynamique!$Y$6:$Y$546,1))</f>
        <v>1.2668197668897733E-2</v>
      </c>
      <c r="J392">
        <f t="shared" ca="1" si="32"/>
        <v>3729.3126237881256</v>
      </c>
      <c r="K392" s="86">
        <f ca="1">INDEX(Aerodynamique!$AC$6:$AC$1006,MATCH(INDEX(Aerodynamique!$W$6:$W$546,MATCH(G392,Aerodynamique!$Y$6:$Y$546,1)),Aerodynamique!$AD$6:$AD$1006,-1))</f>
        <v>-3.5600000000000058</v>
      </c>
      <c r="L392">
        <f ca="1">Montée!$B$19*((E392-E391)/60)*J392/10</f>
        <v>11.923904418934015</v>
      </c>
      <c r="M392">
        <f t="shared" ref="M392:M455" ca="1" si="34">M391+L392</f>
        <v>5001.9501817042765</v>
      </c>
    </row>
    <row r="393" spans="5:13">
      <c r="E393" s="210">
        <f t="shared" si="30"/>
        <v>388</v>
      </c>
      <c r="F393">
        <f t="shared" ca="1" si="33"/>
        <v>9691.2370791930389</v>
      </c>
      <c r="G393">
        <f t="shared" ca="1" si="31"/>
        <v>0.32129652695718197</v>
      </c>
      <c r="H393">
        <f ca="1">INDEX(Aerodynamique!$T$6:$T$546,MATCH(G393,Aerodynamique!$Y$6:$Y$546,1))</f>
        <v>0.30000000000000765</v>
      </c>
      <c r="I393">
        <f ca="1">INDEX(Aerodynamique!$Z$6:$Z$546,MATCH(G393,Aerodynamique!$Y$6:$Y$546,1))</f>
        <v>1.2668197668897733E-2</v>
      </c>
      <c r="J393">
        <f t="shared" ca="1" si="32"/>
        <v>3729.3126237881256</v>
      </c>
      <c r="K393" s="86">
        <f ca="1">INDEX(Aerodynamique!$AC$6:$AC$1006,MATCH(INDEX(Aerodynamique!$W$6:$W$546,MATCH(G393,Aerodynamique!$Y$6:$Y$546,1)),Aerodynamique!$AD$6:$AD$1006,-1))</f>
        <v>-3.5600000000000058</v>
      </c>
      <c r="L393">
        <f ca="1">Montée!$B$19*((E393-E392)/60)*J393/10</f>
        <v>11.923904418934015</v>
      </c>
      <c r="M393">
        <f t="shared" ca="1" si="34"/>
        <v>5013.8740861232109</v>
      </c>
    </row>
    <row r="394" spans="5:13">
      <c r="E394" s="210">
        <f t="shared" si="30"/>
        <v>389</v>
      </c>
      <c r="F394">
        <f t="shared" ca="1" si="33"/>
        <v>9679.3131747741045</v>
      </c>
      <c r="G394">
        <f t="shared" ca="1" si="31"/>
        <v>0.32090121013165529</v>
      </c>
      <c r="H394">
        <f ca="1">INDEX(Aerodynamique!$T$6:$T$546,MATCH(G394,Aerodynamique!$Y$6:$Y$546,1))</f>
        <v>0.25000000000000766</v>
      </c>
      <c r="I394">
        <f ca="1">INDEX(Aerodynamique!$Z$6:$Z$546,MATCH(G394,Aerodynamique!$Y$6:$Y$546,1))</f>
        <v>1.2613359127851607E-2</v>
      </c>
      <c r="J394">
        <f t="shared" ca="1" si="32"/>
        <v>3713.1690437194675</v>
      </c>
      <c r="K394" s="86">
        <f ca="1">INDEX(Aerodynamique!$AC$6:$AC$1006,MATCH(INDEX(Aerodynamique!$W$6:$W$546,MATCH(G394,Aerodynamique!$Y$6:$Y$546,1)),Aerodynamique!$AD$6:$AD$1006,-1))</f>
        <v>-3.5200000000000058</v>
      </c>
      <c r="L394">
        <f ca="1">Montée!$B$19*((E394-E393)/60)*J394/10</f>
        <v>11.872287800769524</v>
      </c>
      <c r="M394">
        <f t="shared" ca="1" si="34"/>
        <v>5025.7463739239802</v>
      </c>
    </row>
    <row r="395" spans="5:13">
      <c r="E395" s="210">
        <f t="shared" si="30"/>
        <v>390</v>
      </c>
      <c r="F395">
        <f t="shared" ca="1" si="33"/>
        <v>9667.4408869733343</v>
      </c>
      <c r="G395">
        <f t="shared" ca="1" si="31"/>
        <v>0.32050760456755106</v>
      </c>
      <c r="H395">
        <f ca="1">INDEX(Aerodynamique!$T$6:$T$546,MATCH(G395,Aerodynamique!$Y$6:$Y$546,1))</f>
        <v>0.25000000000000766</v>
      </c>
      <c r="I395">
        <f ca="1">INDEX(Aerodynamique!$Z$6:$Z$546,MATCH(G395,Aerodynamique!$Y$6:$Y$546,1))</f>
        <v>1.2613359127851607E-2</v>
      </c>
      <c r="J395">
        <f t="shared" ca="1" si="32"/>
        <v>3713.1690437194675</v>
      </c>
      <c r="K395" s="86">
        <f ca="1">INDEX(Aerodynamique!$AC$6:$AC$1006,MATCH(INDEX(Aerodynamique!$W$6:$W$546,MATCH(G395,Aerodynamique!$Y$6:$Y$546,1)),Aerodynamique!$AD$6:$AD$1006,-1))</f>
        <v>-3.5200000000000058</v>
      </c>
      <c r="L395">
        <f ca="1">Montée!$B$19*((E395-E394)/60)*J395/10</f>
        <v>11.872287800769524</v>
      </c>
      <c r="M395">
        <f t="shared" ca="1" si="34"/>
        <v>5037.6186617247495</v>
      </c>
    </row>
    <row r="396" spans="5:13">
      <c r="E396" s="210">
        <f t="shared" si="30"/>
        <v>391</v>
      </c>
      <c r="F396">
        <f t="shared" ca="1" si="33"/>
        <v>9655.5685991725641</v>
      </c>
      <c r="G396">
        <f t="shared" ca="1" si="31"/>
        <v>0.32011399900344689</v>
      </c>
      <c r="H396">
        <f ca="1">INDEX(Aerodynamique!$T$6:$T$546,MATCH(G396,Aerodynamique!$Y$6:$Y$546,1))</f>
        <v>0.25000000000000766</v>
      </c>
      <c r="I396">
        <f ca="1">INDEX(Aerodynamique!$Z$6:$Z$546,MATCH(G396,Aerodynamique!$Y$6:$Y$546,1))</f>
        <v>1.2613359127851607E-2</v>
      </c>
      <c r="J396">
        <f t="shared" ca="1" si="32"/>
        <v>3713.1690437194675</v>
      </c>
      <c r="K396" s="86">
        <f ca="1">INDEX(Aerodynamique!$AC$6:$AC$1006,MATCH(INDEX(Aerodynamique!$W$6:$W$546,MATCH(G396,Aerodynamique!$Y$6:$Y$546,1)),Aerodynamique!$AD$6:$AD$1006,-1))</f>
        <v>-3.5200000000000058</v>
      </c>
      <c r="L396">
        <f ca="1">Montée!$B$19*((E396-E395)/60)*J396/10</f>
        <v>11.872287800769524</v>
      </c>
      <c r="M396">
        <f t="shared" ca="1" si="34"/>
        <v>5049.4909495255188</v>
      </c>
    </row>
    <row r="397" spans="5:13">
      <c r="E397" s="210">
        <f t="shared" si="30"/>
        <v>392</v>
      </c>
      <c r="F397">
        <f t="shared" ca="1" si="33"/>
        <v>9643.6963113717939</v>
      </c>
      <c r="G397">
        <f t="shared" ca="1" si="31"/>
        <v>0.31972039343934261</v>
      </c>
      <c r="H397">
        <f ca="1">INDEX(Aerodynamique!$T$6:$T$546,MATCH(G397,Aerodynamique!$Y$6:$Y$546,1))</f>
        <v>0.25000000000000766</v>
      </c>
      <c r="I397">
        <f ca="1">INDEX(Aerodynamique!$Z$6:$Z$546,MATCH(G397,Aerodynamique!$Y$6:$Y$546,1))</f>
        <v>1.2613359127851607E-2</v>
      </c>
      <c r="J397">
        <f t="shared" ca="1" si="32"/>
        <v>3713.1690437194675</v>
      </c>
      <c r="K397" s="86">
        <f ca="1">INDEX(Aerodynamique!$AC$6:$AC$1006,MATCH(INDEX(Aerodynamique!$W$6:$W$546,MATCH(G397,Aerodynamique!$Y$6:$Y$546,1)),Aerodynamique!$AD$6:$AD$1006,-1))</f>
        <v>-3.5200000000000058</v>
      </c>
      <c r="L397">
        <f ca="1">Montée!$B$19*((E397-E396)/60)*J397/10</f>
        <v>11.872287800769524</v>
      </c>
      <c r="M397">
        <f t="shared" ca="1" si="34"/>
        <v>5061.3632373262881</v>
      </c>
    </row>
    <row r="398" spans="5:13">
      <c r="E398" s="210">
        <f t="shared" si="30"/>
        <v>393</v>
      </c>
      <c r="F398">
        <f t="shared" ca="1" si="33"/>
        <v>9631.8240235710236</v>
      </c>
      <c r="G398">
        <f t="shared" ca="1" si="31"/>
        <v>0.31932678787523838</v>
      </c>
      <c r="H398">
        <f ca="1">INDEX(Aerodynamique!$T$6:$T$546,MATCH(G398,Aerodynamique!$Y$6:$Y$546,1))</f>
        <v>0.25000000000000766</v>
      </c>
      <c r="I398">
        <f ca="1">INDEX(Aerodynamique!$Z$6:$Z$546,MATCH(G398,Aerodynamique!$Y$6:$Y$546,1))</f>
        <v>1.2613359127851607E-2</v>
      </c>
      <c r="J398">
        <f t="shared" ca="1" si="32"/>
        <v>3713.1690437194675</v>
      </c>
      <c r="K398" s="86">
        <f ca="1">INDEX(Aerodynamique!$AC$6:$AC$1006,MATCH(INDEX(Aerodynamique!$W$6:$W$546,MATCH(G398,Aerodynamique!$Y$6:$Y$546,1)),Aerodynamique!$AD$6:$AD$1006,-1))</f>
        <v>-3.5200000000000058</v>
      </c>
      <c r="L398">
        <f ca="1">Montée!$B$19*((E398-E397)/60)*J398/10</f>
        <v>11.872287800769524</v>
      </c>
      <c r="M398">
        <f t="shared" ca="1" si="34"/>
        <v>5073.2355251270574</v>
      </c>
    </row>
    <row r="399" spans="5:13">
      <c r="E399" s="210">
        <f t="shared" si="30"/>
        <v>394</v>
      </c>
      <c r="F399">
        <f t="shared" ca="1" si="33"/>
        <v>9619.9517357702534</v>
      </c>
      <c r="G399">
        <f t="shared" ca="1" si="31"/>
        <v>0.31893318231113416</v>
      </c>
      <c r="H399">
        <f ca="1">INDEX(Aerodynamique!$T$6:$T$546,MATCH(G399,Aerodynamique!$Y$6:$Y$546,1))</f>
        <v>0.25000000000000766</v>
      </c>
      <c r="I399">
        <f ca="1">INDEX(Aerodynamique!$Z$6:$Z$546,MATCH(G399,Aerodynamique!$Y$6:$Y$546,1))</f>
        <v>1.2613359127851607E-2</v>
      </c>
      <c r="J399">
        <f t="shared" ca="1" si="32"/>
        <v>3713.1690437194675</v>
      </c>
      <c r="K399" s="86">
        <f ca="1">INDEX(Aerodynamique!$AC$6:$AC$1006,MATCH(INDEX(Aerodynamique!$W$6:$W$546,MATCH(G399,Aerodynamique!$Y$6:$Y$546,1)),Aerodynamique!$AD$6:$AD$1006,-1))</f>
        <v>-3.5200000000000058</v>
      </c>
      <c r="L399">
        <f ca="1">Montée!$B$19*((E399-E398)/60)*J399/10</f>
        <v>11.872287800769524</v>
      </c>
      <c r="M399">
        <f t="shared" ca="1" si="34"/>
        <v>5085.1078129278267</v>
      </c>
    </row>
    <row r="400" spans="5:13">
      <c r="E400" s="210">
        <f t="shared" si="30"/>
        <v>395</v>
      </c>
      <c r="F400">
        <f t="shared" ca="1" si="33"/>
        <v>9608.0794479694832</v>
      </c>
      <c r="G400">
        <f t="shared" ca="1" si="31"/>
        <v>0.31853957674702993</v>
      </c>
      <c r="H400">
        <f ca="1">INDEX(Aerodynamique!$T$6:$T$546,MATCH(G400,Aerodynamique!$Y$6:$Y$546,1))</f>
        <v>0.25000000000000766</v>
      </c>
      <c r="I400">
        <f ca="1">INDEX(Aerodynamique!$Z$6:$Z$546,MATCH(G400,Aerodynamique!$Y$6:$Y$546,1))</f>
        <v>1.2613359127851607E-2</v>
      </c>
      <c r="J400">
        <f t="shared" ca="1" si="32"/>
        <v>3713.1690437194675</v>
      </c>
      <c r="K400" s="86">
        <f ca="1">INDEX(Aerodynamique!$AC$6:$AC$1006,MATCH(INDEX(Aerodynamique!$W$6:$W$546,MATCH(G400,Aerodynamique!$Y$6:$Y$546,1)),Aerodynamique!$AD$6:$AD$1006,-1))</f>
        <v>-3.5200000000000058</v>
      </c>
      <c r="L400">
        <f ca="1">Montée!$B$19*((E400-E399)/60)*J400/10</f>
        <v>11.872287800769524</v>
      </c>
      <c r="M400">
        <f t="shared" ca="1" si="34"/>
        <v>5096.980100728596</v>
      </c>
    </row>
    <row r="401" spans="5:13">
      <c r="E401" s="210">
        <f t="shared" si="30"/>
        <v>396</v>
      </c>
      <c r="F401">
        <f t="shared" ca="1" si="33"/>
        <v>9596.207160168713</v>
      </c>
      <c r="G401">
        <f t="shared" ca="1" si="31"/>
        <v>0.3181459711829257</v>
      </c>
      <c r="H401">
        <f ca="1">INDEX(Aerodynamique!$T$6:$T$546,MATCH(G401,Aerodynamique!$Y$6:$Y$546,1))</f>
        <v>0.25000000000000766</v>
      </c>
      <c r="I401">
        <f ca="1">INDEX(Aerodynamique!$Z$6:$Z$546,MATCH(G401,Aerodynamique!$Y$6:$Y$546,1))</f>
        <v>1.2613359127851607E-2</v>
      </c>
      <c r="J401">
        <f t="shared" ca="1" si="32"/>
        <v>3713.1690437194675</v>
      </c>
      <c r="K401" s="86">
        <f ca="1">INDEX(Aerodynamique!$AC$6:$AC$1006,MATCH(INDEX(Aerodynamique!$W$6:$W$546,MATCH(G401,Aerodynamique!$Y$6:$Y$546,1)),Aerodynamique!$AD$6:$AD$1006,-1))</f>
        <v>-3.5200000000000058</v>
      </c>
      <c r="L401">
        <f ca="1">Montée!$B$19*((E401-E400)/60)*J401/10</f>
        <v>11.872287800769524</v>
      </c>
      <c r="M401">
        <f t="shared" ca="1" si="34"/>
        <v>5108.8523885293653</v>
      </c>
    </row>
    <row r="402" spans="5:13">
      <c r="E402" s="210">
        <f t="shared" si="30"/>
        <v>397</v>
      </c>
      <c r="F402">
        <f t="shared" ca="1" si="33"/>
        <v>9584.3348723679428</v>
      </c>
      <c r="G402">
        <f t="shared" ca="1" si="31"/>
        <v>0.31775236561882148</v>
      </c>
      <c r="H402">
        <f ca="1">INDEX(Aerodynamique!$T$6:$T$546,MATCH(G402,Aerodynamique!$Y$6:$Y$546,1))</f>
        <v>0.25000000000000766</v>
      </c>
      <c r="I402">
        <f ca="1">INDEX(Aerodynamique!$Z$6:$Z$546,MATCH(G402,Aerodynamique!$Y$6:$Y$546,1))</f>
        <v>1.2613359127851607E-2</v>
      </c>
      <c r="J402">
        <f t="shared" ca="1" si="32"/>
        <v>3713.1690437194675</v>
      </c>
      <c r="K402" s="86">
        <f ca="1">INDEX(Aerodynamique!$AC$6:$AC$1006,MATCH(INDEX(Aerodynamique!$W$6:$W$546,MATCH(G402,Aerodynamique!$Y$6:$Y$546,1)),Aerodynamique!$AD$6:$AD$1006,-1))</f>
        <v>-3.5200000000000058</v>
      </c>
      <c r="L402">
        <f ca="1">Montée!$B$19*((E402-E401)/60)*J402/10</f>
        <v>11.872287800769524</v>
      </c>
      <c r="M402">
        <f t="shared" ca="1" si="34"/>
        <v>5120.7246763301346</v>
      </c>
    </row>
    <row r="403" spans="5:13">
      <c r="E403" s="210">
        <f t="shared" si="30"/>
        <v>398</v>
      </c>
      <c r="F403">
        <f t="shared" ca="1" si="33"/>
        <v>9572.4625845671726</v>
      </c>
      <c r="G403">
        <f t="shared" ca="1" si="31"/>
        <v>0.31735876005471725</v>
      </c>
      <c r="H403">
        <f ca="1">INDEX(Aerodynamique!$T$6:$T$546,MATCH(G403,Aerodynamique!$Y$6:$Y$546,1))</f>
        <v>0.25000000000000766</v>
      </c>
      <c r="I403">
        <f ca="1">INDEX(Aerodynamique!$Z$6:$Z$546,MATCH(G403,Aerodynamique!$Y$6:$Y$546,1))</f>
        <v>1.2613359127851607E-2</v>
      </c>
      <c r="J403">
        <f t="shared" ca="1" si="32"/>
        <v>3713.1690437194675</v>
      </c>
      <c r="K403" s="86">
        <f ca="1">INDEX(Aerodynamique!$AC$6:$AC$1006,MATCH(INDEX(Aerodynamique!$W$6:$W$546,MATCH(G403,Aerodynamique!$Y$6:$Y$546,1)),Aerodynamique!$AD$6:$AD$1006,-1))</f>
        <v>-3.5200000000000058</v>
      </c>
      <c r="L403">
        <f ca="1">Montée!$B$19*((E403-E402)/60)*J403/10</f>
        <v>11.872287800769524</v>
      </c>
      <c r="M403">
        <f t="shared" ca="1" si="34"/>
        <v>5132.5969641309039</v>
      </c>
    </row>
    <row r="404" spans="5:13">
      <c r="E404" s="210">
        <f t="shared" si="30"/>
        <v>399</v>
      </c>
      <c r="F404">
        <f t="shared" ca="1" si="33"/>
        <v>9560.5902967664024</v>
      </c>
      <c r="G404">
        <f t="shared" ca="1" si="31"/>
        <v>0.31696515449061302</v>
      </c>
      <c r="H404">
        <f ca="1">INDEX(Aerodynamique!$T$6:$T$546,MATCH(G404,Aerodynamique!$Y$6:$Y$546,1))</f>
        <v>0.25000000000000766</v>
      </c>
      <c r="I404">
        <f ca="1">INDEX(Aerodynamique!$Z$6:$Z$546,MATCH(G404,Aerodynamique!$Y$6:$Y$546,1))</f>
        <v>1.2613359127851607E-2</v>
      </c>
      <c r="J404">
        <f t="shared" ca="1" si="32"/>
        <v>3713.1690437194675</v>
      </c>
      <c r="K404" s="86">
        <f ca="1">INDEX(Aerodynamique!$AC$6:$AC$1006,MATCH(INDEX(Aerodynamique!$W$6:$W$546,MATCH(G404,Aerodynamique!$Y$6:$Y$546,1)),Aerodynamique!$AD$6:$AD$1006,-1))</f>
        <v>-3.5200000000000058</v>
      </c>
      <c r="L404">
        <f ca="1">Montée!$B$19*((E404-E403)/60)*J404/10</f>
        <v>11.872287800769524</v>
      </c>
      <c r="M404">
        <f t="shared" ca="1" si="34"/>
        <v>5144.4692519316732</v>
      </c>
    </row>
    <row r="405" spans="5:13">
      <c r="E405" s="210">
        <f t="shared" si="30"/>
        <v>400</v>
      </c>
      <c r="F405">
        <f t="shared" ca="1" si="33"/>
        <v>9548.7180089656322</v>
      </c>
      <c r="G405">
        <f t="shared" ca="1" si="31"/>
        <v>0.31657154892650879</v>
      </c>
      <c r="H405">
        <f ca="1">INDEX(Aerodynamique!$T$6:$T$546,MATCH(G405,Aerodynamique!$Y$6:$Y$546,1))</f>
        <v>0.25000000000000766</v>
      </c>
      <c r="I405">
        <f ca="1">INDEX(Aerodynamique!$Z$6:$Z$546,MATCH(G405,Aerodynamique!$Y$6:$Y$546,1))</f>
        <v>1.2613359127851607E-2</v>
      </c>
      <c r="J405">
        <f t="shared" ca="1" si="32"/>
        <v>3713.1690437194675</v>
      </c>
      <c r="K405" s="86">
        <f ca="1">INDEX(Aerodynamique!$AC$6:$AC$1006,MATCH(INDEX(Aerodynamique!$W$6:$W$546,MATCH(G405,Aerodynamique!$Y$6:$Y$546,1)),Aerodynamique!$AD$6:$AD$1006,-1))</f>
        <v>-3.5200000000000058</v>
      </c>
      <c r="L405">
        <f ca="1">Montée!$B$19*((E405-E404)/60)*J405/10</f>
        <v>11.872287800769524</v>
      </c>
      <c r="M405">
        <f t="shared" ca="1" si="34"/>
        <v>5156.3415397324425</v>
      </c>
    </row>
    <row r="406" spans="5:13">
      <c r="E406" s="210">
        <f t="shared" si="30"/>
        <v>401</v>
      </c>
      <c r="F406">
        <f t="shared" ca="1" si="33"/>
        <v>9536.845721164862</v>
      </c>
      <c r="G406">
        <f t="shared" ca="1" si="31"/>
        <v>0.31617794336240457</v>
      </c>
      <c r="H406">
        <f ca="1">INDEX(Aerodynamique!$T$6:$T$546,MATCH(G406,Aerodynamique!$Y$6:$Y$546,1))</f>
        <v>0.25000000000000766</v>
      </c>
      <c r="I406">
        <f ca="1">INDEX(Aerodynamique!$Z$6:$Z$546,MATCH(G406,Aerodynamique!$Y$6:$Y$546,1))</f>
        <v>1.2613359127851607E-2</v>
      </c>
      <c r="J406">
        <f t="shared" ca="1" si="32"/>
        <v>3713.1690437194675</v>
      </c>
      <c r="K406" s="86">
        <f ca="1">INDEX(Aerodynamique!$AC$6:$AC$1006,MATCH(INDEX(Aerodynamique!$W$6:$W$546,MATCH(G406,Aerodynamique!$Y$6:$Y$546,1)),Aerodynamique!$AD$6:$AD$1006,-1))</f>
        <v>-3.5200000000000058</v>
      </c>
      <c r="L406">
        <f ca="1">Montée!$B$19*((E406-E405)/60)*J406/10</f>
        <v>11.872287800769524</v>
      </c>
      <c r="M406">
        <f t="shared" ca="1" si="34"/>
        <v>5168.2138275332118</v>
      </c>
    </row>
    <row r="407" spans="5:13">
      <c r="E407" s="210">
        <f t="shared" si="30"/>
        <v>402</v>
      </c>
      <c r="F407">
        <f t="shared" ca="1" si="33"/>
        <v>9524.9734333640918</v>
      </c>
      <c r="G407">
        <f t="shared" ca="1" si="31"/>
        <v>0.31578433779830034</v>
      </c>
      <c r="H407">
        <f ca="1">INDEX(Aerodynamique!$T$6:$T$546,MATCH(G407,Aerodynamique!$Y$6:$Y$546,1))</f>
        <v>0.20000000000000767</v>
      </c>
      <c r="I407">
        <f ca="1">INDEX(Aerodynamique!$Z$6:$Z$546,MATCH(G407,Aerodynamique!$Y$6:$Y$546,1))</f>
        <v>1.2559588396817638E-2</v>
      </c>
      <c r="J407">
        <f t="shared" ca="1" si="32"/>
        <v>3697.3398096582068</v>
      </c>
      <c r="K407" s="86">
        <f ca="1">INDEX(Aerodynamique!$AC$6:$AC$1006,MATCH(INDEX(Aerodynamique!$W$6:$W$546,MATCH(G407,Aerodynamique!$Y$6:$Y$546,1)),Aerodynamique!$AD$6:$AD$1006,-1))</f>
        <v>-3.4800000000000058</v>
      </c>
      <c r="L407">
        <f ca="1">Montée!$B$19*((E407-E406)/60)*J407/10</f>
        <v>11.821676255690827</v>
      </c>
      <c r="M407">
        <f t="shared" ca="1" si="34"/>
        <v>5180.035503788903</v>
      </c>
    </row>
    <row r="408" spans="5:13">
      <c r="E408" s="210">
        <f t="shared" si="30"/>
        <v>403</v>
      </c>
      <c r="F408">
        <f t="shared" ca="1" si="33"/>
        <v>9513.1517571084005</v>
      </c>
      <c r="G408">
        <f t="shared" ca="1" si="31"/>
        <v>0.31539241017412523</v>
      </c>
      <c r="H408">
        <f ca="1">INDEX(Aerodynamique!$T$6:$T$546,MATCH(G408,Aerodynamique!$Y$6:$Y$546,1))</f>
        <v>0.20000000000000767</v>
      </c>
      <c r="I408">
        <f ca="1">INDEX(Aerodynamique!$Z$6:$Z$546,MATCH(G408,Aerodynamique!$Y$6:$Y$546,1))</f>
        <v>1.2559588396817638E-2</v>
      </c>
      <c r="J408">
        <f t="shared" ca="1" si="32"/>
        <v>3697.3398096582068</v>
      </c>
      <c r="K408" s="86">
        <f ca="1">INDEX(Aerodynamique!$AC$6:$AC$1006,MATCH(INDEX(Aerodynamique!$W$6:$W$546,MATCH(G408,Aerodynamique!$Y$6:$Y$546,1)),Aerodynamique!$AD$6:$AD$1006,-1))</f>
        <v>-3.4800000000000058</v>
      </c>
      <c r="L408">
        <f ca="1">Montée!$B$19*((E408-E407)/60)*J408/10</f>
        <v>11.821676255690827</v>
      </c>
      <c r="M408">
        <f t="shared" ca="1" si="34"/>
        <v>5191.8571800445943</v>
      </c>
    </row>
    <row r="409" spans="5:13">
      <c r="E409" s="210">
        <f t="shared" si="30"/>
        <v>404</v>
      </c>
      <c r="F409">
        <f t="shared" ca="1" si="33"/>
        <v>9501.3300808527092</v>
      </c>
      <c r="G409">
        <f t="shared" ca="1" si="31"/>
        <v>0.31500048254995011</v>
      </c>
      <c r="H409">
        <f ca="1">INDEX(Aerodynamique!$T$6:$T$546,MATCH(G409,Aerodynamique!$Y$6:$Y$546,1))</f>
        <v>0.20000000000000767</v>
      </c>
      <c r="I409">
        <f ca="1">INDEX(Aerodynamique!$Z$6:$Z$546,MATCH(G409,Aerodynamique!$Y$6:$Y$546,1))</f>
        <v>1.2559588396817638E-2</v>
      </c>
      <c r="J409">
        <f t="shared" ca="1" si="32"/>
        <v>3697.3398096582068</v>
      </c>
      <c r="K409" s="86">
        <f ca="1">INDEX(Aerodynamique!$AC$6:$AC$1006,MATCH(INDEX(Aerodynamique!$W$6:$W$546,MATCH(G409,Aerodynamique!$Y$6:$Y$546,1)),Aerodynamique!$AD$6:$AD$1006,-1))</f>
        <v>-3.4800000000000058</v>
      </c>
      <c r="L409">
        <f ca="1">Montée!$B$19*((E409-E408)/60)*J409/10</f>
        <v>11.821676255690827</v>
      </c>
      <c r="M409">
        <f t="shared" ca="1" si="34"/>
        <v>5203.6788563002856</v>
      </c>
    </row>
    <row r="410" spans="5:13">
      <c r="E410" s="210">
        <f t="shared" si="30"/>
        <v>405</v>
      </c>
      <c r="F410">
        <f t="shared" ca="1" si="33"/>
        <v>9489.5084045970179</v>
      </c>
      <c r="G410">
        <f t="shared" ca="1" si="31"/>
        <v>0.31460855492577505</v>
      </c>
      <c r="H410">
        <f ca="1">INDEX(Aerodynamique!$T$6:$T$546,MATCH(G410,Aerodynamique!$Y$6:$Y$546,1))</f>
        <v>0.20000000000000767</v>
      </c>
      <c r="I410">
        <f ca="1">INDEX(Aerodynamique!$Z$6:$Z$546,MATCH(G410,Aerodynamique!$Y$6:$Y$546,1))</f>
        <v>1.2559588396817638E-2</v>
      </c>
      <c r="J410">
        <f t="shared" ca="1" si="32"/>
        <v>3697.3398096582068</v>
      </c>
      <c r="K410" s="86">
        <f ca="1">INDEX(Aerodynamique!$AC$6:$AC$1006,MATCH(INDEX(Aerodynamique!$W$6:$W$546,MATCH(G410,Aerodynamique!$Y$6:$Y$546,1)),Aerodynamique!$AD$6:$AD$1006,-1))</f>
        <v>-3.4800000000000058</v>
      </c>
      <c r="L410">
        <f ca="1">Montée!$B$19*((E410-E409)/60)*J410/10</f>
        <v>11.821676255690827</v>
      </c>
      <c r="M410">
        <f t="shared" ca="1" si="34"/>
        <v>5215.5005325559769</v>
      </c>
    </row>
    <row r="411" spans="5:13">
      <c r="E411" s="210">
        <f t="shared" si="30"/>
        <v>406</v>
      </c>
      <c r="F411">
        <f t="shared" ca="1" si="33"/>
        <v>9477.6867283413267</v>
      </c>
      <c r="G411">
        <f t="shared" ca="1" si="31"/>
        <v>0.31421662730159994</v>
      </c>
      <c r="H411">
        <f ca="1">INDEX(Aerodynamique!$T$6:$T$546,MATCH(G411,Aerodynamique!$Y$6:$Y$546,1))</f>
        <v>0.20000000000000767</v>
      </c>
      <c r="I411">
        <f ca="1">INDEX(Aerodynamique!$Z$6:$Z$546,MATCH(G411,Aerodynamique!$Y$6:$Y$546,1))</f>
        <v>1.2559588396817638E-2</v>
      </c>
      <c r="J411">
        <f t="shared" ca="1" si="32"/>
        <v>3697.3398096582068</v>
      </c>
      <c r="K411" s="86">
        <f ca="1">INDEX(Aerodynamique!$AC$6:$AC$1006,MATCH(INDEX(Aerodynamique!$W$6:$W$546,MATCH(G411,Aerodynamique!$Y$6:$Y$546,1)),Aerodynamique!$AD$6:$AD$1006,-1))</f>
        <v>-3.4800000000000058</v>
      </c>
      <c r="L411">
        <f ca="1">Montée!$B$19*((E411-E410)/60)*J411/10</f>
        <v>11.821676255690827</v>
      </c>
      <c r="M411">
        <f t="shared" ca="1" si="34"/>
        <v>5227.3222088116681</v>
      </c>
    </row>
    <row r="412" spans="5:13">
      <c r="E412" s="210">
        <f t="shared" si="30"/>
        <v>407</v>
      </c>
      <c r="F412">
        <f t="shared" ca="1" si="33"/>
        <v>9465.8650520856354</v>
      </c>
      <c r="G412">
        <f t="shared" ca="1" si="31"/>
        <v>0.31382469967742482</v>
      </c>
      <c r="H412">
        <f ca="1">INDEX(Aerodynamique!$T$6:$T$546,MATCH(G412,Aerodynamique!$Y$6:$Y$546,1))</f>
        <v>0.20000000000000767</v>
      </c>
      <c r="I412">
        <f ca="1">INDEX(Aerodynamique!$Z$6:$Z$546,MATCH(G412,Aerodynamique!$Y$6:$Y$546,1))</f>
        <v>1.2559588396817638E-2</v>
      </c>
      <c r="J412">
        <f t="shared" ca="1" si="32"/>
        <v>3697.3398096582068</v>
      </c>
      <c r="K412" s="86">
        <f ca="1">INDEX(Aerodynamique!$AC$6:$AC$1006,MATCH(INDEX(Aerodynamique!$W$6:$W$546,MATCH(G412,Aerodynamique!$Y$6:$Y$546,1)),Aerodynamique!$AD$6:$AD$1006,-1))</f>
        <v>-3.4800000000000058</v>
      </c>
      <c r="L412">
        <f ca="1">Montée!$B$19*((E412-E411)/60)*J412/10</f>
        <v>11.821676255690827</v>
      </c>
      <c r="M412">
        <f t="shared" ca="1" si="34"/>
        <v>5239.1438850673594</v>
      </c>
    </row>
    <row r="413" spans="5:13">
      <c r="E413" s="210">
        <f t="shared" si="30"/>
        <v>408</v>
      </c>
      <c r="F413">
        <f t="shared" ca="1" si="33"/>
        <v>9454.0433758299441</v>
      </c>
      <c r="G413">
        <f t="shared" ca="1" si="31"/>
        <v>0.31343277205324971</v>
      </c>
      <c r="H413">
        <f ca="1">INDEX(Aerodynamique!$T$6:$T$546,MATCH(G413,Aerodynamique!$Y$6:$Y$546,1))</f>
        <v>0.20000000000000767</v>
      </c>
      <c r="I413">
        <f ca="1">INDEX(Aerodynamique!$Z$6:$Z$546,MATCH(G413,Aerodynamique!$Y$6:$Y$546,1))</f>
        <v>1.2559588396817638E-2</v>
      </c>
      <c r="J413">
        <f t="shared" ca="1" si="32"/>
        <v>3697.3398096582068</v>
      </c>
      <c r="K413" s="86">
        <f ca="1">INDEX(Aerodynamique!$AC$6:$AC$1006,MATCH(INDEX(Aerodynamique!$W$6:$W$546,MATCH(G413,Aerodynamique!$Y$6:$Y$546,1)),Aerodynamique!$AD$6:$AD$1006,-1))</f>
        <v>-3.4800000000000058</v>
      </c>
      <c r="L413">
        <f ca="1">Montée!$B$19*((E413-E412)/60)*J413/10</f>
        <v>11.821676255690827</v>
      </c>
      <c r="M413">
        <f t="shared" ca="1" si="34"/>
        <v>5250.9655613230507</v>
      </c>
    </row>
    <row r="414" spans="5:13">
      <c r="E414" s="210">
        <f t="shared" si="30"/>
        <v>409</v>
      </c>
      <c r="F414">
        <f t="shared" ca="1" si="33"/>
        <v>9442.2216995742529</v>
      </c>
      <c r="G414">
        <f t="shared" ca="1" si="31"/>
        <v>0.31304084442907459</v>
      </c>
      <c r="H414">
        <f ca="1">INDEX(Aerodynamique!$T$6:$T$546,MATCH(G414,Aerodynamique!$Y$6:$Y$546,1))</f>
        <v>0.20000000000000767</v>
      </c>
      <c r="I414">
        <f ca="1">INDEX(Aerodynamique!$Z$6:$Z$546,MATCH(G414,Aerodynamique!$Y$6:$Y$546,1))</f>
        <v>1.2559588396817638E-2</v>
      </c>
      <c r="J414">
        <f t="shared" ca="1" si="32"/>
        <v>3697.3398096582068</v>
      </c>
      <c r="K414" s="86">
        <f ca="1">INDEX(Aerodynamique!$AC$6:$AC$1006,MATCH(INDEX(Aerodynamique!$W$6:$W$546,MATCH(G414,Aerodynamique!$Y$6:$Y$546,1)),Aerodynamique!$AD$6:$AD$1006,-1))</f>
        <v>-3.4800000000000058</v>
      </c>
      <c r="L414">
        <f ca="1">Montée!$B$19*((E414-E413)/60)*J414/10</f>
        <v>11.821676255690827</v>
      </c>
      <c r="M414">
        <f t="shared" ca="1" si="34"/>
        <v>5262.787237578742</v>
      </c>
    </row>
    <row r="415" spans="5:13">
      <c r="E415" s="210">
        <f t="shared" si="30"/>
        <v>410</v>
      </c>
      <c r="F415">
        <f t="shared" ca="1" si="33"/>
        <v>9430.4000233185616</v>
      </c>
      <c r="G415">
        <f t="shared" ca="1" si="31"/>
        <v>0.31264891680489953</v>
      </c>
      <c r="H415">
        <f ca="1">INDEX(Aerodynamique!$T$6:$T$546,MATCH(G415,Aerodynamique!$Y$6:$Y$546,1))</f>
        <v>0.20000000000000767</v>
      </c>
      <c r="I415">
        <f ca="1">INDEX(Aerodynamique!$Z$6:$Z$546,MATCH(G415,Aerodynamique!$Y$6:$Y$546,1))</f>
        <v>1.2559588396817638E-2</v>
      </c>
      <c r="J415">
        <f t="shared" ca="1" si="32"/>
        <v>3697.3398096582068</v>
      </c>
      <c r="K415" s="86">
        <f ca="1">INDEX(Aerodynamique!$AC$6:$AC$1006,MATCH(INDEX(Aerodynamique!$W$6:$W$546,MATCH(G415,Aerodynamique!$Y$6:$Y$546,1)),Aerodynamique!$AD$6:$AD$1006,-1))</f>
        <v>-3.4800000000000058</v>
      </c>
      <c r="L415">
        <f ca="1">Montée!$B$19*((E415-E414)/60)*J415/10</f>
        <v>11.821676255690827</v>
      </c>
      <c r="M415">
        <f t="shared" ca="1" si="34"/>
        <v>5274.6089138344332</v>
      </c>
    </row>
    <row r="416" spans="5:13">
      <c r="E416" s="210">
        <f t="shared" si="30"/>
        <v>411</v>
      </c>
      <c r="F416">
        <f t="shared" ca="1" si="33"/>
        <v>9418.5783470628703</v>
      </c>
      <c r="G416">
        <f t="shared" ca="1" si="31"/>
        <v>0.31225698918072442</v>
      </c>
      <c r="H416">
        <f ca="1">INDEX(Aerodynamique!$T$6:$T$546,MATCH(G416,Aerodynamique!$Y$6:$Y$546,1))</f>
        <v>0.20000000000000767</v>
      </c>
      <c r="I416">
        <f ca="1">INDEX(Aerodynamique!$Z$6:$Z$546,MATCH(G416,Aerodynamique!$Y$6:$Y$546,1))</f>
        <v>1.2559588396817638E-2</v>
      </c>
      <c r="J416">
        <f t="shared" ca="1" si="32"/>
        <v>3697.3398096582068</v>
      </c>
      <c r="K416" s="86">
        <f ca="1">INDEX(Aerodynamique!$AC$6:$AC$1006,MATCH(INDEX(Aerodynamique!$W$6:$W$546,MATCH(G416,Aerodynamique!$Y$6:$Y$546,1)),Aerodynamique!$AD$6:$AD$1006,-1))</f>
        <v>-3.4800000000000058</v>
      </c>
      <c r="L416">
        <f ca="1">Montée!$B$19*((E416-E415)/60)*J416/10</f>
        <v>11.821676255690827</v>
      </c>
      <c r="M416">
        <f t="shared" ca="1" si="34"/>
        <v>5286.4305900901245</v>
      </c>
    </row>
    <row r="417" spans="5:13">
      <c r="E417" s="210">
        <f t="shared" si="30"/>
        <v>412</v>
      </c>
      <c r="F417">
        <f t="shared" ca="1" si="33"/>
        <v>9406.756670807179</v>
      </c>
      <c r="G417">
        <f t="shared" ca="1" si="31"/>
        <v>0.31186506155654931</v>
      </c>
      <c r="H417">
        <f ca="1">INDEX(Aerodynamique!$T$6:$T$546,MATCH(G417,Aerodynamique!$Y$6:$Y$546,1))</f>
        <v>0.20000000000000767</v>
      </c>
      <c r="I417">
        <f ca="1">INDEX(Aerodynamique!$Z$6:$Z$546,MATCH(G417,Aerodynamique!$Y$6:$Y$546,1))</f>
        <v>1.2559588396817638E-2</v>
      </c>
      <c r="J417">
        <f t="shared" ca="1" si="32"/>
        <v>3697.3398096582068</v>
      </c>
      <c r="K417" s="86">
        <f ca="1">INDEX(Aerodynamique!$AC$6:$AC$1006,MATCH(INDEX(Aerodynamique!$W$6:$W$546,MATCH(G417,Aerodynamique!$Y$6:$Y$546,1)),Aerodynamique!$AD$6:$AD$1006,-1))</f>
        <v>-3.4800000000000058</v>
      </c>
      <c r="L417">
        <f ca="1">Montée!$B$19*((E417-E416)/60)*J417/10</f>
        <v>11.821676255690827</v>
      </c>
      <c r="M417">
        <f t="shared" ca="1" si="34"/>
        <v>5298.2522663458158</v>
      </c>
    </row>
    <row r="418" spans="5:13">
      <c r="E418" s="210">
        <f t="shared" si="30"/>
        <v>413</v>
      </c>
      <c r="F418">
        <f t="shared" ca="1" si="33"/>
        <v>9394.9349945514878</v>
      </c>
      <c r="G418">
        <f t="shared" ca="1" si="31"/>
        <v>0.31147313393237419</v>
      </c>
      <c r="H418">
        <f ca="1">INDEX(Aerodynamique!$T$6:$T$546,MATCH(G418,Aerodynamique!$Y$6:$Y$546,1))</f>
        <v>0.20000000000000767</v>
      </c>
      <c r="I418">
        <f ca="1">INDEX(Aerodynamique!$Z$6:$Z$546,MATCH(G418,Aerodynamique!$Y$6:$Y$546,1))</f>
        <v>1.2559588396817638E-2</v>
      </c>
      <c r="J418">
        <f t="shared" ca="1" si="32"/>
        <v>3697.3398096582068</v>
      </c>
      <c r="K418" s="86">
        <f ca="1">INDEX(Aerodynamique!$AC$6:$AC$1006,MATCH(INDEX(Aerodynamique!$W$6:$W$546,MATCH(G418,Aerodynamique!$Y$6:$Y$546,1)),Aerodynamique!$AD$6:$AD$1006,-1))</f>
        <v>-3.4800000000000058</v>
      </c>
      <c r="L418">
        <f ca="1">Montée!$B$19*((E418-E417)/60)*J418/10</f>
        <v>11.821676255690827</v>
      </c>
      <c r="M418">
        <f t="shared" ca="1" si="34"/>
        <v>5310.073942601507</v>
      </c>
    </row>
    <row r="419" spans="5:13">
      <c r="E419" s="210">
        <f t="shared" si="30"/>
        <v>414</v>
      </c>
      <c r="F419">
        <f t="shared" ca="1" si="33"/>
        <v>9383.1133182957965</v>
      </c>
      <c r="G419">
        <f t="shared" ca="1" si="31"/>
        <v>0.31108120630819908</v>
      </c>
      <c r="H419">
        <f ca="1">INDEX(Aerodynamique!$T$6:$T$546,MATCH(G419,Aerodynamique!$Y$6:$Y$546,1))</f>
        <v>0.20000000000000767</v>
      </c>
      <c r="I419">
        <f ca="1">INDEX(Aerodynamique!$Z$6:$Z$546,MATCH(G419,Aerodynamique!$Y$6:$Y$546,1))</f>
        <v>1.2559588396817638E-2</v>
      </c>
      <c r="J419">
        <f t="shared" ca="1" si="32"/>
        <v>3697.3398096582068</v>
      </c>
      <c r="K419" s="86">
        <f ca="1">INDEX(Aerodynamique!$AC$6:$AC$1006,MATCH(INDEX(Aerodynamique!$W$6:$W$546,MATCH(G419,Aerodynamique!$Y$6:$Y$546,1)),Aerodynamique!$AD$6:$AD$1006,-1))</f>
        <v>-3.4800000000000058</v>
      </c>
      <c r="L419">
        <f ca="1">Montée!$B$19*((E419-E418)/60)*J419/10</f>
        <v>11.821676255690827</v>
      </c>
      <c r="M419">
        <f t="shared" ca="1" si="34"/>
        <v>5321.8956188571983</v>
      </c>
    </row>
    <row r="420" spans="5:13">
      <c r="E420" s="210">
        <f t="shared" si="30"/>
        <v>415</v>
      </c>
      <c r="F420">
        <f t="shared" ca="1" si="33"/>
        <v>9371.2916420401052</v>
      </c>
      <c r="G420">
        <f t="shared" ca="1" si="31"/>
        <v>0.31068927868402402</v>
      </c>
      <c r="H420">
        <f ca="1">INDEX(Aerodynamique!$T$6:$T$546,MATCH(G420,Aerodynamique!$Y$6:$Y$546,1))</f>
        <v>0.15000000000000765</v>
      </c>
      <c r="I420">
        <f ca="1">INDEX(Aerodynamique!$Z$6:$Z$546,MATCH(G420,Aerodynamique!$Y$6:$Y$546,1))</f>
        <v>1.2506885475795829E-2</v>
      </c>
      <c r="J420">
        <f t="shared" ca="1" si="32"/>
        <v>3681.824921604345</v>
      </c>
      <c r="K420" s="86">
        <f ca="1">INDEX(Aerodynamique!$AC$6:$AC$1006,MATCH(INDEX(Aerodynamique!$W$6:$W$546,MATCH(G420,Aerodynamique!$Y$6:$Y$546,1)),Aerodynamique!$AD$6:$AD$1006,-1))</f>
        <v>-3.4400000000000057</v>
      </c>
      <c r="L420">
        <f ca="1">Montée!$B$19*((E420-E419)/60)*J420/10</f>
        <v>11.772069783697926</v>
      </c>
      <c r="M420">
        <f t="shared" ca="1" si="34"/>
        <v>5333.6676886408959</v>
      </c>
    </row>
    <row r="421" spans="5:13">
      <c r="E421" s="210">
        <f t="shared" si="30"/>
        <v>416</v>
      </c>
      <c r="F421">
        <f t="shared" ca="1" si="33"/>
        <v>9359.5195722564076</v>
      </c>
      <c r="G421">
        <f t="shared" ca="1" si="31"/>
        <v>0.31029899567828467</v>
      </c>
      <c r="H421">
        <f ca="1">INDEX(Aerodynamique!$T$6:$T$546,MATCH(G421,Aerodynamique!$Y$6:$Y$546,1))</f>
        <v>0.15000000000000765</v>
      </c>
      <c r="I421">
        <f ca="1">INDEX(Aerodynamique!$Z$6:$Z$546,MATCH(G421,Aerodynamique!$Y$6:$Y$546,1))</f>
        <v>1.2506885475795829E-2</v>
      </c>
      <c r="J421">
        <f t="shared" ca="1" si="32"/>
        <v>3681.824921604345</v>
      </c>
      <c r="K421" s="86">
        <f ca="1">INDEX(Aerodynamique!$AC$6:$AC$1006,MATCH(INDEX(Aerodynamique!$W$6:$W$546,MATCH(G421,Aerodynamique!$Y$6:$Y$546,1)),Aerodynamique!$AD$6:$AD$1006,-1))</f>
        <v>-3.4400000000000057</v>
      </c>
      <c r="L421">
        <f ca="1">Montée!$B$19*((E421-E420)/60)*J421/10</f>
        <v>11.772069783697926</v>
      </c>
      <c r="M421">
        <f t="shared" ca="1" si="34"/>
        <v>5345.4397584245935</v>
      </c>
    </row>
    <row r="422" spans="5:13">
      <c r="E422" s="210">
        <f t="shared" si="30"/>
        <v>417</v>
      </c>
      <c r="F422">
        <f t="shared" ca="1" si="33"/>
        <v>9347.74750247271</v>
      </c>
      <c r="G422">
        <f t="shared" ca="1" si="31"/>
        <v>0.30990871267254538</v>
      </c>
      <c r="H422">
        <f ca="1">INDEX(Aerodynamique!$T$6:$T$546,MATCH(G422,Aerodynamique!$Y$6:$Y$546,1))</f>
        <v>0.15000000000000765</v>
      </c>
      <c r="I422">
        <f ca="1">INDEX(Aerodynamique!$Z$6:$Z$546,MATCH(G422,Aerodynamique!$Y$6:$Y$546,1))</f>
        <v>1.2506885475795829E-2</v>
      </c>
      <c r="J422">
        <f t="shared" ca="1" si="32"/>
        <v>3681.824921604345</v>
      </c>
      <c r="K422" s="86">
        <f ca="1">INDEX(Aerodynamique!$AC$6:$AC$1006,MATCH(INDEX(Aerodynamique!$W$6:$W$546,MATCH(G422,Aerodynamique!$Y$6:$Y$546,1)),Aerodynamique!$AD$6:$AD$1006,-1))</f>
        <v>-3.4400000000000057</v>
      </c>
      <c r="L422">
        <f ca="1">Montée!$B$19*((E422-E421)/60)*J422/10</f>
        <v>11.772069783697926</v>
      </c>
      <c r="M422">
        <f t="shared" ca="1" si="34"/>
        <v>5357.2118282082911</v>
      </c>
    </row>
    <row r="423" spans="5:13">
      <c r="E423" s="210">
        <f t="shared" si="30"/>
        <v>418</v>
      </c>
      <c r="F423">
        <f t="shared" ca="1" si="33"/>
        <v>9335.9754326890125</v>
      </c>
      <c r="G423">
        <f t="shared" ca="1" si="31"/>
        <v>0.30951842966680609</v>
      </c>
      <c r="H423">
        <f ca="1">INDEX(Aerodynamique!$T$6:$T$546,MATCH(G423,Aerodynamique!$Y$6:$Y$546,1))</f>
        <v>0.15000000000000765</v>
      </c>
      <c r="I423">
        <f ca="1">INDEX(Aerodynamique!$Z$6:$Z$546,MATCH(G423,Aerodynamique!$Y$6:$Y$546,1))</f>
        <v>1.2506885475795829E-2</v>
      </c>
      <c r="J423">
        <f t="shared" ca="1" si="32"/>
        <v>3681.824921604345</v>
      </c>
      <c r="K423" s="86">
        <f ca="1">INDEX(Aerodynamique!$AC$6:$AC$1006,MATCH(INDEX(Aerodynamique!$W$6:$W$546,MATCH(G423,Aerodynamique!$Y$6:$Y$546,1)),Aerodynamique!$AD$6:$AD$1006,-1))</f>
        <v>-3.4400000000000057</v>
      </c>
      <c r="L423">
        <f ca="1">Montée!$B$19*((E423-E422)/60)*J423/10</f>
        <v>11.772069783697926</v>
      </c>
      <c r="M423">
        <f t="shared" ca="1" si="34"/>
        <v>5368.9838979919887</v>
      </c>
    </row>
    <row r="424" spans="5:13">
      <c r="E424" s="210">
        <f t="shared" si="30"/>
        <v>419</v>
      </c>
      <c r="F424">
        <f t="shared" ca="1" si="33"/>
        <v>9324.2033629053149</v>
      </c>
      <c r="G424">
        <f t="shared" ca="1" si="31"/>
        <v>0.3091281466610668</v>
      </c>
      <c r="H424">
        <f ca="1">INDEX(Aerodynamique!$T$6:$T$546,MATCH(G424,Aerodynamique!$Y$6:$Y$546,1))</f>
        <v>0.15000000000000765</v>
      </c>
      <c r="I424">
        <f ca="1">INDEX(Aerodynamique!$Z$6:$Z$546,MATCH(G424,Aerodynamique!$Y$6:$Y$546,1))</f>
        <v>1.2506885475795829E-2</v>
      </c>
      <c r="J424">
        <f t="shared" ca="1" si="32"/>
        <v>3681.824921604345</v>
      </c>
      <c r="K424" s="86">
        <f ca="1">INDEX(Aerodynamique!$AC$6:$AC$1006,MATCH(INDEX(Aerodynamique!$W$6:$W$546,MATCH(G424,Aerodynamique!$Y$6:$Y$546,1)),Aerodynamique!$AD$6:$AD$1006,-1))</f>
        <v>-3.4400000000000057</v>
      </c>
      <c r="L424">
        <f ca="1">Montée!$B$19*((E424-E423)/60)*J424/10</f>
        <v>11.772069783697926</v>
      </c>
      <c r="M424">
        <f t="shared" ca="1" si="34"/>
        <v>5380.7559677756863</v>
      </c>
    </row>
    <row r="425" spans="5:13">
      <c r="E425" s="210">
        <f t="shared" si="30"/>
        <v>420</v>
      </c>
      <c r="F425">
        <f t="shared" ca="1" si="33"/>
        <v>9312.4312931216173</v>
      </c>
      <c r="G425">
        <f t="shared" ca="1" si="31"/>
        <v>0.30873786365532752</v>
      </c>
      <c r="H425">
        <f ca="1">INDEX(Aerodynamique!$T$6:$T$546,MATCH(G425,Aerodynamique!$Y$6:$Y$546,1))</f>
        <v>0.15000000000000765</v>
      </c>
      <c r="I425">
        <f ca="1">INDEX(Aerodynamique!$Z$6:$Z$546,MATCH(G425,Aerodynamique!$Y$6:$Y$546,1))</f>
        <v>1.2506885475795829E-2</v>
      </c>
      <c r="J425">
        <f t="shared" ca="1" si="32"/>
        <v>3681.824921604345</v>
      </c>
      <c r="K425" s="86">
        <f ca="1">INDEX(Aerodynamique!$AC$6:$AC$1006,MATCH(INDEX(Aerodynamique!$W$6:$W$546,MATCH(G425,Aerodynamique!$Y$6:$Y$546,1)),Aerodynamique!$AD$6:$AD$1006,-1))</f>
        <v>-3.4400000000000057</v>
      </c>
      <c r="L425">
        <f ca="1">Montée!$B$19*((E425-E424)/60)*J425/10</f>
        <v>11.772069783697926</v>
      </c>
      <c r="M425">
        <f t="shared" ca="1" si="34"/>
        <v>5392.5280375593838</v>
      </c>
    </row>
    <row r="426" spans="5:13">
      <c r="E426" s="210">
        <f t="shared" si="30"/>
        <v>421</v>
      </c>
      <c r="F426">
        <f t="shared" ca="1" si="33"/>
        <v>9300.6592233379197</v>
      </c>
      <c r="G426">
        <f t="shared" ca="1" si="31"/>
        <v>0.30834758064958817</v>
      </c>
      <c r="H426">
        <f ca="1">INDEX(Aerodynamique!$T$6:$T$546,MATCH(G426,Aerodynamique!$Y$6:$Y$546,1))</f>
        <v>0.15000000000000765</v>
      </c>
      <c r="I426">
        <f ca="1">INDEX(Aerodynamique!$Z$6:$Z$546,MATCH(G426,Aerodynamique!$Y$6:$Y$546,1))</f>
        <v>1.2506885475795829E-2</v>
      </c>
      <c r="J426">
        <f t="shared" ca="1" si="32"/>
        <v>3681.824921604345</v>
      </c>
      <c r="K426" s="86">
        <f ca="1">INDEX(Aerodynamique!$AC$6:$AC$1006,MATCH(INDEX(Aerodynamique!$W$6:$W$546,MATCH(G426,Aerodynamique!$Y$6:$Y$546,1)),Aerodynamique!$AD$6:$AD$1006,-1))</f>
        <v>-3.4400000000000057</v>
      </c>
      <c r="L426">
        <f ca="1">Montée!$B$19*((E426-E425)/60)*J426/10</f>
        <v>11.772069783697926</v>
      </c>
      <c r="M426">
        <f t="shared" ca="1" si="34"/>
        <v>5404.3001073430814</v>
      </c>
    </row>
    <row r="427" spans="5:13">
      <c r="E427" s="210">
        <f t="shared" si="30"/>
        <v>422</v>
      </c>
      <c r="F427">
        <f t="shared" ca="1" si="33"/>
        <v>9288.8871535542221</v>
      </c>
      <c r="G427">
        <f t="shared" ca="1" si="31"/>
        <v>0.30795729764384888</v>
      </c>
      <c r="H427">
        <f ca="1">INDEX(Aerodynamique!$T$6:$T$546,MATCH(G427,Aerodynamique!$Y$6:$Y$546,1))</f>
        <v>0.15000000000000765</v>
      </c>
      <c r="I427">
        <f ca="1">INDEX(Aerodynamique!$Z$6:$Z$546,MATCH(G427,Aerodynamique!$Y$6:$Y$546,1))</f>
        <v>1.2506885475795829E-2</v>
      </c>
      <c r="J427">
        <f t="shared" ca="1" si="32"/>
        <v>3681.824921604345</v>
      </c>
      <c r="K427" s="86">
        <f ca="1">INDEX(Aerodynamique!$AC$6:$AC$1006,MATCH(INDEX(Aerodynamique!$W$6:$W$546,MATCH(G427,Aerodynamique!$Y$6:$Y$546,1)),Aerodynamique!$AD$6:$AD$1006,-1))</f>
        <v>-3.4400000000000057</v>
      </c>
      <c r="L427">
        <f ca="1">Montée!$B$19*((E427-E426)/60)*J427/10</f>
        <v>11.772069783697926</v>
      </c>
      <c r="M427">
        <f t="shared" ca="1" si="34"/>
        <v>5416.072177126779</v>
      </c>
    </row>
    <row r="428" spans="5:13">
      <c r="E428" s="210">
        <f t="shared" si="30"/>
        <v>423</v>
      </c>
      <c r="F428">
        <f t="shared" ca="1" si="33"/>
        <v>9277.1150837705245</v>
      </c>
      <c r="G428">
        <f t="shared" ca="1" si="31"/>
        <v>0.30756701463810965</v>
      </c>
      <c r="H428">
        <f ca="1">INDEX(Aerodynamique!$T$6:$T$546,MATCH(G428,Aerodynamique!$Y$6:$Y$546,1))</f>
        <v>0.15000000000000765</v>
      </c>
      <c r="I428">
        <f ca="1">INDEX(Aerodynamique!$Z$6:$Z$546,MATCH(G428,Aerodynamique!$Y$6:$Y$546,1))</f>
        <v>1.2506885475795829E-2</v>
      </c>
      <c r="J428">
        <f t="shared" ca="1" si="32"/>
        <v>3681.824921604345</v>
      </c>
      <c r="K428" s="86">
        <f ca="1">INDEX(Aerodynamique!$AC$6:$AC$1006,MATCH(INDEX(Aerodynamique!$W$6:$W$546,MATCH(G428,Aerodynamique!$Y$6:$Y$546,1)),Aerodynamique!$AD$6:$AD$1006,-1))</f>
        <v>-3.4400000000000057</v>
      </c>
      <c r="L428">
        <f ca="1">Montée!$B$19*((E428-E427)/60)*J428/10</f>
        <v>11.772069783697926</v>
      </c>
      <c r="M428">
        <f t="shared" ca="1" si="34"/>
        <v>5427.8442469104766</v>
      </c>
    </row>
    <row r="429" spans="5:13">
      <c r="E429" s="210">
        <f t="shared" si="30"/>
        <v>424</v>
      </c>
      <c r="F429">
        <f t="shared" ca="1" si="33"/>
        <v>9265.3430139868269</v>
      </c>
      <c r="G429">
        <f t="shared" ca="1" si="31"/>
        <v>0.3071767316323703</v>
      </c>
      <c r="H429">
        <f ca="1">INDEX(Aerodynamique!$T$6:$T$546,MATCH(G429,Aerodynamique!$Y$6:$Y$546,1))</f>
        <v>0.15000000000000765</v>
      </c>
      <c r="I429">
        <f ca="1">INDEX(Aerodynamique!$Z$6:$Z$546,MATCH(G429,Aerodynamique!$Y$6:$Y$546,1))</f>
        <v>1.2506885475795829E-2</v>
      </c>
      <c r="J429">
        <f t="shared" ca="1" si="32"/>
        <v>3681.824921604345</v>
      </c>
      <c r="K429" s="86">
        <f ca="1">INDEX(Aerodynamique!$AC$6:$AC$1006,MATCH(INDEX(Aerodynamique!$W$6:$W$546,MATCH(G429,Aerodynamique!$Y$6:$Y$546,1)),Aerodynamique!$AD$6:$AD$1006,-1))</f>
        <v>-3.4400000000000057</v>
      </c>
      <c r="L429">
        <f ca="1">Montée!$B$19*((E429-E428)/60)*J429/10</f>
        <v>11.772069783697926</v>
      </c>
      <c r="M429">
        <f t="shared" ca="1" si="34"/>
        <v>5439.6163166941742</v>
      </c>
    </row>
    <row r="430" spans="5:13">
      <c r="E430" s="210">
        <f t="shared" si="30"/>
        <v>425</v>
      </c>
      <c r="F430">
        <f t="shared" ca="1" si="33"/>
        <v>9253.5709442031293</v>
      </c>
      <c r="G430">
        <f t="shared" ca="1" si="31"/>
        <v>0.30678644862663101</v>
      </c>
      <c r="H430">
        <f ca="1">INDEX(Aerodynamique!$T$6:$T$546,MATCH(G430,Aerodynamique!$Y$6:$Y$546,1))</f>
        <v>0.15000000000000765</v>
      </c>
      <c r="I430">
        <f ca="1">INDEX(Aerodynamique!$Z$6:$Z$546,MATCH(G430,Aerodynamique!$Y$6:$Y$546,1))</f>
        <v>1.2506885475795829E-2</v>
      </c>
      <c r="J430">
        <f t="shared" ca="1" si="32"/>
        <v>3681.824921604345</v>
      </c>
      <c r="K430" s="86">
        <f ca="1">INDEX(Aerodynamique!$AC$6:$AC$1006,MATCH(INDEX(Aerodynamique!$W$6:$W$546,MATCH(G430,Aerodynamique!$Y$6:$Y$546,1)),Aerodynamique!$AD$6:$AD$1006,-1))</f>
        <v>-3.4400000000000057</v>
      </c>
      <c r="L430">
        <f ca="1">Montée!$B$19*((E430-E429)/60)*J430/10</f>
        <v>11.772069783697926</v>
      </c>
      <c r="M430">
        <f t="shared" ca="1" si="34"/>
        <v>5451.3883864778718</v>
      </c>
    </row>
    <row r="431" spans="5:13">
      <c r="E431" s="210">
        <f t="shared" si="30"/>
        <v>426</v>
      </c>
      <c r="F431">
        <f t="shared" ca="1" si="33"/>
        <v>9241.7988744194317</v>
      </c>
      <c r="G431">
        <f t="shared" ca="1" si="31"/>
        <v>0.30639616562089167</v>
      </c>
      <c r="H431">
        <f ca="1">INDEX(Aerodynamique!$T$6:$T$546,MATCH(G431,Aerodynamique!$Y$6:$Y$546,1))</f>
        <v>0.15000000000000765</v>
      </c>
      <c r="I431">
        <f ca="1">INDEX(Aerodynamique!$Z$6:$Z$546,MATCH(G431,Aerodynamique!$Y$6:$Y$546,1))</f>
        <v>1.2506885475795829E-2</v>
      </c>
      <c r="J431">
        <f t="shared" ca="1" si="32"/>
        <v>3681.824921604345</v>
      </c>
      <c r="K431" s="86">
        <f ca="1">INDEX(Aerodynamique!$AC$6:$AC$1006,MATCH(INDEX(Aerodynamique!$W$6:$W$546,MATCH(G431,Aerodynamique!$Y$6:$Y$546,1)),Aerodynamique!$AD$6:$AD$1006,-1))</f>
        <v>-3.4400000000000057</v>
      </c>
      <c r="L431">
        <f ca="1">Montée!$B$19*((E431-E430)/60)*J431/10</f>
        <v>11.772069783697926</v>
      </c>
      <c r="M431">
        <f t="shared" ca="1" si="34"/>
        <v>5463.1604562615694</v>
      </c>
    </row>
    <row r="432" spans="5:13">
      <c r="E432" s="210">
        <f t="shared" si="30"/>
        <v>427</v>
      </c>
      <c r="F432">
        <f t="shared" ca="1" si="33"/>
        <v>9230.0268046357342</v>
      </c>
      <c r="G432">
        <f t="shared" ca="1" si="31"/>
        <v>0.30600588261515238</v>
      </c>
      <c r="H432">
        <f ca="1">INDEX(Aerodynamique!$T$6:$T$546,MATCH(G432,Aerodynamique!$Y$6:$Y$546,1))</f>
        <v>0.10000000000000765</v>
      </c>
      <c r="I432">
        <f ca="1">INDEX(Aerodynamique!$Z$6:$Z$546,MATCH(G432,Aerodynamique!$Y$6:$Y$546,1))</f>
        <v>1.245525036478618E-2</v>
      </c>
      <c r="J432">
        <f t="shared" ca="1" si="32"/>
        <v>3666.6243795578821</v>
      </c>
      <c r="K432" s="86">
        <f ca="1">INDEX(Aerodynamique!$AC$6:$AC$1006,MATCH(INDEX(Aerodynamique!$W$6:$W$546,MATCH(G432,Aerodynamique!$Y$6:$Y$546,1)),Aerodynamique!$AD$6:$AD$1006,-1))</f>
        <v>-3.4000000000000057</v>
      </c>
      <c r="L432">
        <f ca="1">Montée!$B$19*((E432-E431)/60)*J432/10</f>
        <v>11.723468384790827</v>
      </c>
      <c r="M432">
        <f t="shared" ca="1" si="34"/>
        <v>5474.8839246463604</v>
      </c>
    </row>
    <row r="433" spans="5:13">
      <c r="E433" s="210">
        <f t="shared" si="30"/>
        <v>428</v>
      </c>
      <c r="F433">
        <f t="shared" ca="1" si="33"/>
        <v>9218.3033362509432</v>
      </c>
      <c r="G433">
        <f t="shared" ca="1" si="31"/>
        <v>0.30561721090635546</v>
      </c>
      <c r="H433">
        <f ca="1">INDEX(Aerodynamique!$T$6:$T$546,MATCH(G433,Aerodynamique!$Y$6:$Y$546,1))</f>
        <v>0.10000000000000765</v>
      </c>
      <c r="I433">
        <f ca="1">INDEX(Aerodynamique!$Z$6:$Z$546,MATCH(G433,Aerodynamique!$Y$6:$Y$546,1))</f>
        <v>1.245525036478618E-2</v>
      </c>
      <c r="J433">
        <f t="shared" ca="1" si="32"/>
        <v>3666.6243795578821</v>
      </c>
      <c r="K433" s="86">
        <f ca="1">INDEX(Aerodynamique!$AC$6:$AC$1006,MATCH(INDEX(Aerodynamique!$W$6:$W$546,MATCH(G433,Aerodynamique!$Y$6:$Y$546,1)),Aerodynamique!$AD$6:$AD$1006,-1))</f>
        <v>-3.4000000000000057</v>
      </c>
      <c r="L433">
        <f ca="1">Montée!$B$19*((E433-E432)/60)*J433/10</f>
        <v>11.723468384790827</v>
      </c>
      <c r="M433">
        <f t="shared" ca="1" si="34"/>
        <v>5486.6073930311513</v>
      </c>
    </row>
    <row r="434" spans="5:13">
      <c r="E434" s="210">
        <f t="shared" si="30"/>
        <v>429</v>
      </c>
      <c r="F434">
        <f t="shared" ca="1" si="33"/>
        <v>9206.5798678661522</v>
      </c>
      <c r="G434">
        <f t="shared" ca="1" si="31"/>
        <v>0.30522853919755866</v>
      </c>
      <c r="H434">
        <f ca="1">INDEX(Aerodynamique!$T$6:$T$546,MATCH(G434,Aerodynamique!$Y$6:$Y$546,1))</f>
        <v>0.10000000000000765</v>
      </c>
      <c r="I434">
        <f ca="1">INDEX(Aerodynamique!$Z$6:$Z$546,MATCH(G434,Aerodynamique!$Y$6:$Y$546,1))</f>
        <v>1.245525036478618E-2</v>
      </c>
      <c r="J434">
        <f t="shared" ca="1" si="32"/>
        <v>3666.6243795578821</v>
      </c>
      <c r="K434" s="86">
        <f ca="1">INDEX(Aerodynamique!$AC$6:$AC$1006,MATCH(INDEX(Aerodynamique!$W$6:$W$546,MATCH(G434,Aerodynamique!$Y$6:$Y$546,1)),Aerodynamique!$AD$6:$AD$1006,-1))</f>
        <v>-3.4000000000000057</v>
      </c>
      <c r="L434">
        <f ca="1">Montée!$B$19*((E434-E433)/60)*J434/10</f>
        <v>11.723468384790827</v>
      </c>
      <c r="M434">
        <f t="shared" ca="1" si="34"/>
        <v>5498.3308614159423</v>
      </c>
    </row>
    <row r="435" spans="5:13">
      <c r="E435" s="210">
        <f t="shared" si="30"/>
        <v>430</v>
      </c>
      <c r="F435">
        <f t="shared" ca="1" si="33"/>
        <v>9194.8563994813612</v>
      </c>
      <c r="G435">
        <f t="shared" ca="1" si="31"/>
        <v>0.30483986748876174</v>
      </c>
      <c r="H435">
        <f ca="1">INDEX(Aerodynamique!$T$6:$T$546,MATCH(G435,Aerodynamique!$Y$6:$Y$546,1))</f>
        <v>0.10000000000000765</v>
      </c>
      <c r="I435">
        <f ca="1">INDEX(Aerodynamique!$Z$6:$Z$546,MATCH(G435,Aerodynamique!$Y$6:$Y$546,1))</f>
        <v>1.245525036478618E-2</v>
      </c>
      <c r="J435">
        <f t="shared" ca="1" si="32"/>
        <v>3666.6243795578821</v>
      </c>
      <c r="K435" s="86">
        <f ca="1">INDEX(Aerodynamique!$AC$6:$AC$1006,MATCH(INDEX(Aerodynamique!$W$6:$W$546,MATCH(G435,Aerodynamique!$Y$6:$Y$546,1)),Aerodynamique!$AD$6:$AD$1006,-1))</f>
        <v>-3.4000000000000057</v>
      </c>
      <c r="L435">
        <f ca="1">Montée!$B$19*((E435-E434)/60)*J435/10</f>
        <v>11.723468384790827</v>
      </c>
      <c r="M435">
        <f t="shared" ca="1" si="34"/>
        <v>5510.0543298007333</v>
      </c>
    </row>
    <row r="436" spans="5:13">
      <c r="E436" s="210">
        <f t="shared" si="30"/>
        <v>431</v>
      </c>
      <c r="F436">
        <f t="shared" ca="1" si="33"/>
        <v>9183.1329310965702</v>
      </c>
      <c r="G436">
        <f t="shared" ca="1" si="31"/>
        <v>0.30445119577996488</v>
      </c>
      <c r="H436">
        <f ca="1">INDEX(Aerodynamique!$T$6:$T$546,MATCH(G436,Aerodynamique!$Y$6:$Y$546,1))</f>
        <v>0.10000000000000765</v>
      </c>
      <c r="I436">
        <f ca="1">INDEX(Aerodynamique!$Z$6:$Z$546,MATCH(G436,Aerodynamique!$Y$6:$Y$546,1))</f>
        <v>1.245525036478618E-2</v>
      </c>
      <c r="J436">
        <f t="shared" ca="1" si="32"/>
        <v>3666.6243795578821</v>
      </c>
      <c r="K436" s="86">
        <f ca="1">INDEX(Aerodynamique!$AC$6:$AC$1006,MATCH(INDEX(Aerodynamique!$W$6:$W$546,MATCH(G436,Aerodynamique!$Y$6:$Y$546,1)),Aerodynamique!$AD$6:$AD$1006,-1))</f>
        <v>-3.4000000000000057</v>
      </c>
      <c r="L436">
        <f ca="1">Montée!$B$19*((E436-E435)/60)*J436/10</f>
        <v>11.723468384790827</v>
      </c>
      <c r="M436">
        <f t="shared" ca="1" si="34"/>
        <v>5521.7777981855243</v>
      </c>
    </row>
    <row r="437" spans="5:13">
      <c r="E437" s="210">
        <f t="shared" si="30"/>
        <v>432</v>
      </c>
      <c r="F437">
        <f t="shared" ca="1" si="33"/>
        <v>9171.4094627117793</v>
      </c>
      <c r="G437">
        <f t="shared" ca="1" si="31"/>
        <v>0.30406252407116796</v>
      </c>
      <c r="H437">
        <f ca="1">INDEX(Aerodynamique!$T$6:$T$546,MATCH(G437,Aerodynamique!$Y$6:$Y$546,1))</f>
        <v>0.10000000000000765</v>
      </c>
      <c r="I437">
        <f ca="1">INDEX(Aerodynamique!$Z$6:$Z$546,MATCH(G437,Aerodynamique!$Y$6:$Y$546,1))</f>
        <v>1.245525036478618E-2</v>
      </c>
      <c r="J437">
        <f t="shared" ca="1" si="32"/>
        <v>3666.6243795578821</v>
      </c>
      <c r="K437" s="86">
        <f ca="1">INDEX(Aerodynamique!$AC$6:$AC$1006,MATCH(INDEX(Aerodynamique!$W$6:$W$546,MATCH(G437,Aerodynamique!$Y$6:$Y$546,1)),Aerodynamique!$AD$6:$AD$1006,-1))</f>
        <v>-3.4000000000000057</v>
      </c>
      <c r="L437">
        <f ca="1">Montée!$B$19*((E437-E436)/60)*J437/10</f>
        <v>11.723468384790827</v>
      </c>
      <c r="M437">
        <f t="shared" ca="1" si="34"/>
        <v>5533.5012665703152</v>
      </c>
    </row>
    <row r="438" spans="5:13">
      <c r="E438" s="210">
        <f t="shared" si="30"/>
        <v>433</v>
      </c>
      <c r="F438">
        <f t="shared" ca="1" si="33"/>
        <v>9159.6859943269883</v>
      </c>
      <c r="G438">
        <f t="shared" ca="1" si="31"/>
        <v>0.3036738523623711</v>
      </c>
      <c r="H438">
        <f ca="1">INDEX(Aerodynamique!$T$6:$T$546,MATCH(G438,Aerodynamique!$Y$6:$Y$546,1))</f>
        <v>0.10000000000000765</v>
      </c>
      <c r="I438">
        <f ca="1">INDEX(Aerodynamique!$Z$6:$Z$546,MATCH(G438,Aerodynamique!$Y$6:$Y$546,1))</f>
        <v>1.245525036478618E-2</v>
      </c>
      <c r="J438">
        <f t="shared" ca="1" si="32"/>
        <v>3666.6243795578821</v>
      </c>
      <c r="K438" s="86">
        <f ca="1">INDEX(Aerodynamique!$AC$6:$AC$1006,MATCH(INDEX(Aerodynamique!$W$6:$W$546,MATCH(G438,Aerodynamique!$Y$6:$Y$546,1)),Aerodynamique!$AD$6:$AD$1006,-1))</f>
        <v>-3.4000000000000057</v>
      </c>
      <c r="L438">
        <f ca="1">Montée!$B$19*((E438-E437)/60)*J438/10</f>
        <v>11.723468384790827</v>
      </c>
      <c r="M438">
        <f t="shared" ca="1" si="34"/>
        <v>5545.2247349551062</v>
      </c>
    </row>
    <row r="439" spans="5:13">
      <c r="E439" s="210">
        <f t="shared" si="30"/>
        <v>434</v>
      </c>
      <c r="F439">
        <f t="shared" ca="1" si="33"/>
        <v>9147.9625259421973</v>
      </c>
      <c r="G439">
        <f t="shared" ca="1" si="31"/>
        <v>0.30328518065357418</v>
      </c>
      <c r="H439">
        <f ca="1">INDEX(Aerodynamique!$T$6:$T$546,MATCH(G439,Aerodynamique!$Y$6:$Y$546,1))</f>
        <v>0.10000000000000765</v>
      </c>
      <c r="I439">
        <f ca="1">INDEX(Aerodynamique!$Z$6:$Z$546,MATCH(G439,Aerodynamique!$Y$6:$Y$546,1))</f>
        <v>1.245525036478618E-2</v>
      </c>
      <c r="J439">
        <f t="shared" ca="1" si="32"/>
        <v>3666.6243795578821</v>
      </c>
      <c r="K439" s="86">
        <f ca="1">INDEX(Aerodynamique!$AC$6:$AC$1006,MATCH(INDEX(Aerodynamique!$W$6:$W$546,MATCH(G439,Aerodynamique!$Y$6:$Y$546,1)),Aerodynamique!$AD$6:$AD$1006,-1))</f>
        <v>-3.4000000000000057</v>
      </c>
      <c r="L439">
        <f ca="1">Montée!$B$19*((E439-E438)/60)*J439/10</f>
        <v>11.723468384790827</v>
      </c>
      <c r="M439">
        <f t="shared" ca="1" si="34"/>
        <v>5556.9482033398972</v>
      </c>
    </row>
    <row r="440" spans="5:13">
      <c r="E440" s="210">
        <f t="shared" si="30"/>
        <v>435</v>
      </c>
      <c r="F440">
        <f t="shared" ca="1" si="33"/>
        <v>9136.2390575574063</v>
      </c>
      <c r="G440">
        <f t="shared" ca="1" si="31"/>
        <v>0.30289650894477738</v>
      </c>
      <c r="H440">
        <f ca="1">INDEX(Aerodynamique!$T$6:$T$546,MATCH(G440,Aerodynamique!$Y$6:$Y$546,1))</f>
        <v>0.10000000000000765</v>
      </c>
      <c r="I440">
        <f ca="1">INDEX(Aerodynamique!$Z$6:$Z$546,MATCH(G440,Aerodynamique!$Y$6:$Y$546,1))</f>
        <v>1.245525036478618E-2</v>
      </c>
      <c r="J440">
        <f t="shared" ca="1" si="32"/>
        <v>3666.6243795578821</v>
      </c>
      <c r="K440" s="86">
        <f ca="1">INDEX(Aerodynamique!$AC$6:$AC$1006,MATCH(INDEX(Aerodynamique!$W$6:$W$546,MATCH(G440,Aerodynamique!$Y$6:$Y$546,1)),Aerodynamique!$AD$6:$AD$1006,-1))</f>
        <v>-3.4000000000000057</v>
      </c>
      <c r="L440">
        <f ca="1">Montée!$B$19*((E440-E439)/60)*J440/10</f>
        <v>11.723468384790827</v>
      </c>
      <c r="M440">
        <f t="shared" ca="1" si="34"/>
        <v>5568.6716717246882</v>
      </c>
    </row>
    <row r="441" spans="5:13">
      <c r="E441" s="210">
        <f t="shared" si="30"/>
        <v>436</v>
      </c>
      <c r="F441">
        <f t="shared" ca="1" si="33"/>
        <v>9124.5155891726154</v>
      </c>
      <c r="G441">
        <f t="shared" ca="1" si="31"/>
        <v>0.30250783723598046</v>
      </c>
      <c r="H441">
        <f ca="1">INDEX(Aerodynamique!$T$6:$T$546,MATCH(G441,Aerodynamique!$Y$6:$Y$546,1))</f>
        <v>0.10000000000000765</v>
      </c>
      <c r="I441">
        <f ca="1">INDEX(Aerodynamique!$Z$6:$Z$546,MATCH(G441,Aerodynamique!$Y$6:$Y$546,1))</f>
        <v>1.245525036478618E-2</v>
      </c>
      <c r="J441">
        <f t="shared" ca="1" si="32"/>
        <v>3666.6243795578821</v>
      </c>
      <c r="K441" s="86">
        <f ca="1">INDEX(Aerodynamique!$AC$6:$AC$1006,MATCH(INDEX(Aerodynamique!$W$6:$W$546,MATCH(G441,Aerodynamique!$Y$6:$Y$546,1)),Aerodynamique!$AD$6:$AD$1006,-1))</f>
        <v>-3.4000000000000057</v>
      </c>
      <c r="L441">
        <f ca="1">Montée!$B$19*((E441-E440)/60)*J441/10</f>
        <v>11.723468384790827</v>
      </c>
      <c r="M441">
        <f t="shared" ca="1" si="34"/>
        <v>5580.3951401094791</v>
      </c>
    </row>
    <row r="442" spans="5:13">
      <c r="E442" s="210">
        <f t="shared" si="30"/>
        <v>437</v>
      </c>
      <c r="F442">
        <f t="shared" ca="1" si="33"/>
        <v>9112.7921207878244</v>
      </c>
      <c r="G442">
        <f t="shared" ca="1" si="31"/>
        <v>0.3021191655271836</v>
      </c>
      <c r="H442">
        <f ca="1">INDEX(Aerodynamique!$T$6:$T$546,MATCH(G442,Aerodynamique!$Y$6:$Y$546,1))</f>
        <v>0.10000000000000765</v>
      </c>
      <c r="I442">
        <f ca="1">INDEX(Aerodynamique!$Z$6:$Z$546,MATCH(G442,Aerodynamique!$Y$6:$Y$546,1))</f>
        <v>1.245525036478618E-2</v>
      </c>
      <c r="J442">
        <f t="shared" ca="1" si="32"/>
        <v>3666.6243795578821</v>
      </c>
      <c r="K442" s="86">
        <f ca="1">INDEX(Aerodynamique!$AC$6:$AC$1006,MATCH(INDEX(Aerodynamique!$W$6:$W$546,MATCH(G442,Aerodynamique!$Y$6:$Y$546,1)),Aerodynamique!$AD$6:$AD$1006,-1))</f>
        <v>-3.4000000000000057</v>
      </c>
      <c r="L442">
        <f ca="1">Montée!$B$19*((E442-E441)/60)*J442/10</f>
        <v>11.723468384790827</v>
      </c>
      <c r="M442">
        <f t="shared" ca="1" si="34"/>
        <v>5592.1186084942701</v>
      </c>
    </row>
    <row r="443" spans="5:13">
      <c r="E443" s="210">
        <f t="shared" si="30"/>
        <v>438</v>
      </c>
      <c r="F443">
        <f t="shared" ca="1" si="33"/>
        <v>9101.0686524030334</v>
      </c>
      <c r="G443">
        <f t="shared" ca="1" si="31"/>
        <v>0.30173049381838668</v>
      </c>
      <c r="H443">
        <f ca="1">INDEX(Aerodynamique!$T$6:$T$546,MATCH(G443,Aerodynamique!$Y$6:$Y$546,1))</f>
        <v>0.10000000000000765</v>
      </c>
      <c r="I443">
        <f ca="1">INDEX(Aerodynamique!$Z$6:$Z$546,MATCH(G443,Aerodynamique!$Y$6:$Y$546,1))</f>
        <v>1.245525036478618E-2</v>
      </c>
      <c r="J443">
        <f t="shared" ca="1" si="32"/>
        <v>3666.6243795578821</v>
      </c>
      <c r="K443" s="86">
        <f ca="1">INDEX(Aerodynamique!$AC$6:$AC$1006,MATCH(INDEX(Aerodynamique!$W$6:$W$546,MATCH(G443,Aerodynamique!$Y$6:$Y$546,1)),Aerodynamique!$AD$6:$AD$1006,-1))</f>
        <v>-3.4000000000000057</v>
      </c>
      <c r="L443">
        <f ca="1">Montée!$B$19*((E443-E442)/60)*J443/10</f>
        <v>11.723468384790827</v>
      </c>
      <c r="M443">
        <f t="shared" ca="1" si="34"/>
        <v>5603.8420768790611</v>
      </c>
    </row>
    <row r="444" spans="5:13">
      <c r="E444" s="210">
        <f t="shared" si="30"/>
        <v>439</v>
      </c>
      <c r="F444">
        <f t="shared" ca="1" si="33"/>
        <v>9089.3451840182424</v>
      </c>
      <c r="G444">
        <f t="shared" ca="1" si="31"/>
        <v>0.30134182210958976</v>
      </c>
      <c r="H444">
        <f ca="1">INDEX(Aerodynamique!$T$6:$T$546,MATCH(G444,Aerodynamique!$Y$6:$Y$546,1))</f>
        <v>0.10000000000000765</v>
      </c>
      <c r="I444">
        <f ca="1">INDEX(Aerodynamique!$Z$6:$Z$546,MATCH(G444,Aerodynamique!$Y$6:$Y$546,1))</f>
        <v>1.245525036478618E-2</v>
      </c>
      <c r="J444">
        <f t="shared" ca="1" si="32"/>
        <v>3666.6243795578821</v>
      </c>
      <c r="K444" s="86">
        <f ca="1">INDEX(Aerodynamique!$AC$6:$AC$1006,MATCH(INDEX(Aerodynamique!$W$6:$W$546,MATCH(G444,Aerodynamique!$Y$6:$Y$546,1)),Aerodynamique!$AD$6:$AD$1006,-1))</f>
        <v>-3.4000000000000057</v>
      </c>
      <c r="L444">
        <f ca="1">Montée!$B$19*((E444-E443)/60)*J444/10</f>
        <v>11.723468384790827</v>
      </c>
      <c r="M444">
        <f t="shared" ca="1" si="34"/>
        <v>5615.5655452638521</v>
      </c>
    </row>
    <row r="445" spans="5:13">
      <c r="E445" s="210">
        <f t="shared" si="30"/>
        <v>440</v>
      </c>
      <c r="F445">
        <f t="shared" ca="1" si="33"/>
        <v>9077.6217156334515</v>
      </c>
      <c r="G445">
        <f t="shared" ca="1" si="31"/>
        <v>0.30095315040079296</v>
      </c>
      <c r="H445">
        <f ca="1">INDEX(Aerodynamique!$T$6:$T$546,MATCH(G445,Aerodynamique!$Y$6:$Y$546,1))</f>
        <v>5.0000000000007649E-2</v>
      </c>
      <c r="I445">
        <f ca="1">INDEX(Aerodynamique!$Z$6:$Z$546,MATCH(G445,Aerodynamique!$Y$6:$Y$546,1))</f>
        <v>1.2404683063788686E-2</v>
      </c>
      <c r="J445">
        <f t="shared" ca="1" si="32"/>
        <v>3651.7381835188162</v>
      </c>
      <c r="K445" s="86">
        <f ca="1">INDEX(Aerodynamique!$AC$6:$AC$1006,MATCH(INDEX(Aerodynamique!$W$6:$W$546,MATCH(G445,Aerodynamique!$Y$6:$Y$546,1)),Aerodynamique!$AD$6:$AD$1006,-1))</f>
        <v>-3.3600000000000056</v>
      </c>
      <c r="L445">
        <f ca="1">Montée!$B$19*((E445-E444)/60)*J445/10</f>
        <v>11.675872058969519</v>
      </c>
      <c r="M445">
        <f t="shared" ca="1" si="34"/>
        <v>5627.2414173228217</v>
      </c>
    </row>
    <row r="446" spans="5:13">
      <c r="E446" s="210">
        <f t="shared" si="30"/>
        <v>441</v>
      </c>
      <c r="F446">
        <f t="shared" ca="1" si="33"/>
        <v>9065.9458435744818</v>
      </c>
      <c r="G446">
        <f t="shared" ca="1" si="31"/>
        <v>0.30056605666744513</v>
      </c>
      <c r="H446">
        <f ca="1">INDEX(Aerodynamique!$T$6:$T$546,MATCH(G446,Aerodynamique!$Y$6:$Y$546,1))</f>
        <v>5.0000000000007649E-2</v>
      </c>
      <c r="I446">
        <f ca="1">INDEX(Aerodynamique!$Z$6:$Z$546,MATCH(G446,Aerodynamique!$Y$6:$Y$546,1))</f>
        <v>1.2404683063788686E-2</v>
      </c>
      <c r="J446">
        <f t="shared" ca="1" si="32"/>
        <v>3651.7381835188162</v>
      </c>
      <c r="K446" s="86">
        <f ca="1">INDEX(Aerodynamique!$AC$6:$AC$1006,MATCH(INDEX(Aerodynamique!$W$6:$W$546,MATCH(G446,Aerodynamique!$Y$6:$Y$546,1)),Aerodynamique!$AD$6:$AD$1006,-1))</f>
        <v>-3.3600000000000056</v>
      </c>
      <c r="L446">
        <f ca="1">Montée!$B$19*((E446-E445)/60)*J446/10</f>
        <v>11.675872058969519</v>
      </c>
      <c r="M446">
        <f t="shared" ca="1" si="34"/>
        <v>5638.9172893817913</v>
      </c>
    </row>
    <row r="447" spans="5:13">
      <c r="E447" s="210">
        <f t="shared" si="30"/>
        <v>442</v>
      </c>
      <c r="F447">
        <f t="shared" ca="1" si="33"/>
        <v>9054.2699715155122</v>
      </c>
      <c r="G447">
        <f t="shared" ca="1" si="31"/>
        <v>0.30017896293409735</v>
      </c>
      <c r="H447">
        <f ca="1">INDEX(Aerodynamique!$T$6:$T$546,MATCH(G447,Aerodynamique!$Y$6:$Y$546,1))</f>
        <v>5.0000000000007649E-2</v>
      </c>
      <c r="I447">
        <f ca="1">INDEX(Aerodynamique!$Z$6:$Z$546,MATCH(G447,Aerodynamique!$Y$6:$Y$546,1))</f>
        <v>1.2404683063788686E-2</v>
      </c>
      <c r="J447">
        <f t="shared" ca="1" si="32"/>
        <v>3651.7381835188162</v>
      </c>
      <c r="K447" s="86">
        <f ca="1">INDEX(Aerodynamique!$AC$6:$AC$1006,MATCH(INDEX(Aerodynamique!$W$6:$W$546,MATCH(G447,Aerodynamique!$Y$6:$Y$546,1)),Aerodynamique!$AD$6:$AD$1006,-1))</f>
        <v>-3.3600000000000056</v>
      </c>
      <c r="L447">
        <f ca="1">Montée!$B$19*((E447-E446)/60)*J447/10</f>
        <v>11.675872058969519</v>
      </c>
      <c r="M447">
        <f t="shared" ca="1" si="34"/>
        <v>5650.5931614407609</v>
      </c>
    </row>
    <row r="448" spans="5:13">
      <c r="E448" s="210">
        <f t="shared" si="30"/>
        <v>443</v>
      </c>
      <c r="F448">
        <f t="shared" ca="1" si="33"/>
        <v>9042.5940994565426</v>
      </c>
      <c r="G448">
        <f t="shared" ca="1" si="31"/>
        <v>0.29979186920074952</v>
      </c>
      <c r="H448">
        <f ca="1">INDEX(Aerodynamique!$T$6:$T$546,MATCH(G448,Aerodynamique!$Y$6:$Y$546,1))</f>
        <v>5.0000000000007649E-2</v>
      </c>
      <c r="I448">
        <f ca="1">INDEX(Aerodynamique!$Z$6:$Z$546,MATCH(G448,Aerodynamique!$Y$6:$Y$546,1))</f>
        <v>1.2404683063788686E-2</v>
      </c>
      <c r="J448">
        <f t="shared" ca="1" si="32"/>
        <v>3651.7381835188162</v>
      </c>
      <c r="K448" s="86">
        <f ca="1">INDEX(Aerodynamique!$AC$6:$AC$1006,MATCH(INDEX(Aerodynamique!$W$6:$W$546,MATCH(G448,Aerodynamique!$Y$6:$Y$546,1)),Aerodynamique!$AD$6:$AD$1006,-1))</f>
        <v>-3.3600000000000056</v>
      </c>
      <c r="L448">
        <f ca="1">Montée!$B$19*((E448-E447)/60)*J448/10</f>
        <v>11.675872058969519</v>
      </c>
      <c r="M448">
        <f t="shared" ca="1" si="34"/>
        <v>5662.2690334997305</v>
      </c>
    </row>
    <row r="449" spans="5:13">
      <c r="E449" s="210">
        <f t="shared" si="30"/>
        <v>444</v>
      </c>
      <c r="F449">
        <f t="shared" ca="1" si="33"/>
        <v>9030.918227397573</v>
      </c>
      <c r="G449">
        <f t="shared" ca="1" si="31"/>
        <v>0.29940477546740174</v>
      </c>
      <c r="H449">
        <f ca="1">INDEX(Aerodynamique!$T$6:$T$546,MATCH(G449,Aerodynamique!$Y$6:$Y$546,1))</f>
        <v>5.0000000000007649E-2</v>
      </c>
      <c r="I449">
        <f ca="1">INDEX(Aerodynamique!$Z$6:$Z$546,MATCH(G449,Aerodynamique!$Y$6:$Y$546,1))</f>
        <v>1.2404683063788686E-2</v>
      </c>
      <c r="J449">
        <f t="shared" ca="1" si="32"/>
        <v>3651.7381835188162</v>
      </c>
      <c r="K449" s="86">
        <f ca="1">INDEX(Aerodynamique!$AC$6:$AC$1006,MATCH(INDEX(Aerodynamique!$W$6:$W$546,MATCH(G449,Aerodynamique!$Y$6:$Y$546,1)),Aerodynamique!$AD$6:$AD$1006,-1))</f>
        <v>-3.3600000000000056</v>
      </c>
      <c r="L449">
        <f ca="1">Montée!$B$19*((E449-E448)/60)*J449/10</f>
        <v>11.675872058969519</v>
      </c>
      <c r="M449">
        <f t="shared" ca="1" si="34"/>
        <v>5673.9449055587002</v>
      </c>
    </row>
    <row r="450" spans="5:13">
      <c r="E450" s="210">
        <f t="shared" si="30"/>
        <v>445</v>
      </c>
      <c r="F450">
        <f t="shared" ca="1" si="33"/>
        <v>9019.2423553386034</v>
      </c>
      <c r="G450">
        <f t="shared" ca="1" si="31"/>
        <v>0.29901768173405396</v>
      </c>
      <c r="H450">
        <f ca="1">INDEX(Aerodynamique!$T$6:$T$546,MATCH(G450,Aerodynamique!$Y$6:$Y$546,1))</f>
        <v>5.0000000000007649E-2</v>
      </c>
      <c r="I450">
        <f ca="1">INDEX(Aerodynamique!$Z$6:$Z$546,MATCH(G450,Aerodynamique!$Y$6:$Y$546,1))</f>
        <v>1.2404683063788686E-2</v>
      </c>
      <c r="J450">
        <f t="shared" ca="1" si="32"/>
        <v>3651.7381835188162</v>
      </c>
      <c r="K450" s="86">
        <f ca="1">INDEX(Aerodynamique!$AC$6:$AC$1006,MATCH(INDEX(Aerodynamique!$W$6:$W$546,MATCH(G450,Aerodynamique!$Y$6:$Y$546,1)),Aerodynamique!$AD$6:$AD$1006,-1))</f>
        <v>-3.3600000000000056</v>
      </c>
      <c r="L450">
        <f ca="1">Montée!$B$19*((E450-E449)/60)*J450/10</f>
        <v>11.675872058969519</v>
      </c>
      <c r="M450">
        <f t="shared" ca="1" si="34"/>
        <v>5685.6207776176698</v>
      </c>
    </row>
    <row r="451" spans="5:13">
      <c r="E451" s="210">
        <f t="shared" si="30"/>
        <v>446</v>
      </c>
      <c r="F451">
        <f t="shared" ca="1" si="33"/>
        <v>9007.5664832796338</v>
      </c>
      <c r="G451">
        <f t="shared" ca="1" si="31"/>
        <v>0.29863058800070619</v>
      </c>
      <c r="H451">
        <f ca="1">INDEX(Aerodynamique!$T$6:$T$546,MATCH(G451,Aerodynamique!$Y$6:$Y$546,1))</f>
        <v>5.0000000000007649E-2</v>
      </c>
      <c r="I451">
        <f ca="1">INDEX(Aerodynamique!$Z$6:$Z$546,MATCH(G451,Aerodynamique!$Y$6:$Y$546,1))</f>
        <v>1.2404683063788686E-2</v>
      </c>
      <c r="J451">
        <f t="shared" ca="1" si="32"/>
        <v>3651.7381835188162</v>
      </c>
      <c r="K451" s="86">
        <f ca="1">INDEX(Aerodynamique!$AC$6:$AC$1006,MATCH(INDEX(Aerodynamique!$W$6:$W$546,MATCH(G451,Aerodynamique!$Y$6:$Y$546,1)),Aerodynamique!$AD$6:$AD$1006,-1))</f>
        <v>-3.3600000000000056</v>
      </c>
      <c r="L451">
        <f ca="1">Montée!$B$19*((E451-E450)/60)*J451/10</f>
        <v>11.675872058969519</v>
      </c>
      <c r="M451">
        <f t="shared" ca="1" si="34"/>
        <v>5697.2966496766394</v>
      </c>
    </row>
    <row r="452" spans="5:13">
      <c r="E452" s="210">
        <f t="shared" si="30"/>
        <v>447</v>
      </c>
      <c r="F452">
        <f t="shared" ca="1" si="33"/>
        <v>8995.8906112206641</v>
      </c>
      <c r="G452">
        <f t="shared" ca="1" si="31"/>
        <v>0.29824349426735841</v>
      </c>
      <c r="H452">
        <f ca="1">INDEX(Aerodynamique!$T$6:$T$546,MATCH(G452,Aerodynamique!$Y$6:$Y$546,1))</f>
        <v>5.0000000000007649E-2</v>
      </c>
      <c r="I452">
        <f ca="1">INDEX(Aerodynamique!$Z$6:$Z$546,MATCH(G452,Aerodynamique!$Y$6:$Y$546,1))</f>
        <v>1.2404683063788686E-2</v>
      </c>
      <c r="J452">
        <f t="shared" ca="1" si="32"/>
        <v>3651.7381835188162</v>
      </c>
      <c r="K452" s="86">
        <f ca="1">INDEX(Aerodynamique!$AC$6:$AC$1006,MATCH(INDEX(Aerodynamique!$W$6:$W$546,MATCH(G452,Aerodynamique!$Y$6:$Y$546,1)),Aerodynamique!$AD$6:$AD$1006,-1))</f>
        <v>-3.3600000000000056</v>
      </c>
      <c r="L452">
        <f ca="1">Montée!$B$19*((E452-E451)/60)*J452/10</f>
        <v>11.675872058969519</v>
      </c>
      <c r="M452">
        <f t="shared" ca="1" si="34"/>
        <v>5708.972521735609</v>
      </c>
    </row>
    <row r="453" spans="5:13">
      <c r="E453" s="210">
        <f t="shared" si="30"/>
        <v>448</v>
      </c>
      <c r="F453">
        <f t="shared" ca="1" si="33"/>
        <v>8984.2147391616945</v>
      </c>
      <c r="G453">
        <f t="shared" ca="1" si="31"/>
        <v>0.29785640053401063</v>
      </c>
      <c r="H453">
        <f ca="1">INDEX(Aerodynamique!$T$6:$T$546,MATCH(G453,Aerodynamique!$Y$6:$Y$546,1))</f>
        <v>5.0000000000007649E-2</v>
      </c>
      <c r="I453">
        <f ca="1">INDEX(Aerodynamique!$Z$6:$Z$546,MATCH(G453,Aerodynamique!$Y$6:$Y$546,1))</f>
        <v>1.2404683063788686E-2</v>
      </c>
      <c r="J453">
        <f t="shared" ca="1" si="32"/>
        <v>3651.7381835188162</v>
      </c>
      <c r="K453" s="86">
        <f ca="1">INDEX(Aerodynamique!$AC$6:$AC$1006,MATCH(INDEX(Aerodynamique!$W$6:$W$546,MATCH(G453,Aerodynamique!$Y$6:$Y$546,1)),Aerodynamique!$AD$6:$AD$1006,-1))</f>
        <v>-3.3600000000000056</v>
      </c>
      <c r="L453">
        <f ca="1">Montée!$B$19*((E453-E452)/60)*J453/10</f>
        <v>11.675872058969519</v>
      </c>
      <c r="M453">
        <f t="shared" ca="1" si="34"/>
        <v>5720.6483937945786</v>
      </c>
    </row>
    <row r="454" spans="5:13">
      <c r="E454" s="210">
        <f t="shared" ref="E454:E517" si="35">E453+$E$3</f>
        <v>449</v>
      </c>
      <c r="F454">
        <f t="shared" ca="1" si="33"/>
        <v>8972.5388671027249</v>
      </c>
      <c r="G454">
        <f t="shared" ref="G454:G517" ca="1" si="36">2*F454*g/(rho*V^2*SRef)</f>
        <v>0.2974693068006628</v>
      </c>
      <c r="H454">
        <f ca="1">INDEX(Aerodynamique!$T$6:$T$546,MATCH(G454,Aerodynamique!$Y$6:$Y$546,1))</f>
        <v>5.0000000000007649E-2</v>
      </c>
      <c r="I454">
        <f ca="1">INDEX(Aerodynamique!$Z$6:$Z$546,MATCH(G454,Aerodynamique!$Y$6:$Y$546,1))</f>
        <v>1.2404683063788686E-2</v>
      </c>
      <c r="J454">
        <f t="shared" ref="J454:J517" ca="1" si="37">(1/2)*rho*V^2*SRef*I454</f>
        <v>3651.7381835188162</v>
      </c>
      <c r="K454" s="86">
        <f ca="1">INDEX(Aerodynamique!$AC$6:$AC$1006,MATCH(INDEX(Aerodynamique!$W$6:$W$546,MATCH(G454,Aerodynamique!$Y$6:$Y$546,1)),Aerodynamique!$AD$6:$AD$1006,-1))</f>
        <v>-3.3600000000000056</v>
      </c>
      <c r="L454">
        <f ca="1">Montée!$B$19*((E454-E453)/60)*J454/10</f>
        <v>11.675872058969519</v>
      </c>
      <c r="M454">
        <f t="shared" ca="1" si="34"/>
        <v>5732.3242658535482</v>
      </c>
    </row>
    <row r="455" spans="5:13">
      <c r="E455" s="210">
        <f t="shared" si="35"/>
        <v>450</v>
      </c>
      <c r="F455">
        <f t="shared" ref="F455:F518" ca="1" si="38">F454-L454</f>
        <v>8960.8629950437553</v>
      </c>
      <c r="G455">
        <f t="shared" ca="1" si="36"/>
        <v>0.29708221306731503</v>
      </c>
      <c r="H455">
        <f ca="1">INDEX(Aerodynamique!$T$6:$T$546,MATCH(G455,Aerodynamique!$Y$6:$Y$546,1))</f>
        <v>5.0000000000007649E-2</v>
      </c>
      <c r="I455">
        <f ca="1">INDEX(Aerodynamique!$Z$6:$Z$546,MATCH(G455,Aerodynamique!$Y$6:$Y$546,1))</f>
        <v>1.2404683063788686E-2</v>
      </c>
      <c r="J455">
        <f t="shared" ca="1" si="37"/>
        <v>3651.7381835188162</v>
      </c>
      <c r="K455" s="86">
        <f ca="1">INDEX(Aerodynamique!$AC$6:$AC$1006,MATCH(INDEX(Aerodynamique!$W$6:$W$546,MATCH(G455,Aerodynamique!$Y$6:$Y$546,1)),Aerodynamique!$AD$6:$AD$1006,-1))</f>
        <v>-3.3600000000000056</v>
      </c>
      <c r="L455">
        <f ca="1">Montée!$B$19*((E455-E454)/60)*J455/10</f>
        <v>11.675872058969519</v>
      </c>
      <c r="M455">
        <f t="shared" ca="1" si="34"/>
        <v>5744.0001379125179</v>
      </c>
    </row>
    <row r="456" spans="5:13">
      <c r="E456" s="210">
        <f t="shared" si="35"/>
        <v>451</v>
      </c>
      <c r="F456">
        <f t="shared" ca="1" si="38"/>
        <v>8949.1871229847857</v>
      </c>
      <c r="G456">
        <f t="shared" ca="1" si="36"/>
        <v>0.29669511933396725</v>
      </c>
      <c r="H456">
        <f ca="1">INDEX(Aerodynamique!$T$6:$T$546,MATCH(G456,Aerodynamique!$Y$6:$Y$546,1))</f>
        <v>5.0000000000007649E-2</v>
      </c>
      <c r="I456">
        <f ca="1">INDEX(Aerodynamique!$Z$6:$Z$546,MATCH(G456,Aerodynamique!$Y$6:$Y$546,1))</f>
        <v>1.2404683063788686E-2</v>
      </c>
      <c r="J456">
        <f t="shared" ca="1" si="37"/>
        <v>3651.7381835188162</v>
      </c>
      <c r="K456" s="86">
        <f ca="1">INDEX(Aerodynamique!$AC$6:$AC$1006,MATCH(INDEX(Aerodynamique!$W$6:$W$546,MATCH(G456,Aerodynamique!$Y$6:$Y$546,1)),Aerodynamique!$AD$6:$AD$1006,-1))</f>
        <v>-3.3600000000000056</v>
      </c>
      <c r="L456">
        <f ca="1">Montée!$B$19*((E456-E455)/60)*J456/10</f>
        <v>11.675872058969519</v>
      </c>
      <c r="M456">
        <f t="shared" ref="M456:M519" ca="1" si="39">M455+L456</f>
        <v>5755.6760099714875</v>
      </c>
    </row>
    <row r="457" spans="5:13">
      <c r="E457" s="210">
        <f t="shared" si="35"/>
        <v>452</v>
      </c>
      <c r="F457">
        <f t="shared" ca="1" si="38"/>
        <v>8937.5112509258161</v>
      </c>
      <c r="G457">
        <f t="shared" ca="1" si="36"/>
        <v>0.29630802560061947</v>
      </c>
      <c r="H457">
        <f ca="1">INDEX(Aerodynamique!$T$6:$T$546,MATCH(G457,Aerodynamique!$Y$6:$Y$546,1))</f>
        <v>5.0000000000007649E-2</v>
      </c>
      <c r="I457">
        <f ca="1">INDEX(Aerodynamique!$Z$6:$Z$546,MATCH(G457,Aerodynamique!$Y$6:$Y$546,1))</f>
        <v>1.2404683063788686E-2</v>
      </c>
      <c r="J457">
        <f t="shared" ca="1" si="37"/>
        <v>3651.7381835188162</v>
      </c>
      <c r="K457" s="86">
        <f ca="1">INDEX(Aerodynamique!$AC$6:$AC$1006,MATCH(INDEX(Aerodynamique!$W$6:$W$546,MATCH(G457,Aerodynamique!$Y$6:$Y$546,1)),Aerodynamique!$AD$6:$AD$1006,-1))</f>
        <v>-3.3600000000000056</v>
      </c>
      <c r="L457">
        <f ca="1">Montée!$B$19*((E457-E456)/60)*J457/10</f>
        <v>11.675872058969519</v>
      </c>
      <c r="M457">
        <f t="shared" ca="1" si="39"/>
        <v>5767.3518820304571</v>
      </c>
    </row>
    <row r="458" spans="5:13">
      <c r="E458" s="210">
        <f t="shared" si="35"/>
        <v>453</v>
      </c>
      <c r="F458">
        <f t="shared" ca="1" si="38"/>
        <v>8925.8353788668464</v>
      </c>
      <c r="G458">
        <f t="shared" ca="1" si="36"/>
        <v>0.2959209318672717</v>
      </c>
      <c r="H458">
        <f ca="1">INDEX(Aerodynamique!$T$6:$T$546,MATCH(G458,Aerodynamique!$Y$6:$Y$546,1))</f>
        <v>7.6466610821057657E-15</v>
      </c>
      <c r="I458">
        <f ca="1">INDEX(Aerodynamique!$Z$6:$Z$546,MATCH(G458,Aerodynamique!$Y$6:$Y$546,1))</f>
        <v>1.235518357280335E-2</v>
      </c>
      <c r="J458">
        <f t="shared" ca="1" si="37"/>
        <v>3637.1663334871487</v>
      </c>
      <c r="K458" s="86">
        <f ca="1">INDEX(Aerodynamique!$AC$6:$AC$1006,MATCH(INDEX(Aerodynamique!$W$6:$W$546,MATCH(G458,Aerodynamique!$Y$6:$Y$546,1)),Aerodynamique!$AD$6:$AD$1006,-1))</f>
        <v>-3.3200000000000056</v>
      </c>
      <c r="L458">
        <f ca="1">Montée!$B$19*((E458-E457)/60)*J458/10</f>
        <v>11.629280806234009</v>
      </c>
      <c r="M458">
        <f t="shared" ca="1" si="39"/>
        <v>5778.9811628366915</v>
      </c>
    </row>
    <row r="459" spans="5:13">
      <c r="E459" s="210">
        <f t="shared" si="35"/>
        <v>454</v>
      </c>
      <c r="F459">
        <f t="shared" ca="1" si="38"/>
        <v>8914.2060980606129</v>
      </c>
      <c r="G459">
        <f t="shared" ca="1" si="36"/>
        <v>0.29553538278787966</v>
      </c>
      <c r="H459">
        <f ca="1">INDEX(Aerodynamique!$T$6:$T$546,MATCH(G459,Aerodynamique!$Y$6:$Y$546,1))</f>
        <v>7.6466610821057657E-15</v>
      </c>
      <c r="I459">
        <f ca="1">INDEX(Aerodynamique!$Z$6:$Z$546,MATCH(G459,Aerodynamique!$Y$6:$Y$546,1))</f>
        <v>1.235518357280335E-2</v>
      </c>
      <c r="J459">
        <f t="shared" ca="1" si="37"/>
        <v>3637.1663334871487</v>
      </c>
      <c r="K459" s="86">
        <f ca="1">INDEX(Aerodynamique!$AC$6:$AC$1006,MATCH(INDEX(Aerodynamique!$W$6:$W$546,MATCH(G459,Aerodynamique!$Y$6:$Y$546,1)),Aerodynamique!$AD$6:$AD$1006,-1))</f>
        <v>-3.3200000000000056</v>
      </c>
      <c r="L459">
        <f ca="1">Montée!$B$19*((E459-E458)/60)*J459/10</f>
        <v>11.629280806234009</v>
      </c>
      <c r="M459">
        <f t="shared" ca="1" si="39"/>
        <v>5790.6104436429259</v>
      </c>
    </row>
    <row r="460" spans="5:13">
      <c r="E460" s="210">
        <f t="shared" si="35"/>
        <v>455</v>
      </c>
      <c r="F460">
        <f t="shared" ca="1" si="38"/>
        <v>8902.5768172543794</v>
      </c>
      <c r="G460">
        <f t="shared" ca="1" si="36"/>
        <v>0.29514983370848763</v>
      </c>
      <c r="H460">
        <f ca="1">INDEX(Aerodynamique!$T$6:$T$546,MATCH(G460,Aerodynamique!$Y$6:$Y$546,1))</f>
        <v>7.6466610821057657E-15</v>
      </c>
      <c r="I460">
        <f ca="1">INDEX(Aerodynamique!$Z$6:$Z$546,MATCH(G460,Aerodynamique!$Y$6:$Y$546,1))</f>
        <v>1.235518357280335E-2</v>
      </c>
      <c r="J460">
        <f t="shared" ca="1" si="37"/>
        <v>3637.1663334871487</v>
      </c>
      <c r="K460" s="86">
        <f ca="1">INDEX(Aerodynamique!$AC$6:$AC$1006,MATCH(INDEX(Aerodynamique!$W$6:$W$546,MATCH(G460,Aerodynamique!$Y$6:$Y$546,1)),Aerodynamique!$AD$6:$AD$1006,-1))</f>
        <v>-3.3200000000000056</v>
      </c>
      <c r="L460">
        <f ca="1">Montée!$B$19*((E460-E459)/60)*J460/10</f>
        <v>11.629280806234009</v>
      </c>
      <c r="M460">
        <f t="shared" ca="1" si="39"/>
        <v>5802.2397244491603</v>
      </c>
    </row>
    <row r="461" spans="5:13">
      <c r="E461" s="210">
        <f t="shared" si="35"/>
        <v>456</v>
      </c>
      <c r="F461">
        <f t="shared" ca="1" si="38"/>
        <v>8890.9475364481459</v>
      </c>
      <c r="G461">
        <f t="shared" ca="1" si="36"/>
        <v>0.29476428462909565</v>
      </c>
      <c r="H461">
        <f ca="1">INDEX(Aerodynamique!$T$6:$T$546,MATCH(G461,Aerodynamique!$Y$6:$Y$546,1))</f>
        <v>7.6466610821057657E-15</v>
      </c>
      <c r="I461">
        <f ca="1">INDEX(Aerodynamique!$Z$6:$Z$546,MATCH(G461,Aerodynamique!$Y$6:$Y$546,1))</f>
        <v>1.235518357280335E-2</v>
      </c>
      <c r="J461">
        <f t="shared" ca="1" si="37"/>
        <v>3637.1663334871487</v>
      </c>
      <c r="K461" s="86">
        <f ca="1">INDEX(Aerodynamique!$AC$6:$AC$1006,MATCH(INDEX(Aerodynamique!$W$6:$W$546,MATCH(G461,Aerodynamique!$Y$6:$Y$546,1)),Aerodynamique!$AD$6:$AD$1006,-1))</f>
        <v>-3.3200000000000056</v>
      </c>
      <c r="L461">
        <f ca="1">Montée!$B$19*((E461-E460)/60)*J461/10</f>
        <v>11.629280806234009</v>
      </c>
      <c r="M461">
        <f t="shared" ca="1" si="39"/>
        <v>5813.8690052553948</v>
      </c>
    </row>
    <row r="462" spans="5:13">
      <c r="E462" s="210">
        <f t="shared" si="35"/>
        <v>457</v>
      </c>
      <c r="F462">
        <f t="shared" ca="1" si="38"/>
        <v>8879.3182556419124</v>
      </c>
      <c r="G462">
        <f t="shared" ca="1" si="36"/>
        <v>0.29437873554970362</v>
      </c>
      <c r="H462">
        <f ca="1">INDEX(Aerodynamique!$T$6:$T$546,MATCH(G462,Aerodynamique!$Y$6:$Y$546,1))</f>
        <v>7.6466610821057657E-15</v>
      </c>
      <c r="I462">
        <f ca="1">INDEX(Aerodynamique!$Z$6:$Z$546,MATCH(G462,Aerodynamique!$Y$6:$Y$546,1))</f>
        <v>1.235518357280335E-2</v>
      </c>
      <c r="J462">
        <f t="shared" ca="1" si="37"/>
        <v>3637.1663334871487</v>
      </c>
      <c r="K462" s="86">
        <f ca="1">INDEX(Aerodynamique!$AC$6:$AC$1006,MATCH(INDEX(Aerodynamique!$W$6:$W$546,MATCH(G462,Aerodynamique!$Y$6:$Y$546,1)),Aerodynamique!$AD$6:$AD$1006,-1))</f>
        <v>-3.3200000000000056</v>
      </c>
      <c r="L462">
        <f ca="1">Montée!$B$19*((E462-E461)/60)*J462/10</f>
        <v>11.629280806234009</v>
      </c>
      <c r="M462">
        <f t="shared" ca="1" si="39"/>
        <v>5825.4982860616292</v>
      </c>
    </row>
    <row r="463" spans="5:13">
      <c r="E463" s="210">
        <f t="shared" si="35"/>
        <v>458</v>
      </c>
      <c r="F463">
        <f t="shared" ca="1" si="38"/>
        <v>8867.6889748356789</v>
      </c>
      <c r="G463">
        <f t="shared" ca="1" si="36"/>
        <v>0.29399318647031158</v>
      </c>
      <c r="H463">
        <f ca="1">INDEX(Aerodynamique!$T$6:$T$546,MATCH(G463,Aerodynamique!$Y$6:$Y$546,1))</f>
        <v>7.6466610821057657E-15</v>
      </c>
      <c r="I463">
        <f ca="1">INDEX(Aerodynamique!$Z$6:$Z$546,MATCH(G463,Aerodynamique!$Y$6:$Y$546,1))</f>
        <v>1.235518357280335E-2</v>
      </c>
      <c r="J463">
        <f t="shared" ca="1" si="37"/>
        <v>3637.1663334871487</v>
      </c>
      <c r="K463" s="86">
        <f ca="1">INDEX(Aerodynamique!$AC$6:$AC$1006,MATCH(INDEX(Aerodynamique!$W$6:$W$546,MATCH(G463,Aerodynamique!$Y$6:$Y$546,1)),Aerodynamique!$AD$6:$AD$1006,-1))</f>
        <v>-3.3200000000000056</v>
      </c>
      <c r="L463">
        <f ca="1">Montée!$B$19*((E463-E462)/60)*J463/10</f>
        <v>11.629280806234009</v>
      </c>
      <c r="M463">
        <f t="shared" ca="1" si="39"/>
        <v>5837.1275668678636</v>
      </c>
    </row>
    <row r="464" spans="5:13">
      <c r="E464" s="210">
        <f t="shared" si="35"/>
        <v>459</v>
      </c>
      <c r="F464">
        <f t="shared" ca="1" si="38"/>
        <v>8856.0596940294454</v>
      </c>
      <c r="G464">
        <f t="shared" ca="1" si="36"/>
        <v>0.29360763739091961</v>
      </c>
      <c r="H464">
        <f ca="1">INDEX(Aerodynamique!$T$6:$T$546,MATCH(G464,Aerodynamique!$Y$6:$Y$546,1))</f>
        <v>7.6466610821057657E-15</v>
      </c>
      <c r="I464">
        <f ca="1">INDEX(Aerodynamique!$Z$6:$Z$546,MATCH(G464,Aerodynamique!$Y$6:$Y$546,1))</f>
        <v>1.235518357280335E-2</v>
      </c>
      <c r="J464">
        <f t="shared" ca="1" si="37"/>
        <v>3637.1663334871487</v>
      </c>
      <c r="K464" s="86">
        <f ca="1">INDEX(Aerodynamique!$AC$6:$AC$1006,MATCH(INDEX(Aerodynamique!$W$6:$W$546,MATCH(G464,Aerodynamique!$Y$6:$Y$546,1)),Aerodynamique!$AD$6:$AD$1006,-1))</f>
        <v>-3.3200000000000056</v>
      </c>
      <c r="L464">
        <f ca="1">Montée!$B$19*((E464-E463)/60)*J464/10</f>
        <v>11.629280806234009</v>
      </c>
      <c r="M464">
        <f t="shared" ca="1" si="39"/>
        <v>5848.756847674098</v>
      </c>
    </row>
    <row r="465" spans="5:13">
      <c r="E465" s="210">
        <f t="shared" si="35"/>
        <v>460</v>
      </c>
      <c r="F465">
        <f t="shared" ca="1" si="38"/>
        <v>8844.4304132232119</v>
      </c>
      <c r="G465">
        <f t="shared" ca="1" si="36"/>
        <v>0.29322208831152757</v>
      </c>
      <c r="H465">
        <f ca="1">INDEX(Aerodynamique!$T$6:$T$546,MATCH(G465,Aerodynamique!$Y$6:$Y$546,1))</f>
        <v>7.6466610821057657E-15</v>
      </c>
      <c r="I465">
        <f ca="1">INDEX(Aerodynamique!$Z$6:$Z$546,MATCH(G465,Aerodynamique!$Y$6:$Y$546,1))</f>
        <v>1.235518357280335E-2</v>
      </c>
      <c r="J465">
        <f t="shared" ca="1" si="37"/>
        <v>3637.1663334871487</v>
      </c>
      <c r="K465" s="86">
        <f ca="1">INDEX(Aerodynamique!$AC$6:$AC$1006,MATCH(INDEX(Aerodynamique!$W$6:$W$546,MATCH(G465,Aerodynamique!$Y$6:$Y$546,1)),Aerodynamique!$AD$6:$AD$1006,-1))</f>
        <v>-3.3200000000000056</v>
      </c>
      <c r="L465">
        <f ca="1">Montée!$B$19*((E465-E464)/60)*J465/10</f>
        <v>11.629280806234009</v>
      </c>
      <c r="M465">
        <f t="shared" ca="1" si="39"/>
        <v>5860.3861284803324</v>
      </c>
    </row>
    <row r="466" spans="5:13">
      <c r="E466" s="210">
        <f t="shared" si="35"/>
        <v>461</v>
      </c>
      <c r="F466">
        <f t="shared" ca="1" si="38"/>
        <v>8832.8011324169784</v>
      </c>
      <c r="G466">
        <f t="shared" ca="1" si="36"/>
        <v>0.2928365392321356</v>
      </c>
      <c r="H466">
        <f ca="1">INDEX(Aerodynamique!$T$6:$T$546,MATCH(G466,Aerodynamique!$Y$6:$Y$546,1))</f>
        <v>7.6466610821057657E-15</v>
      </c>
      <c r="I466">
        <f ca="1">INDEX(Aerodynamique!$Z$6:$Z$546,MATCH(G466,Aerodynamique!$Y$6:$Y$546,1))</f>
        <v>1.235518357280335E-2</v>
      </c>
      <c r="J466">
        <f t="shared" ca="1" si="37"/>
        <v>3637.1663334871487</v>
      </c>
      <c r="K466" s="86">
        <f ca="1">INDEX(Aerodynamique!$AC$6:$AC$1006,MATCH(INDEX(Aerodynamique!$W$6:$W$546,MATCH(G466,Aerodynamique!$Y$6:$Y$546,1)),Aerodynamique!$AD$6:$AD$1006,-1))</f>
        <v>-3.3200000000000056</v>
      </c>
      <c r="L466">
        <f ca="1">Montée!$B$19*((E466-E465)/60)*J466/10</f>
        <v>11.629280806234009</v>
      </c>
      <c r="M466">
        <f t="shared" ca="1" si="39"/>
        <v>5872.0154092865669</v>
      </c>
    </row>
    <row r="467" spans="5:13">
      <c r="E467" s="210">
        <f t="shared" si="35"/>
        <v>462</v>
      </c>
      <c r="F467">
        <f t="shared" ca="1" si="38"/>
        <v>8821.1718516107449</v>
      </c>
      <c r="G467">
        <f t="shared" ca="1" si="36"/>
        <v>0.29245099015274351</v>
      </c>
      <c r="H467">
        <f ca="1">INDEX(Aerodynamique!$T$6:$T$546,MATCH(G467,Aerodynamique!$Y$6:$Y$546,1))</f>
        <v>7.6466610821057657E-15</v>
      </c>
      <c r="I467">
        <f ca="1">INDEX(Aerodynamique!$Z$6:$Z$546,MATCH(G467,Aerodynamique!$Y$6:$Y$546,1))</f>
        <v>1.235518357280335E-2</v>
      </c>
      <c r="J467">
        <f t="shared" ca="1" si="37"/>
        <v>3637.1663334871487</v>
      </c>
      <c r="K467" s="86">
        <f ca="1">INDEX(Aerodynamique!$AC$6:$AC$1006,MATCH(INDEX(Aerodynamique!$W$6:$W$546,MATCH(G467,Aerodynamique!$Y$6:$Y$546,1)),Aerodynamique!$AD$6:$AD$1006,-1))</f>
        <v>-3.3200000000000056</v>
      </c>
      <c r="L467">
        <f ca="1">Montée!$B$19*((E467-E466)/60)*J467/10</f>
        <v>11.629280806234009</v>
      </c>
      <c r="M467">
        <f t="shared" ca="1" si="39"/>
        <v>5883.6446900928013</v>
      </c>
    </row>
    <row r="468" spans="5:13">
      <c r="E468" s="210">
        <f t="shared" si="35"/>
        <v>463</v>
      </c>
      <c r="F468">
        <f t="shared" ca="1" si="38"/>
        <v>8809.5425708045113</v>
      </c>
      <c r="G468">
        <f t="shared" ca="1" si="36"/>
        <v>0.29206544107335153</v>
      </c>
      <c r="H468">
        <f ca="1">INDEX(Aerodynamique!$T$6:$T$546,MATCH(G468,Aerodynamique!$Y$6:$Y$546,1))</f>
        <v>7.6466610821057657E-15</v>
      </c>
      <c r="I468">
        <f ca="1">INDEX(Aerodynamique!$Z$6:$Z$546,MATCH(G468,Aerodynamique!$Y$6:$Y$546,1))</f>
        <v>1.235518357280335E-2</v>
      </c>
      <c r="J468">
        <f t="shared" ca="1" si="37"/>
        <v>3637.1663334871487</v>
      </c>
      <c r="K468" s="86">
        <f ca="1">INDEX(Aerodynamique!$AC$6:$AC$1006,MATCH(INDEX(Aerodynamique!$W$6:$W$546,MATCH(G468,Aerodynamique!$Y$6:$Y$546,1)),Aerodynamique!$AD$6:$AD$1006,-1))</f>
        <v>-3.3200000000000056</v>
      </c>
      <c r="L468">
        <f ca="1">Montée!$B$19*((E468-E467)/60)*J468/10</f>
        <v>11.629280806234009</v>
      </c>
      <c r="M468">
        <f t="shared" ca="1" si="39"/>
        <v>5895.2739708990357</v>
      </c>
    </row>
    <row r="469" spans="5:13">
      <c r="E469" s="210">
        <f t="shared" si="35"/>
        <v>464</v>
      </c>
      <c r="F469">
        <f t="shared" ca="1" si="38"/>
        <v>8797.9132899982778</v>
      </c>
      <c r="G469">
        <f t="shared" ca="1" si="36"/>
        <v>0.29167989199395955</v>
      </c>
      <c r="H469">
        <f ca="1">INDEX(Aerodynamique!$T$6:$T$546,MATCH(G469,Aerodynamique!$Y$6:$Y$546,1))</f>
        <v>7.6466610821057657E-15</v>
      </c>
      <c r="I469">
        <f ca="1">INDEX(Aerodynamique!$Z$6:$Z$546,MATCH(G469,Aerodynamique!$Y$6:$Y$546,1))</f>
        <v>1.235518357280335E-2</v>
      </c>
      <c r="J469">
        <f t="shared" ca="1" si="37"/>
        <v>3637.1663334871487</v>
      </c>
      <c r="K469" s="86">
        <f ca="1">INDEX(Aerodynamique!$AC$6:$AC$1006,MATCH(INDEX(Aerodynamique!$W$6:$W$546,MATCH(G469,Aerodynamique!$Y$6:$Y$546,1)),Aerodynamique!$AD$6:$AD$1006,-1))</f>
        <v>-3.3200000000000056</v>
      </c>
      <c r="L469">
        <f ca="1">Montée!$B$19*((E469-E468)/60)*J469/10</f>
        <v>11.629280806234009</v>
      </c>
      <c r="M469">
        <f t="shared" ca="1" si="39"/>
        <v>5906.9032517052701</v>
      </c>
    </row>
    <row r="470" spans="5:13">
      <c r="E470" s="210">
        <f t="shared" si="35"/>
        <v>465</v>
      </c>
      <c r="F470">
        <f t="shared" ca="1" si="38"/>
        <v>8786.2840091920443</v>
      </c>
      <c r="G470">
        <f t="shared" ca="1" si="36"/>
        <v>0.29129434291456752</v>
      </c>
      <c r="H470">
        <f ca="1">INDEX(Aerodynamique!$T$6:$T$546,MATCH(G470,Aerodynamique!$Y$6:$Y$546,1))</f>
        <v>7.6466610821057657E-15</v>
      </c>
      <c r="I470">
        <f ca="1">INDEX(Aerodynamique!$Z$6:$Z$546,MATCH(G470,Aerodynamique!$Y$6:$Y$546,1))</f>
        <v>1.235518357280335E-2</v>
      </c>
      <c r="J470">
        <f t="shared" ca="1" si="37"/>
        <v>3637.1663334871487</v>
      </c>
      <c r="K470" s="86">
        <f ca="1">INDEX(Aerodynamique!$AC$6:$AC$1006,MATCH(INDEX(Aerodynamique!$W$6:$W$546,MATCH(G470,Aerodynamique!$Y$6:$Y$546,1)),Aerodynamique!$AD$6:$AD$1006,-1))</f>
        <v>-3.3200000000000056</v>
      </c>
      <c r="L470">
        <f ca="1">Montée!$B$19*((E470-E469)/60)*J470/10</f>
        <v>11.629280806234009</v>
      </c>
      <c r="M470">
        <f t="shared" ca="1" si="39"/>
        <v>5918.5325325115045</v>
      </c>
    </row>
    <row r="471" spans="5:13">
      <c r="E471" s="210">
        <f t="shared" si="35"/>
        <v>466</v>
      </c>
      <c r="F471">
        <f t="shared" ca="1" si="38"/>
        <v>8774.6547283858108</v>
      </c>
      <c r="G471">
        <f t="shared" ca="1" si="36"/>
        <v>0.29090879383517548</v>
      </c>
      <c r="H471">
        <f ca="1">INDEX(Aerodynamique!$T$6:$T$546,MATCH(G471,Aerodynamique!$Y$6:$Y$546,1))</f>
        <v>-4.9999999999992356E-2</v>
      </c>
      <c r="I471">
        <f ca="1">INDEX(Aerodynamique!$Z$6:$Z$546,MATCH(G471,Aerodynamique!$Y$6:$Y$546,1))</f>
        <v>1.2306751891830175E-2</v>
      </c>
      <c r="J471">
        <f t="shared" ca="1" si="37"/>
        <v>3622.90882946288</v>
      </c>
      <c r="K471" s="86">
        <f ca="1">INDEX(Aerodynamique!$AC$6:$AC$1006,MATCH(INDEX(Aerodynamique!$W$6:$W$546,MATCH(G471,Aerodynamique!$Y$6:$Y$546,1)),Aerodynamique!$AD$6:$AD$1006,-1))</f>
        <v>-3.2800000000000056</v>
      </c>
      <c r="L471">
        <f ca="1">Montée!$B$19*((E471-E470)/60)*J471/10</f>
        <v>11.583694626584295</v>
      </c>
      <c r="M471">
        <f t="shared" ca="1" si="39"/>
        <v>5930.116227138089</v>
      </c>
    </row>
    <row r="472" spans="5:13">
      <c r="E472" s="210">
        <f t="shared" si="35"/>
        <v>467</v>
      </c>
      <c r="F472">
        <f t="shared" ca="1" si="38"/>
        <v>8763.0710337592263</v>
      </c>
      <c r="G472">
        <f t="shared" ca="1" si="36"/>
        <v>0.29052475608824585</v>
      </c>
      <c r="H472">
        <f ca="1">INDEX(Aerodynamique!$T$6:$T$546,MATCH(G472,Aerodynamique!$Y$6:$Y$546,1))</f>
        <v>-4.9999999999992356E-2</v>
      </c>
      <c r="I472">
        <f ca="1">INDEX(Aerodynamique!$Z$6:$Z$546,MATCH(G472,Aerodynamique!$Y$6:$Y$546,1))</f>
        <v>1.2306751891830175E-2</v>
      </c>
      <c r="J472">
        <f t="shared" ca="1" si="37"/>
        <v>3622.90882946288</v>
      </c>
      <c r="K472" s="86">
        <f ca="1">INDEX(Aerodynamique!$AC$6:$AC$1006,MATCH(INDEX(Aerodynamique!$W$6:$W$546,MATCH(G472,Aerodynamique!$Y$6:$Y$546,1)),Aerodynamique!$AD$6:$AD$1006,-1))</f>
        <v>-3.2800000000000056</v>
      </c>
      <c r="L472">
        <f ca="1">Montée!$B$19*((E472-E471)/60)*J472/10</f>
        <v>11.583694626584295</v>
      </c>
      <c r="M472">
        <f t="shared" ca="1" si="39"/>
        <v>5941.6999217646735</v>
      </c>
    </row>
    <row r="473" spans="5:13">
      <c r="E473" s="210">
        <f t="shared" si="35"/>
        <v>468</v>
      </c>
      <c r="F473">
        <f t="shared" ca="1" si="38"/>
        <v>8751.4873391326419</v>
      </c>
      <c r="G473">
        <f t="shared" ca="1" si="36"/>
        <v>0.29014071834131622</v>
      </c>
      <c r="H473">
        <f ca="1">INDEX(Aerodynamique!$T$6:$T$546,MATCH(G473,Aerodynamique!$Y$6:$Y$546,1))</f>
        <v>-4.9999999999992356E-2</v>
      </c>
      <c r="I473">
        <f ca="1">INDEX(Aerodynamique!$Z$6:$Z$546,MATCH(G473,Aerodynamique!$Y$6:$Y$546,1))</f>
        <v>1.2306751891830175E-2</v>
      </c>
      <c r="J473">
        <f t="shared" ca="1" si="37"/>
        <v>3622.90882946288</v>
      </c>
      <c r="K473" s="86">
        <f ca="1">INDEX(Aerodynamique!$AC$6:$AC$1006,MATCH(INDEX(Aerodynamique!$W$6:$W$546,MATCH(G473,Aerodynamique!$Y$6:$Y$546,1)),Aerodynamique!$AD$6:$AD$1006,-1))</f>
        <v>-3.2800000000000056</v>
      </c>
      <c r="L473">
        <f ca="1">Montée!$B$19*((E473-E472)/60)*J473/10</f>
        <v>11.583694626584295</v>
      </c>
      <c r="M473">
        <f t="shared" ca="1" si="39"/>
        <v>5953.283616391258</v>
      </c>
    </row>
    <row r="474" spans="5:13">
      <c r="E474" s="210">
        <f t="shared" si="35"/>
        <v>469</v>
      </c>
      <c r="F474">
        <f t="shared" ca="1" si="38"/>
        <v>8739.9036445060574</v>
      </c>
      <c r="G474">
        <f t="shared" ca="1" si="36"/>
        <v>0.28975668059438658</v>
      </c>
      <c r="H474">
        <f ca="1">INDEX(Aerodynamique!$T$6:$T$546,MATCH(G474,Aerodynamique!$Y$6:$Y$546,1))</f>
        <v>-4.9999999999992356E-2</v>
      </c>
      <c r="I474">
        <f ca="1">INDEX(Aerodynamique!$Z$6:$Z$546,MATCH(G474,Aerodynamique!$Y$6:$Y$546,1))</f>
        <v>1.2306751891830175E-2</v>
      </c>
      <c r="J474">
        <f t="shared" ca="1" si="37"/>
        <v>3622.90882946288</v>
      </c>
      <c r="K474" s="86">
        <f ca="1">INDEX(Aerodynamique!$AC$6:$AC$1006,MATCH(INDEX(Aerodynamique!$W$6:$W$546,MATCH(G474,Aerodynamique!$Y$6:$Y$546,1)),Aerodynamique!$AD$6:$AD$1006,-1))</f>
        <v>-3.2800000000000056</v>
      </c>
      <c r="L474">
        <f ca="1">Montée!$B$19*((E474-E473)/60)*J474/10</f>
        <v>11.583694626584295</v>
      </c>
      <c r="M474">
        <f t="shared" ca="1" si="39"/>
        <v>5964.8673110178424</v>
      </c>
    </row>
    <row r="475" spans="5:13">
      <c r="E475" s="210">
        <f t="shared" si="35"/>
        <v>470</v>
      </c>
      <c r="F475">
        <f t="shared" ca="1" si="38"/>
        <v>8728.3199498794729</v>
      </c>
      <c r="G475">
        <f t="shared" ca="1" si="36"/>
        <v>0.28937264284745695</v>
      </c>
      <c r="H475">
        <f ca="1">INDEX(Aerodynamique!$T$6:$T$546,MATCH(G475,Aerodynamique!$Y$6:$Y$546,1))</f>
        <v>-4.9999999999992356E-2</v>
      </c>
      <c r="I475">
        <f ca="1">INDEX(Aerodynamique!$Z$6:$Z$546,MATCH(G475,Aerodynamique!$Y$6:$Y$546,1))</f>
        <v>1.2306751891830175E-2</v>
      </c>
      <c r="J475">
        <f t="shared" ca="1" si="37"/>
        <v>3622.90882946288</v>
      </c>
      <c r="K475" s="86">
        <f ca="1">INDEX(Aerodynamique!$AC$6:$AC$1006,MATCH(INDEX(Aerodynamique!$W$6:$W$546,MATCH(G475,Aerodynamique!$Y$6:$Y$546,1)),Aerodynamique!$AD$6:$AD$1006,-1))</f>
        <v>-3.2800000000000056</v>
      </c>
      <c r="L475">
        <f ca="1">Montée!$B$19*((E475-E474)/60)*J475/10</f>
        <v>11.583694626584295</v>
      </c>
      <c r="M475">
        <f t="shared" ca="1" si="39"/>
        <v>5976.4510056444269</v>
      </c>
    </row>
    <row r="476" spans="5:13">
      <c r="E476" s="210">
        <f t="shared" si="35"/>
        <v>471</v>
      </c>
      <c r="F476">
        <f t="shared" ca="1" si="38"/>
        <v>8716.7362552528884</v>
      </c>
      <c r="G476">
        <f t="shared" ca="1" si="36"/>
        <v>0.28898860510052737</v>
      </c>
      <c r="H476">
        <f ca="1">INDEX(Aerodynamique!$T$6:$T$546,MATCH(G476,Aerodynamique!$Y$6:$Y$546,1))</f>
        <v>-4.9999999999992356E-2</v>
      </c>
      <c r="I476">
        <f ca="1">INDEX(Aerodynamique!$Z$6:$Z$546,MATCH(G476,Aerodynamique!$Y$6:$Y$546,1))</f>
        <v>1.2306751891830175E-2</v>
      </c>
      <c r="J476">
        <f t="shared" ca="1" si="37"/>
        <v>3622.90882946288</v>
      </c>
      <c r="K476" s="86">
        <f ca="1">INDEX(Aerodynamique!$AC$6:$AC$1006,MATCH(INDEX(Aerodynamique!$W$6:$W$546,MATCH(G476,Aerodynamique!$Y$6:$Y$546,1)),Aerodynamique!$AD$6:$AD$1006,-1))</f>
        <v>-3.2800000000000056</v>
      </c>
      <c r="L476">
        <f ca="1">Montée!$B$19*((E476-E475)/60)*J476/10</f>
        <v>11.583694626584295</v>
      </c>
      <c r="M476">
        <f t="shared" ca="1" si="39"/>
        <v>5988.0347002710114</v>
      </c>
    </row>
    <row r="477" spans="5:13">
      <c r="E477" s="210">
        <f t="shared" si="35"/>
        <v>472</v>
      </c>
      <c r="F477">
        <f t="shared" ca="1" si="38"/>
        <v>8705.152560626304</v>
      </c>
      <c r="G477">
        <f t="shared" ca="1" si="36"/>
        <v>0.28860456735359774</v>
      </c>
      <c r="H477">
        <f ca="1">INDEX(Aerodynamique!$T$6:$T$546,MATCH(G477,Aerodynamique!$Y$6:$Y$546,1))</f>
        <v>-4.9999999999992356E-2</v>
      </c>
      <c r="I477">
        <f ca="1">INDEX(Aerodynamique!$Z$6:$Z$546,MATCH(G477,Aerodynamique!$Y$6:$Y$546,1))</f>
        <v>1.2306751891830175E-2</v>
      </c>
      <c r="J477">
        <f t="shared" ca="1" si="37"/>
        <v>3622.90882946288</v>
      </c>
      <c r="K477" s="86">
        <f ca="1">INDEX(Aerodynamique!$AC$6:$AC$1006,MATCH(INDEX(Aerodynamique!$W$6:$W$546,MATCH(G477,Aerodynamique!$Y$6:$Y$546,1)),Aerodynamique!$AD$6:$AD$1006,-1))</f>
        <v>-3.2800000000000056</v>
      </c>
      <c r="L477">
        <f ca="1">Montée!$B$19*((E477-E476)/60)*J477/10</f>
        <v>11.583694626584295</v>
      </c>
      <c r="M477">
        <f t="shared" ca="1" si="39"/>
        <v>5999.6183948975959</v>
      </c>
    </row>
    <row r="478" spans="5:13">
      <c r="E478" s="210">
        <f t="shared" si="35"/>
        <v>473</v>
      </c>
      <c r="F478">
        <f t="shared" ca="1" si="38"/>
        <v>8693.5688659997195</v>
      </c>
      <c r="G478">
        <f t="shared" ca="1" si="36"/>
        <v>0.28822052960666805</v>
      </c>
      <c r="H478">
        <f ca="1">INDEX(Aerodynamique!$T$6:$T$546,MATCH(G478,Aerodynamique!$Y$6:$Y$546,1))</f>
        <v>-4.9999999999992356E-2</v>
      </c>
      <c r="I478">
        <f ca="1">INDEX(Aerodynamique!$Z$6:$Z$546,MATCH(G478,Aerodynamique!$Y$6:$Y$546,1))</f>
        <v>1.2306751891830175E-2</v>
      </c>
      <c r="J478">
        <f t="shared" ca="1" si="37"/>
        <v>3622.90882946288</v>
      </c>
      <c r="K478" s="86">
        <f ca="1">INDEX(Aerodynamique!$AC$6:$AC$1006,MATCH(INDEX(Aerodynamique!$W$6:$W$546,MATCH(G478,Aerodynamique!$Y$6:$Y$546,1)),Aerodynamique!$AD$6:$AD$1006,-1))</f>
        <v>-3.2800000000000056</v>
      </c>
      <c r="L478">
        <f ca="1">Montée!$B$19*((E478-E477)/60)*J478/10</f>
        <v>11.583694626584295</v>
      </c>
      <c r="M478">
        <f t="shared" ca="1" si="39"/>
        <v>6011.2020895241803</v>
      </c>
    </row>
    <row r="479" spans="5:13">
      <c r="E479" s="210">
        <f t="shared" si="35"/>
        <v>474</v>
      </c>
      <c r="F479">
        <f t="shared" ca="1" si="38"/>
        <v>8681.985171373135</v>
      </c>
      <c r="G479">
        <f t="shared" ca="1" si="36"/>
        <v>0.28783649185973842</v>
      </c>
      <c r="H479">
        <f ca="1">INDEX(Aerodynamique!$T$6:$T$546,MATCH(G479,Aerodynamique!$Y$6:$Y$546,1))</f>
        <v>-4.9999999999992356E-2</v>
      </c>
      <c r="I479">
        <f ca="1">INDEX(Aerodynamique!$Z$6:$Z$546,MATCH(G479,Aerodynamique!$Y$6:$Y$546,1))</f>
        <v>1.2306751891830175E-2</v>
      </c>
      <c r="J479">
        <f t="shared" ca="1" si="37"/>
        <v>3622.90882946288</v>
      </c>
      <c r="K479" s="86">
        <f ca="1">INDEX(Aerodynamique!$AC$6:$AC$1006,MATCH(INDEX(Aerodynamique!$W$6:$W$546,MATCH(G479,Aerodynamique!$Y$6:$Y$546,1)),Aerodynamique!$AD$6:$AD$1006,-1))</f>
        <v>-3.2800000000000056</v>
      </c>
      <c r="L479">
        <f ca="1">Montée!$B$19*((E479-E478)/60)*J479/10</f>
        <v>11.583694626584295</v>
      </c>
      <c r="M479">
        <f t="shared" ca="1" si="39"/>
        <v>6022.7857841507648</v>
      </c>
    </row>
    <row r="480" spans="5:13">
      <c r="E480" s="210">
        <f t="shared" si="35"/>
        <v>475</v>
      </c>
      <c r="F480">
        <f t="shared" ca="1" si="38"/>
        <v>8670.4014767465505</v>
      </c>
      <c r="G480">
        <f t="shared" ca="1" si="36"/>
        <v>0.28745245411280884</v>
      </c>
      <c r="H480">
        <f ca="1">INDEX(Aerodynamique!$T$6:$T$546,MATCH(G480,Aerodynamique!$Y$6:$Y$546,1))</f>
        <v>-4.9999999999992356E-2</v>
      </c>
      <c r="I480">
        <f ca="1">INDEX(Aerodynamique!$Z$6:$Z$546,MATCH(G480,Aerodynamique!$Y$6:$Y$546,1))</f>
        <v>1.2306751891830175E-2</v>
      </c>
      <c r="J480">
        <f t="shared" ca="1" si="37"/>
        <v>3622.90882946288</v>
      </c>
      <c r="K480" s="86">
        <f ca="1">INDEX(Aerodynamique!$AC$6:$AC$1006,MATCH(INDEX(Aerodynamique!$W$6:$W$546,MATCH(G480,Aerodynamique!$Y$6:$Y$546,1)),Aerodynamique!$AD$6:$AD$1006,-1))</f>
        <v>-3.2800000000000056</v>
      </c>
      <c r="L480">
        <f ca="1">Montée!$B$19*((E480-E479)/60)*J480/10</f>
        <v>11.583694626584295</v>
      </c>
      <c r="M480">
        <f t="shared" ca="1" si="39"/>
        <v>6034.3694787773493</v>
      </c>
    </row>
    <row r="481" spans="5:13">
      <c r="E481" s="210">
        <f t="shared" si="35"/>
        <v>476</v>
      </c>
      <c r="F481">
        <f t="shared" ca="1" si="38"/>
        <v>8658.8177821199661</v>
      </c>
      <c r="G481">
        <f t="shared" ca="1" si="36"/>
        <v>0.28706841636587921</v>
      </c>
      <c r="H481">
        <f ca="1">INDEX(Aerodynamique!$T$6:$T$546,MATCH(G481,Aerodynamique!$Y$6:$Y$546,1))</f>
        <v>-4.9999999999992356E-2</v>
      </c>
      <c r="I481">
        <f ca="1">INDEX(Aerodynamique!$Z$6:$Z$546,MATCH(G481,Aerodynamique!$Y$6:$Y$546,1))</f>
        <v>1.2306751891830175E-2</v>
      </c>
      <c r="J481">
        <f t="shared" ca="1" si="37"/>
        <v>3622.90882946288</v>
      </c>
      <c r="K481" s="86">
        <f ca="1">INDEX(Aerodynamique!$AC$6:$AC$1006,MATCH(INDEX(Aerodynamique!$W$6:$W$546,MATCH(G481,Aerodynamique!$Y$6:$Y$546,1)),Aerodynamique!$AD$6:$AD$1006,-1))</f>
        <v>-3.2800000000000056</v>
      </c>
      <c r="L481">
        <f ca="1">Montée!$B$19*((E481-E480)/60)*J481/10</f>
        <v>11.583694626584295</v>
      </c>
      <c r="M481">
        <f t="shared" ca="1" si="39"/>
        <v>6045.9531734039338</v>
      </c>
    </row>
    <row r="482" spans="5:13">
      <c r="E482" s="210">
        <f t="shared" si="35"/>
        <v>477</v>
      </c>
      <c r="F482">
        <f t="shared" ca="1" si="38"/>
        <v>8647.2340874933816</v>
      </c>
      <c r="G482">
        <f t="shared" ca="1" si="36"/>
        <v>0.28668437861894958</v>
      </c>
      <c r="H482">
        <f ca="1">INDEX(Aerodynamique!$T$6:$T$546,MATCH(G482,Aerodynamique!$Y$6:$Y$546,1))</f>
        <v>-4.9999999999992356E-2</v>
      </c>
      <c r="I482">
        <f ca="1">INDEX(Aerodynamique!$Z$6:$Z$546,MATCH(G482,Aerodynamique!$Y$6:$Y$546,1))</f>
        <v>1.2306751891830175E-2</v>
      </c>
      <c r="J482">
        <f t="shared" ca="1" si="37"/>
        <v>3622.90882946288</v>
      </c>
      <c r="K482" s="86">
        <f ca="1">INDEX(Aerodynamique!$AC$6:$AC$1006,MATCH(INDEX(Aerodynamique!$W$6:$W$546,MATCH(G482,Aerodynamique!$Y$6:$Y$546,1)),Aerodynamique!$AD$6:$AD$1006,-1))</f>
        <v>-3.2800000000000056</v>
      </c>
      <c r="L482">
        <f ca="1">Montée!$B$19*((E482-E481)/60)*J482/10</f>
        <v>11.583694626584295</v>
      </c>
      <c r="M482">
        <f t="shared" ca="1" si="39"/>
        <v>6057.5368680305182</v>
      </c>
    </row>
    <row r="483" spans="5:13">
      <c r="E483" s="210">
        <f t="shared" si="35"/>
        <v>478</v>
      </c>
      <c r="F483">
        <f t="shared" ca="1" si="38"/>
        <v>8635.6503928667971</v>
      </c>
      <c r="G483">
        <f t="shared" ca="1" si="36"/>
        <v>0.28630034087202</v>
      </c>
      <c r="H483">
        <f ca="1">INDEX(Aerodynamique!$T$6:$T$546,MATCH(G483,Aerodynamique!$Y$6:$Y$546,1))</f>
        <v>-4.9999999999992356E-2</v>
      </c>
      <c r="I483">
        <f ca="1">INDEX(Aerodynamique!$Z$6:$Z$546,MATCH(G483,Aerodynamique!$Y$6:$Y$546,1))</f>
        <v>1.2306751891830175E-2</v>
      </c>
      <c r="J483">
        <f t="shared" ca="1" si="37"/>
        <v>3622.90882946288</v>
      </c>
      <c r="K483" s="86">
        <f ca="1">INDEX(Aerodynamique!$AC$6:$AC$1006,MATCH(INDEX(Aerodynamique!$W$6:$W$546,MATCH(G483,Aerodynamique!$Y$6:$Y$546,1)),Aerodynamique!$AD$6:$AD$1006,-1))</f>
        <v>-3.2800000000000056</v>
      </c>
      <c r="L483">
        <f ca="1">Montée!$B$19*((E483-E482)/60)*J483/10</f>
        <v>11.583694626584295</v>
      </c>
      <c r="M483">
        <f t="shared" ca="1" si="39"/>
        <v>6069.1205626571027</v>
      </c>
    </row>
    <row r="484" spans="5:13">
      <c r="E484" s="210">
        <f t="shared" si="35"/>
        <v>479</v>
      </c>
      <c r="F484">
        <f t="shared" ca="1" si="38"/>
        <v>8624.0666982402126</v>
      </c>
      <c r="G484">
        <f t="shared" ca="1" si="36"/>
        <v>0.28591630312509031</v>
      </c>
      <c r="H484">
        <f ca="1">INDEX(Aerodynamique!$T$6:$T$546,MATCH(G484,Aerodynamique!$Y$6:$Y$546,1))</f>
        <v>-9.9999999999992359E-2</v>
      </c>
      <c r="I484">
        <f ca="1">INDEX(Aerodynamique!$Z$6:$Z$546,MATCH(G484,Aerodynamique!$Y$6:$Y$546,1))</f>
        <v>1.2259388020869155E-2</v>
      </c>
      <c r="J484">
        <f t="shared" ca="1" si="37"/>
        <v>3608.9656714460084</v>
      </c>
      <c r="K484" s="86">
        <f ca="1">INDEX(Aerodynamique!$AC$6:$AC$1006,MATCH(INDEX(Aerodynamique!$W$6:$W$546,MATCH(G484,Aerodynamique!$Y$6:$Y$546,1)),Aerodynamique!$AD$6:$AD$1006,-1))</f>
        <v>-3.2400000000000055</v>
      </c>
      <c r="L484">
        <f ca="1">Montée!$B$19*((E484-E483)/60)*J484/10</f>
        <v>11.539113520020376</v>
      </c>
      <c r="M484">
        <f t="shared" ca="1" si="39"/>
        <v>6080.6596761771234</v>
      </c>
    </row>
    <row r="485" spans="5:13">
      <c r="E485" s="210">
        <f t="shared" si="35"/>
        <v>480</v>
      </c>
      <c r="F485">
        <f t="shared" ca="1" si="38"/>
        <v>8612.527584720192</v>
      </c>
      <c r="G485">
        <f t="shared" ca="1" si="36"/>
        <v>0.28553374338912973</v>
      </c>
      <c r="H485">
        <f ca="1">INDEX(Aerodynamique!$T$6:$T$546,MATCH(G485,Aerodynamique!$Y$6:$Y$546,1))</f>
        <v>-9.9999999999992359E-2</v>
      </c>
      <c r="I485">
        <f ca="1">INDEX(Aerodynamique!$Z$6:$Z$546,MATCH(G485,Aerodynamique!$Y$6:$Y$546,1))</f>
        <v>1.2259388020869155E-2</v>
      </c>
      <c r="J485">
        <f t="shared" ca="1" si="37"/>
        <v>3608.9656714460084</v>
      </c>
      <c r="K485" s="86">
        <f ca="1">INDEX(Aerodynamique!$AC$6:$AC$1006,MATCH(INDEX(Aerodynamique!$W$6:$W$546,MATCH(G485,Aerodynamique!$Y$6:$Y$546,1)),Aerodynamique!$AD$6:$AD$1006,-1))</f>
        <v>-3.2400000000000055</v>
      </c>
      <c r="L485">
        <f ca="1">Montée!$B$19*((E485-E484)/60)*J485/10</f>
        <v>11.539113520020376</v>
      </c>
      <c r="M485">
        <f t="shared" ca="1" si="39"/>
        <v>6092.1987896971441</v>
      </c>
    </row>
    <row r="486" spans="5:13">
      <c r="E486" s="210">
        <f t="shared" si="35"/>
        <v>481</v>
      </c>
      <c r="F486">
        <f t="shared" ca="1" si="38"/>
        <v>8600.9884712001713</v>
      </c>
      <c r="G486">
        <f t="shared" ca="1" si="36"/>
        <v>0.28515118365316922</v>
      </c>
      <c r="H486">
        <f ca="1">INDEX(Aerodynamique!$T$6:$T$546,MATCH(G486,Aerodynamique!$Y$6:$Y$546,1))</f>
        <v>-9.9999999999992359E-2</v>
      </c>
      <c r="I486">
        <f ca="1">INDEX(Aerodynamique!$Z$6:$Z$546,MATCH(G486,Aerodynamique!$Y$6:$Y$546,1))</f>
        <v>1.2259388020869155E-2</v>
      </c>
      <c r="J486">
        <f t="shared" ca="1" si="37"/>
        <v>3608.9656714460084</v>
      </c>
      <c r="K486" s="86">
        <f ca="1">INDEX(Aerodynamique!$AC$6:$AC$1006,MATCH(INDEX(Aerodynamique!$W$6:$W$546,MATCH(G486,Aerodynamique!$Y$6:$Y$546,1)),Aerodynamique!$AD$6:$AD$1006,-1))</f>
        <v>-3.2400000000000055</v>
      </c>
      <c r="L486">
        <f ca="1">Montée!$B$19*((E486-E485)/60)*J486/10</f>
        <v>11.539113520020376</v>
      </c>
      <c r="M486">
        <f t="shared" ca="1" si="39"/>
        <v>6103.7379032171648</v>
      </c>
    </row>
    <row r="487" spans="5:13">
      <c r="E487" s="210">
        <f t="shared" si="35"/>
        <v>482</v>
      </c>
      <c r="F487">
        <f t="shared" ca="1" si="38"/>
        <v>8589.4493576801506</v>
      </c>
      <c r="G487">
        <f t="shared" ca="1" si="36"/>
        <v>0.28476862391720864</v>
      </c>
      <c r="H487">
        <f ca="1">INDEX(Aerodynamique!$T$6:$T$546,MATCH(G487,Aerodynamique!$Y$6:$Y$546,1))</f>
        <v>-9.9999999999992359E-2</v>
      </c>
      <c r="I487">
        <f ca="1">INDEX(Aerodynamique!$Z$6:$Z$546,MATCH(G487,Aerodynamique!$Y$6:$Y$546,1))</f>
        <v>1.2259388020869155E-2</v>
      </c>
      <c r="J487">
        <f t="shared" ca="1" si="37"/>
        <v>3608.9656714460084</v>
      </c>
      <c r="K487" s="86">
        <f ca="1">INDEX(Aerodynamique!$AC$6:$AC$1006,MATCH(INDEX(Aerodynamique!$W$6:$W$546,MATCH(G487,Aerodynamique!$Y$6:$Y$546,1)),Aerodynamique!$AD$6:$AD$1006,-1))</f>
        <v>-3.2400000000000055</v>
      </c>
      <c r="L487">
        <f ca="1">Montée!$B$19*((E487-E486)/60)*J487/10</f>
        <v>11.539113520020376</v>
      </c>
      <c r="M487">
        <f t="shared" ca="1" si="39"/>
        <v>6115.2770167371855</v>
      </c>
    </row>
    <row r="488" spans="5:13">
      <c r="E488" s="210">
        <f t="shared" si="35"/>
        <v>483</v>
      </c>
      <c r="F488">
        <f t="shared" ca="1" si="38"/>
        <v>8577.9102441601299</v>
      </c>
      <c r="G488">
        <f t="shared" ca="1" si="36"/>
        <v>0.28438606418124807</v>
      </c>
      <c r="H488">
        <f ca="1">INDEX(Aerodynamique!$T$6:$T$546,MATCH(G488,Aerodynamique!$Y$6:$Y$546,1))</f>
        <v>-9.9999999999992359E-2</v>
      </c>
      <c r="I488">
        <f ca="1">INDEX(Aerodynamique!$Z$6:$Z$546,MATCH(G488,Aerodynamique!$Y$6:$Y$546,1))</f>
        <v>1.2259388020869155E-2</v>
      </c>
      <c r="J488">
        <f t="shared" ca="1" si="37"/>
        <v>3608.9656714460084</v>
      </c>
      <c r="K488" s="86">
        <f ca="1">INDEX(Aerodynamique!$AC$6:$AC$1006,MATCH(INDEX(Aerodynamique!$W$6:$W$546,MATCH(G488,Aerodynamique!$Y$6:$Y$546,1)),Aerodynamique!$AD$6:$AD$1006,-1))</f>
        <v>-3.2400000000000055</v>
      </c>
      <c r="L488">
        <f ca="1">Montée!$B$19*((E488-E487)/60)*J488/10</f>
        <v>11.539113520020376</v>
      </c>
      <c r="M488">
        <f t="shared" ca="1" si="39"/>
        <v>6126.8161302572062</v>
      </c>
    </row>
    <row r="489" spans="5:13">
      <c r="E489" s="210">
        <f t="shared" si="35"/>
        <v>484</v>
      </c>
      <c r="F489">
        <f t="shared" ca="1" si="38"/>
        <v>8566.3711306401092</v>
      </c>
      <c r="G489">
        <f t="shared" ca="1" si="36"/>
        <v>0.28400350444528755</v>
      </c>
      <c r="H489">
        <f ca="1">INDEX(Aerodynamique!$T$6:$T$546,MATCH(G489,Aerodynamique!$Y$6:$Y$546,1))</f>
        <v>-9.9999999999992359E-2</v>
      </c>
      <c r="I489">
        <f ca="1">INDEX(Aerodynamique!$Z$6:$Z$546,MATCH(G489,Aerodynamique!$Y$6:$Y$546,1))</f>
        <v>1.2259388020869155E-2</v>
      </c>
      <c r="J489">
        <f t="shared" ca="1" si="37"/>
        <v>3608.9656714460084</v>
      </c>
      <c r="K489" s="86">
        <f ca="1">INDEX(Aerodynamique!$AC$6:$AC$1006,MATCH(INDEX(Aerodynamique!$W$6:$W$546,MATCH(G489,Aerodynamique!$Y$6:$Y$546,1)),Aerodynamique!$AD$6:$AD$1006,-1))</f>
        <v>-3.2400000000000055</v>
      </c>
      <c r="L489">
        <f ca="1">Montée!$B$19*((E489-E488)/60)*J489/10</f>
        <v>11.539113520020376</v>
      </c>
      <c r="M489">
        <f t="shared" ca="1" si="39"/>
        <v>6138.3552437772269</v>
      </c>
    </row>
    <row r="490" spans="5:13">
      <c r="E490" s="210">
        <f t="shared" si="35"/>
        <v>485</v>
      </c>
      <c r="F490">
        <f t="shared" ca="1" si="38"/>
        <v>8554.8320171200885</v>
      </c>
      <c r="G490">
        <f t="shared" ca="1" si="36"/>
        <v>0.28362094470932692</v>
      </c>
      <c r="H490">
        <f ca="1">INDEX(Aerodynamique!$T$6:$T$546,MATCH(G490,Aerodynamique!$Y$6:$Y$546,1))</f>
        <v>-9.9999999999992359E-2</v>
      </c>
      <c r="I490">
        <f ca="1">INDEX(Aerodynamique!$Z$6:$Z$546,MATCH(G490,Aerodynamique!$Y$6:$Y$546,1))</f>
        <v>1.2259388020869155E-2</v>
      </c>
      <c r="J490">
        <f t="shared" ca="1" si="37"/>
        <v>3608.9656714460084</v>
      </c>
      <c r="K490" s="86">
        <f ca="1">INDEX(Aerodynamique!$AC$6:$AC$1006,MATCH(INDEX(Aerodynamique!$W$6:$W$546,MATCH(G490,Aerodynamique!$Y$6:$Y$546,1)),Aerodynamique!$AD$6:$AD$1006,-1))</f>
        <v>-3.2400000000000055</v>
      </c>
      <c r="L490">
        <f ca="1">Montée!$B$19*((E490-E489)/60)*J490/10</f>
        <v>11.539113520020376</v>
      </c>
      <c r="M490">
        <f t="shared" ca="1" si="39"/>
        <v>6149.8943572972476</v>
      </c>
    </row>
    <row r="491" spans="5:13">
      <c r="E491" s="210">
        <f t="shared" si="35"/>
        <v>486</v>
      </c>
      <c r="F491">
        <f t="shared" ca="1" si="38"/>
        <v>8543.2929036000678</v>
      </c>
      <c r="G491">
        <f t="shared" ca="1" si="36"/>
        <v>0.28323838497336634</v>
      </c>
      <c r="H491">
        <f ca="1">INDEX(Aerodynamique!$T$6:$T$546,MATCH(G491,Aerodynamique!$Y$6:$Y$546,1))</f>
        <v>-9.9999999999992359E-2</v>
      </c>
      <c r="I491">
        <f ca="1">INDEX(Aerodynamique!$Z$6:$Z$546,MATCH(G491,Aerodynamique!$Y$6:$Y$546,1))</f>
        <v>1.2259388020869155E-2</v>
      </c>
      <c r="J491">
        <f t="shared" ca="1" si="37"/>
        <v>3608.9656714460084</v>
      </c>
      <c r="K491" s="86">
        <f ca="1">INDEX(Aerodynamique!$AC$6:$AC$1006,MATCH(INDEX(Aerodynamique!$W$6:$W$546,MATCH(G491,Aerodynamique!$Y$6:$Y$546,1)),Aerodynamique!$AD$6:$AD$1006,-1))</f>
        <v>-3.2400000000000055</v>
      </c>
      <c r="L491">
        <f ca="1">Montée!$B$19*((E491-E490)/60)*J491/10</f>
        <v>11.539113520020376</v>
      </c>
      <c r="M491">
        <f t="shared" ca="1" si="39"/>
        <v>6161.4334708172682</v>
      </c>
    </row>
    <row r="492" spans="5:13">
      <c r="E492" s="210">
        <f t="shared" si="35"/>
        <v>487</v>
      </c>
      <c r="F492">
        <f t="shared" ca="1" si="38"/>
        <v>8531.7537900800471</v>
      </c>
      <c r="G492">
        <f t="shared" ca="1" si="36"/>
        <v>0.28285582523740582</v>
      </c>
      <c r="H492">
        <f ca="1">INDEX(Aerodynamique!$T$6:$T$546,MATCH(G492,Aerodynamique!$Y$6:$Y$546,1))</f>
        <v>-9.9999999999992359E-2</v>
      </c>
      <c r="I492">
        <f ca="1">INDEX(Aerodynamique!$Z$6:$Z$546,MATCH(G492,Aerodynamique!$Y$6:$Y$546,1))</f>
        <v>1.2259388020869155E-2</v>
      </c>
      <c r="J492">
        <f t="shared" ca="1" si="37"/>
        <v>3608.9656714460084</v>
      </c>
      <c r="K492" s="86">
        <f ca="1">INDEX(Aerodynamique!$AC$6:$AC$1006,MATCH(INDEX(Aerodynamique!$W$6:$W$546,MATCH(G492,Aerodynamique!$Y$6:$Y$546,1)),Aerodynamique!$AD$6:$AD$1006,-1))</f>
        <v>-3.2400000000000055</v>
      </c>
      <c r="L492">
        <f ca="1">Montée!$B$19*((E492-E491)/60)*J492/10</f>
        <v>11.539113520020376</v>
      </c>
      <c r="M492">
        <f t="shared" ca="1" si="39"/>
        <v>6172.9725843372889</v>
      </c>
    </row>
    <row r="493" spans="5:13">
      <c r="E493" s="210">
        <f t="shared" si="35"/>
        <v>488</v>
      </c>
      <c r="F493">
        <f t="shared" ca="1" si="38"/>
        <v>8520.2146765600264</v>
      </c>
      <c r="G493">
        <f t="shared" ca="1" si="36"/>
        <v>0.28247326550144525</v>
      </c>
      <c r="H493">
        <f ca="1">INDEX(Aerodynamique!$T$6:$T$546,MATCH(G493,Aerodynamique!$Y$6:$Y$546,1))</f>
        <v>-9.9999999999992359E-2</v>
      </c>
      <c r="I493">
        <f ca="1">INDEX(Aerodynamique!$Z$6:$Z$546,MATCH(G493,Aerodynamique!$Y$6:$Y$546,1))</f>
        <v>1.2259388020869155E-2</v>
      </c>
      <c r="J493">
        <f t="shared" ca="1" si="37"/>
        <v>3608.9656714460084</v>
      </c>
      <c r="K493" s="86">
        <f ca="1">INDEX(Aerodynamique!$AC$6:$AC$1006,MATCH(INDEX(Aerodynamique!$W$6:$W$546,MATCH(G493,Aerodynamique!$Y$6:$Y$546,1)),Aerodynamique!$AD$6:$AD$1006,-1))</f>
        <v>-3.2400000000000055</v>
      </c>
      <c r="L493">
        <f ca="1">Montée!$B$19*((E493-E492)/60)*J493/10</f>
        <v>11.539113520020376</v>
      </c>
      <c r="M493">
        <f t="shared" ca="1" si="39"/>
        <v>6184.5116978573096</v>
      </c>
    </row>
    <row r="494" spans="5:13">
      <c r="E494" s="210">
        <f t="shared" si="35"/>
        <v>489</v>
      </c>
      <c r="F494">
        <f t="shared" ca="1" si="38"/>
        <v>8508.6755630400057</v>
      </c>
      <c r="G494">
        <f t="shared" ca="1" si="36"/>
        <v>0.28209070576548467</v>
      </c>
      <c r="H494">
        <f ca="1">INDEX(Aerodynamique!$T$6:$T$546,MATCH(G494,Aerodynamique!$Y$6:$Y$546,1))</f>
        <v>-9.9999999999992359E-2</v>
      </c>
      <c r="I494">
        <f ca="1">INDEX(Aerodynamique!$Z$6:$Z$546,MATCH(G494,Aerodynamique!$Y$6:$Y$546,1))</f>
        <v>1.2259388020869155E-2</v>
      </c>
      <c r="J494">
        <f t="shared" ca="1" si="37"/>
        <v>3608.9656714460084</v>
      </c>
      <c r="K494" s="86">
        <f ca="1">INDEX(Aerodynamique!$AC$6:$AC$1006,MATCH(INDEX(Aerodynamique!$W$6:$W$546,MATCH(G494,Aerodynamique!$Y$6:$Y$546,1)),Aerodynamique!$AD$6:$AD$1006,-1))</f>
        <v>-3.2400000000000055</v>
      </c>
      <c r="L494">
        <f ca="1">Montée!$B$19*((E494-E493)/60)*J494/10</f>
        <v>11.539113520020376</v>
      </c>
      <c r="M494">
        <f t="shared" ca="1" si="39"/>
        <v>6196.0508113773303</v>
      </c>
    </row>
    <row r="495" spans="5:13">
      <c r="E495" s="210">
        <f t="shared" si="35"/>
        <v>490</v>
      </c>
      <c r="F495">
        <f t="shared" ca="1" si="38"/>
        <v>8497.136449519985</v>
      </c>
      <c r="G495">
        <f t="shared" ca="1" si="36"/>
        <v>0.28170814602952415</v>
      </c>
      <c r="H495">
        <f ca="1">INDEX(Aerodynamique!$T$6:$T$546,MATCH(G495,Aerodynamique!$Y$6:$Y$546,1))</f>
        <v>-9.9999999999992359E-2</v>
      </c>
      <c r="I495">
        <f ca="1">INDEX(Aerodynamique!$Z$6:$Z$546,MATCH(G495,Aerodynamique!$Y$6:$Y$546,1))</f>
        <v>1.2259388020869155E-2</v>
      </c>
      <c r="J495">
        <f t="shared" ca="1" si="37"/>
        <v>3608.9656714460084</v>
      </c>
      <c r="K495" s="86">
        <f ca="1">INDEX(Aerodynamique!$AC$6:$AC$1006,MATCH(INDEX(Aerodynamique!$W$6:$W$546,MATCH(G495,Aerodynamique!$Y$6:$Y$546,1)),Aerodynamique!$AD$6:$AD$1006,-1))</f>
        <v>-3.2400000000000055</v>
      </c>
      <c r="L495">
        <f ca="1">Montée!$B$19*((E495-E494)/60)*J495/10</f>
        <v>11.539113520020376</v>
      </c>
      <c r="M495">
        <f t="shared" ca="1" si="39"/>
        <v>6207.589924897351</v>
      </c>
    </row>
    <row r="496" spans="5:13">
      <c r="E496" s="210">
        <f t="shared" si="35"/>
        <v>491</v>
      </c>
      <c r="F496">
        <f t="shared" ca="1" si="38"/>
        <v>8485.5973359999643</v>
      </c>
      <c r="G496">
        <f t="shared" ca="1" si="36"/>
        <v>0.28132558629356358</v>
      </c>
      <c r="H496">
        <f ca="1">INDEX(Aerodynamique!$T$6:$T$546,MATCH(G496,Aerodynamique!$Y$6:$Y$546,1))</f>
        <v>-0.14999999999999236</v>
      </c>
      <c r="I496">
        <f ca="1">INDEX(Aerodynamique!$Z$6:$Z$546,MATCH(G496,Aerodynamique!$Y$6:$Y$546,1))</f>
        <v>1.2213091959920293E-2</v>
      </c>
      <c r="J496">
        <f t="shared" ca="1" si="37"/>
        <v>3595.3368594365352</v>
      </c>
      <c r="K496" s="86">
        <f ca="1">INDEX(Aerodynamique!$AC$6:$AC$1006,MATCH(INDEX(Aerodynamique!$W$6:$W$546,MATCH(G496,Aerodynamique!$Y$6:$Y$546,1)),Aerodynamique!$AD$6:$AD$1006,-1))</f>
        <v>-3.2000000000000055</v>
      </c>
      <c r="L496">
        <f ca="1">Montée!$B$19*((E496-E495)/60)*J496/10</f>
        <v>11.495537486542252</v>
      </c>
      <c r="M496">
        <f t="shared" ca="1" si="39"/>
        <v>6219.0854623838932</v>
      </c>
    </row>
    <row r="497" spans="5:13">
      <c r="E497" s="210">
        <f t="shared" si="35"/>
        <v>492</v>
      </c>
      <c r="F497">
        <f t="shared" ca="1" si="38"/>
        <v>8474.1017985134222</v>
      </c>
      <c r="G497">
        <f t="shared" ca="1" si="36"/>
        <v>0.28094447124707872</v>
      </c>
      <c r="H497">
        <f ca="1">INDEX(Aerodynamique!$T$6:$T$546,MATCH(G497,Aerodynamique!$Y$6:$Y$546,1))</f>
        <v>-0.14999999999999236</v>
      </c>
      <c r="I497">
        <f ca="1">INDEX(Aerodynamique!$Z$6:$Z$546,MATCH(G497,Aerodynamique!$Y$6:$Y$546,1))</f>
        <v>1.2213091959920293E-2</v>
      </c>
      <c r="J497">
        <f t="shared" ca="1" si="37"/>
        <v>3595.3368594365352</v>
      </c>
      <c r="K497" s="86">
        <f ca="1">INDEX(Aerodynamique!$AC$6:$AC$1006,MATCH(INDEX(Aerodynamique!$W$6:$W$546,MATCH(G497,Aerodynamique!$Y$6:$Y$546,1)),Aerodynamique!$AD$6:$AD$1006,-1))</f>
        <v>-3.2000000000000055</v>
      </c>
      <c r="L497">
        <f ca="1">Montée!$B$19*((E497-E496)/60)*J497/10</f>
        <v>11.495537486542252</v>
      </c>
      <c r="M497">
        <f t="shared" ca="1" si="39"/>
        <v>6230.5809998704353</v>
      </c>
    </row>
    <row r="498" spans="5:13">
      <c r="E498" s="210">
        <f t="shared" si="35"/>
        <v>493</v>
      </c>
      <c r="F498">
        <f t="shared" ca="1" si="38"/>
        <v>8462.60626102688</v>
      </c>
      <c r="G498">
        <f t="shared" ca="1" si="36"/>
        <v>0.28056335620059392</v>
      </c>
      <c r="H498">
        <f ca="1">INDEX(Aerodynamique!$T$6:$T$546,MATCH(G498,Aerodynamique!$Y$6:$Y$546,1))</f>
        <v>-0.14999999999999236</v>
      </c>
      <c r="I498">
        <f ca="1">INDEX(Aerodynamique!$Z$6:$Z$546,MATCH(G498,Aerodynamique!$Y$6:$Y$546,1))</f>
        <v>1.2213091959920293E-2</v>
      </c>
      <c r="J498">
        <f t="shared" ca="1" si="37"/>
        <v>3595.3368594365352</v>
      </c>
      <c r="K498" s="86">
        <f ca="1">INDEX(Aerodynamique!$AC$6:$AC$1006,MATCH(INDEX(Aerodynamique!$W$6:$W$546,MATCH(G498,Aerodynamique!$Y$6:$Y$546,1)),Aerodynamique!$AD$6:$AD$1006,-1))</f>
        <v>-3.2000000000000055</v>
      </c>
      <c r="L498">
        <f ca="1">Montée!$B$19*((E498-E497)/60)*J498/10</f>
        <v>11.495537486542252</v>
      </c>
      <c r="M498">
        <f t="shared" ca="1" si="39"/>
        <v>6242.0765373569775</v>
      </c>
    </row>
    <row r="499" spans="5:13">
      <c r="E499" s="210">
        <f t="shared" si="35"/>
        <v>494</v>
      </c>
      <c r="F499">
        <f t="shared" ca="1" si="38"/>
        <v>8451.1107235403379</v>
      </c>
      <c r="G499">
        <f t="shared" ca="1" si="36"/>
        <v>0.28018224115410911</v>
      </c>
      <c r="H499">
        <f ca="1">INDEX(Aerodynamique!$T$6:$T$546,MATCH(G499,Aerodynamique!$Y$6:$Y$546,1))</f>
        <v>-0.14999999999999236</v>
      </c>
      <c r="I499">
        <f ca="1">INDEX(Aerodynamique!$Z$6:$Z$546,MATCH(G499,Aerodynamique!$Y$6:$Y$546,1))</f>
        <v>1.2213091959920293E-2</v>
      </c>
      <c r="J499">
        <f t="shared" ca="1" si="37"/>
        <v>3595.3368594365352</v>
      </c>
      <c r="K499" s="86">
        <f ca="1">INDEX(Aerodynamique!$AC$6:$AC$1006,MATCH(INDEX(Aerodynamique!$W$6:$W$546,MATCH(G499,Aerodynamique!$Y$6:$Y$546,1)),Aerodynamique!$AD$6:$AD$1006,-1))</f>
        <v>-3.2000000000000055</v>
      </c>
      <c r="L499">
        <f ca="1">Montée!$B$19*((E499-E498)/60)*J499/10</f>
        <v>11.495537486542252</v>
      </c>
      <c r="M499">
        <f t="shared" ca="1" si="39"/>
        <v>6253.5720748435197</v>
      </c>
    </row>
    <row r="500" spans="5:13">
      <c r="E500" s="210">
        <f t="shared" si="35"/>
        <v>495</v>
      </c>
      <c r="F500">
        <f t="shared" ca="1" si="38"/>
        <v>8439.6151860537957</v>
      </c>
      <c r="G500">
        <f t="shared" ca="1" si="36"/>
        <v>0.27980112610762425</v>
      </c>
      <c r="H500">
        <f ca="1">INDEX(Aerodynamique!$T$6:$T$546,MATCH(G500,Aerodynamique!$Y$6:$Y$546,1))</f>
        <v>-0.14999999999999236</v>
      </c>
      <c r="I500">
        <f ca="1">INDEX(Aerodynamique!$Z$6:$Z$546,MATCH(G500,Aerodynamique!$Y$6:$Y$546,1))</f>
        <v>1.2213091959920293E-2</v>
      </c>
      <c r="J500">
        <f t="shared" ca="1" si="37"/>
        <v>3595.3368594365352</v>
      </c>
      <c r="K500" s="86">
        <f ca="1">INDEX(Aerodynamique!$AC$6:$AC$1006,MATCH(INDEX(Aerodynamique!$W$6:$W$546,MATCH(G500,Aerodynamique!$Y$6:$Y$546,1)),Aerodynamique!$AD$6:$AD$1006,-1))</f>
        <v>-3.2000000000000055</v>
      </c>
      <c r="L500">
        <f ca="1">Montée!$B$19*((E500-E499)/60)*J500/10</f>
        <v>11.495537486542252</v>
      </c>
      <c r="M500">
        <f t="shared" ca="1" si="39"/>
        <v>6265.0676123300618</v>
      </c>
    </row>
    <row r="501" spans="5:13">
      <c r="E501" s="210">
        <f t="shared" si="35"/>
        <v>496</v>
      </c>
      <c r="F501">
        <f t="shared" ca="1" si="38"/>
        <v>8428.1196485672535</v>
      </c>
      <c r="G501">
        <f t="shared" ca="1" si="36"/>
        <v>0.27942001106113945</v>
      </c>
      <c r="H501">
        <f ca="1">INDEX(Aerodynamique!$T$6:$T$546,MATCH(G501,Aerodynamique!$Y$6:$Y$546,1))</f>
        <v>-0.14999999999999236</v>
      </c>
      <c r="I501">
        <f ca="1">INDEX(Aerodynamique!$Z$6:$Z$546,MATCH(G501,Aerodynamique!$Y$6:$Y$546,1))</f>
        <v>1.2213091959920293E-2</v>
      </c>
      <c r="J501">
        <f t="shared" ca="1" si="37"/>
        <v>3595.3368594365352</v>
      </c>
      <c r="K501" s="86">
        <f ca="1">INDEX(Aerodynamique!$AC$6:$AC$1006,MATCH(INDEX(Aerodynamique!$W$6:$W$546,MATCH(G501,Aerodynamique!$Y$6:$Y$546,1)),Aerodynamique!$AD$6:$AD$1006,-1))</f>
        <v>-3.2000000000000055</v>
      </c>
      <c r="L501">
        <f ca="1">Montée!$B$19*((E501-E500)/60)*J501/10</f>
        <v>11.495537486542252</v>
      </c>
      <c r="M501">
        <f t="shared" ca="1" si="39"/>
        <v>6276.563149816604</v>
      </c>
    </row>
    <row r="502" spans="5:13">
      <c r="E502" s="210">
        <f t="shared" si="35"/>
        <v>497</v>
      </c>
      <c r="F502">
        <f t="shared" ca="1" si="38"/>
        <v>8416.6241110807114</v>
      </c>
      <c r="G502">
        <f t="shared" ca="1" si="36"/>
        <v>0.27903889601465465</v>
      </c>
      <c r="H502">
        <f ca="1">INDEX(Aerodynamique!$T$6:$T$546,MATCH(G502,Aerodynamique!$Y$6:$Y$546,1))</f>
        <v>-0.14999999999999236</v>
      </c>
      <c r="I502">
        <f ca="1">INDEX(Aerodynamique!$Z$6:$Z$546,MATCH(G502,Aerodynamique!$Y$6:$Y$546,1))</f>
        <v>1.2213091959920293E-2</v>
      </c>
      <c r="J502">
        <f t="shared" ca="1" si="37"/>
        <v>3595.3368594365352</v>
      </c>
      <c r="K502" s="86">
        <f ca="1">INDEX(Aerodynamique!$AC$6:$AC$1006,MATCH(INDEX(Aerodynamique!$W$6:$W$546,MATCH(G502,Aerodynamique!$Y$6:$Y$546,1)),Aerodynamique!$AD$6:$AD$1006,-1))</f>
        <v>-3.2000000000000055</v>
      </c>
      <c r="L502">
        <f ca="1">Montée!$B$19*((E502-E501)/60)*J502/10</f>
        <v>11.495537486542252</v>
      </c>
      <c r="M502">
        <f t="shared" ca="1" si="39"/>
        <v>6288.0586873031461</v>
      </c>
    </row>
    <row r="503" spans="5:13">
      <c r="E503" s="210">
        <f t="shared" si="35"/>
        <v>498</v>
      </c>
      <c r="F503">
        <f t="shared" ca="1" si="38"/>
        <v>8405.1285735941692</v>
      </c>
      <c r="G503">
        <f t="shared" ca="1" si="36"/>
        <v>0.27865778096816984</v>
      </c>
      <c r="H503">
        <f ca="1">INDEX(Aerodynamique!$T$6:$T$546,MATCH(G503,Aerodynamique!$Y$6:$Y$546,1))</f>
        <v>-0.14999999999999236</v>
      </c>
      <c r="I503">
        <f ca="1">INDEX(Aerodynamique!$Z$6:$Z$546,MATCH(G503,Aerodynamique!$Y$6:$Y$546,1))</f>
        <v>1.2213091959920293E-2</v>
      </c>
      <c r="J503">
        <f t="shared" ca="1" si="37"/>
        <v>3595.3368594365352</v>
      </c>
      <c r="K503" s="86">
        <f ca="1">INDEX(Aerodynamique!$AC$6:$AC$1006,MATCH(INDEX(Aerodynamique!$W$6:$W$546,MATCH(G503,Aerodynamique!$Y$6:$Y$546,1)),Aerodynamique!$AD$6:$AD$1006,-1))</f>
        <v>-3.2000000000000055</v>
      </c>
      <c r="L503">
        <f ca="1">Montée!$B$19*((E503-E502)/60)*J503/10</f>
        <v>11.495537486542252</v>
      </c>
      <c r="M503">
        <f t="shared" ca="1" si="39"/>
        <v>6299.5542247896883</v>
      </c>
    </row>
    <row r="504" spans="5:13">
      <c r="E504" s="210">
        <f t="shared" si="35"/>
        <v>499</v>
      </c>
      <c r="F504">
        <f t="shared" ca="1" si="38"/>
        <v>8393.633036107627</v>
      </c>
      <c r="G504">
        <f t="shared" ca="1" si="36"/>
        <v>0.27827666592168498</v>
      </c>
      <c r="H504">
        <f ca="1">INDEX(Aerodynamique!$T$6:$T$546,MATCH(G504,Aerodynamique!$Y$6:$Y$546,1))</f>
        <v>-0.14999999999999236</v>
      </c>
      <c r="I504">
        <f ca="1">INDEX(Aerodynamique!$Z$6:$Z$546,MATCH(G504,Aerodynamique!$Y$6:$Y$546,1))</f>
        <v>1.2213091959920293E-2</v>
      </c>
      <c r="J504">
        <f t="shared" ca="1" si="37"/>
        <v>3595.3368594365352</v>
      </c>
      <c r="K504" s="86">
        <f ca="1">INDEX(Aerodynamique!$AC$6:$AC$1006,MATCH(INDEX(Aerodynamique!$W$6:$W$546,MATCH(G504,Aerodynamique!$Y$6:$Y$546,1)),Aerodynamique!$AD$6:$AD$1006,-1))</f>
        <v>-3.2000000000000055</v>
      </c>
      <c r="L504">
        <f ca="1">Montée!$B$19*((E504-E503)/60)*J504/10</f>
        <v>11.495537486542252</v>
      </c>
      <c r="M504">
        <f t="shared" ca="1" si="39"/>
        <v>6311.0497622762305</v>
      </c>
    </row>
    <row r="505" spans="5:13">
      <c r="E505" s="210">
        <f t="shared" si="35"/>
        <v>500</v>
      </c>
      <c r="F505">
        <f t="shared" ca="1" si="38"/>
        <v>8382.1374986210849</v>
      </c>
      <c r="G505">
        <f t="shared" ca="1" si="36"/>
        <v>0.27789555087520018</v>
      </c>
      <c r="H505">
        <f ca="1">INDEX(Aerodynamique!$T$6:$T$546,MATCH(G505,Aerodynamique!$Y$6:$Y$546,1))</f>
        <v>-0.14999999999999236</v>
      </c>
      <c r="I505">
        <f ca="1">INDEX(Aerodynamique!$Z$6:$Z$546,MATCH(G505,Aerodynamique!$Y$6:$Y$546,1))</f>
        <v>1.2213091959920293E-2</v>
      </c>
      <c r="J505">
        <f t="shared" ca="1" si="37"/>
        <v>3595.3368594365352</v>
      </c>
      <c r="K505" s="86">
        <f ca="1">INDEX(Aerodynamique!$AC$6:$AC$1006,MATCH(INDEX(Aerodynamique!$W$6:$W$546,MATCH(G505,Aerodynamique!$Y$6:$Y$546,1)),Aerodynamique!$AD$6:$AD$1006,-1))</f>
        <v>-3.2000000000000055</v>
      </c>
      <c r="L505">
        <f ca="1">Montée!$B$19*((E505-E504)/60)*J505/10</f>
        <v>11.495537486542252</v>
      </c>
      <c r="M505">
        <f t="shared" ca="1" si="39"/>
        <v>6322.5452997627726</v>
      </c>
    </row>
    <row r="506" spans="5:13">
      <c r="E506" s="210">
        <f t="shared" si="35"/>
        <v>501</v>
      </c>
      <c r="F506">
        <f t="shared" ca="1" si="38"/>
        <v>8370.6419611345427</v>
      </c>
      <c r="G506">
        <f t="shared" ca="1" si="36"/>
        <v>0.27751443582871532</v>
      </c>
      <c r="H506">
        <f ca="1">INDEX(Aerodynamique!$T$6:$T$546,MATCH(G506,Aerodynamique!$Y$6:$Y$546,1))</f>
        <v>-0.14999999999999236</v>
      </c>
      <c r="I506">
        <f ca="1">INDEX(Aerodynamique!$Z$6:$Z$546,MATCH(G506,Aerodynamique!$Y$6:$Y$546,1))</f>
        <v>1.2213091959920293E-2</v>
      </c>
      <c r="J506">
        <f t="shared" ca="1" si="37"/>
        <v>3595.3368594365352</v>
      </c>
      <c r="K506" s="86">
        <f ca="1">INDEX(Aerodynamique!$AC$6:$AC$1006,MATCH(INDEX(Aerodynamique!$W$6:$W$546,MATCH(G506,Aerodynamique!$Y$6:$Y$546,1)),Aerodynamique!$AD$6:$AD$1006,-1))</f>
        <v>-3.2000000000000055</v>
      </c>
      <c r="L506">
        <f ca="1">Montée!$B$19*((E506-E505)/60)*J506/10</f>
        <v>11.495537486542252</v>
      </c>
      <c r="M506">
        <f t="shared" ca="1" si="39"/>
        <v>6334.0408372493148</v>
      </c>
    </row>
    <row r="507" spans="5:13">
      <c r="E507" s="210">
        <f t="shared" si="35"/>
        <v>502</v>
      </c>
      <c r="F507">
        <f t="shared" ca="1" si="38"/>
        <v>8359.1464236480006</v>
      </c>
      <c r="G507">
        <f t="shared" ca="1" si="36"/>
        <v>0.27713332078223046</v>
      </c>
      <c r="H507">
        <f ca="1">INDEX(Aerodynamique!$T$6:$T$546,MATCH(G507,Aerodynamique!$Y$6:$Y$546,1))</f>
        <v>-0.14999999999999236</v>
      </c>
      <c r="I507">
        <f ca="1">INDEX(Aerodynamique!$Z$6:$Z$546,MATCH(G507,Aerodynamique!$Y$6:$Y$546,1))</f>
        <v>1.2213091959920293E-2</v>
      </c>
      <c r="J507">
        <f t="shared" ca="1" si="37"/>
        <v>3595.3368594365352</v>
      </c>
      <c r="K507" s="86">
        <f ca="1">INDEX(Aerodynamique!$AC$6:$AC$1006,MATCH(INDEX(Aerodynamique!$W$6:$W$546,MATCH(G507,Aerodynamique!$Y$6:$Y$546,1)),Aerodynamique!$AD$6:$AD$1006,-1))</f>
        <v>-3.2000000000000055</v>
      </c>
      <c r="L507">
        <f ca="1">Montée!$B$19*((E507-E506)/60)*J507/10</f>
        <v>11.495537486542252</v>
      </c>
      <c r="M507">
        <f t="shared" ca="1" si="39"/>
        <v>6345.536374735857</v>
      </c>
    </row>
    <row r="508" spans="5:13">
      <c r="E508" s="210">
        <f t="shared" si="35"/>
        <v>503</v>
      </c>
      <c r="F508">
        <f t="shared" ca="1" si="38"/>
        <v>8347.6508861614584</v>
      </c>
      <c r="G508">
        <f t="shared" ca="1" si="36"/>
        <v>0.27675220573574566</v>
      </c>
      <c r="H508">
        <f ca="1">INDEX(Aerodynamique!$T$6:$T$546,MATCH(G508,Aerodynamique!$Y$6:$Y$546,1))</f>
        <v>-0.14999999999999236</v>
      </c>
      <c r="I508">
        <f ca="1">INDEX(Aerodynamique!$Z$6:$Z$546,MATCH(G508,Aerodynamique!$Y$6:$Y$546,1))</f>
        <v>1.2213091959920293E-2</v>
      </c>
      <c r="J508">
        <f t="shared" ca="1" si="37"/>
        <v>3595.3368594365352</v>
      </c>
      <c r="K508" s="86">
        <f ca="1">INDEX(Aerodynamique!$AC$6:$AC$1006,MATCH(INDEX(Aerodynamique!$W$6:$W$546,MATCH(G508,Aerodynamique!$Y$6:$Y$546,1)),Aerodynamique!$AD$6:$AD$1006,-1))</f>
        <v>-3.2000000000000055</v>
      </c>
      <c r="L508">
        <f ca="1">Montée!$B$19*((E508-E507)/60)*J508/10</f>
        <v>11.495537486542252</v>
      </c>
      <c r="M508">
        <f t="shared" ca="1" si="39"/>
        <v>6357.0319122223991</v>
      </c>
    </row>
    <row r="509" spans="5:13">
      <c r="E509" s="210">
        <f t="shared" si="35"/>
        <v>504</v>
      </c>
      <c r="F509">
        <f t="shared" ca="1" si="38"/>
        <v>8336.1553486749162</v>
      </c>
      <c r="G509">
        <f t="shared" ca="1" si="36"/>
        <v>0.27637109068926086</v>
      </c>
      <c r="H509">
        <f ca="1">INDEX(Aerodynamique!$T$6:$T$546,MATCH(G509,Aerodynamique!$Y$6:$Y$546,1))</f>
        <v>-0.19999999999999235</v>
      </c>
      <c r="I509">
        <f ca="1">INDEX(Aerodynamique!$Z$6:$Z$546,MATCH(G509,Aerodynamique!$Y$6:$Y$546,1))</f>
        <v>1.2167863708983592E-2</v>
      </c>
      <c r="J509">
        <f t="shared" ca="1" si="37"/>
        <v>3582.0223934344608</v>
      </c>
      <c r="K509" s="86">
        <f ca="1">INDEX(Aerodynamique!$AC$6:$AC$1006,MATCH(INDEX(Aerodynamique!$W$6:$W$546,MATCH(G509,Aerodynamique!$Y$6:$Y$546,1)),Aerodynamique!$AD$6:$AD$1006,-1))</f>
        <v>-3.1600000000000055</v>
      </c>
      <c r="L509">
        <f ca="1">Montée!$B$19*((E509-E508)/60)*J509/10</f>
        <v>11.452966526149927</v>
      </c>
      <c r="M509">
        <f t="shared" ca="1" si="39"/>
        <v>6368.4848787485489</v>
      </c>
    </row>
    <row r="510" spans="5:13">
      <c r="E510" s="210">
        <f t="shared" si="35"/>
        <v>505</v>
      </c>
      <c r="F510">
        <f t="shared" ca="1" si="38"/>
        <v>8324.7023821487655</v>
      </c>
      <c r="G510">
        <f t="shared" ca="1" si="36"/>
        <v>0.27599138701075843</v>
      </c>
      <c r="H510">
        <f ca="1">INDEX(Aerodynamique!$T$6:$T$546,MATCH(G510,Aerodynamique!$Y$6:$Y$546,1))</f>
        <v>-0.19999999999999235</v>
      </c>
      <c r="I510">
        <f ca="1">INDEX(Aerodynamique!$Z$6:$Z$546,MATCH(G510,Aerodynamique!$Y$6:$Y$546,1))</f>
        <v>1.2167863708983592E-2</v>
      </c>
      <c r="J510">
        <f t="shared" ca="1" si="37"/>
        <v>3582.0223934344608</v>
      </c>
      <c r="K510" s="86">
        <f ca="1">INDEX(Aerodynamique!$AC$6:$AC$1006,MATCH(INDEX(Aerodynamique!$W$6:$W$546,MATCH(G510,Aerodynamique!$Y$6:$Y$546,1)),Aerodynamique!$AD$6:$AD$1006,-1))</f>
        <v>-3.1600000000000055</v>
      </c>
      <c r="L510">
        <f ca="1">Montée!$B$19*((E510-E509)/60)*J510/10</f>
        <v>11.452966526149927</v>
      </c>
      <c r="M510">
        <f t="shared" ca="1" si="39"/>
        <v>6379.9378452746987</v>
      </c>
    </row>
    <row r="511" spans="5:13">
      <c r="E511" s="210">
        <f t="shared" si="35"/>
        <v>506</v>
      </c>
      <c r="F511">
        <f t="shared" ca="1" si="38"/>
        <v>8313.2494156226148</v>
      </c>
      <c r="G511">
        <f t="shared" ca="1" si="36"/>
        <v>0.27561168333225594</v>
      </c>
      <c r="H511">
        <f ca="1">INDEX(Aerodynamique!$T$6:$T$546,MATCH(G511,Aerodynamique!$Y$6:$Y$546,1))</f>
        <v>-0.19999999999999235</v>
      </c>
      <c r="I511">
        <f ca="1">INDEX(Aerodynamique!$Z$6:$Z$546,MATCH(G511,Aerodynamique!$Y$6:$Y$546,1))</f>
        <v>1.2167863708983592E-2</v>
      </c>
      <c r="J511">
        <f t="shared" ca="1" si="37"/>
        <v>3582.0223934344608</v>
      </c>
      <c r="K511" s="86">
        <f ca="1">INDEX(Aerodynamique!$AC$6:$AC$1006,MATCH(INDEX(Aerodynamique!$W$6:$W$546,MATCH(G511,Aerodynamique!$Y$6:$Y$546,1)),Aerodynamique!$AD$6:$AD$1006,-1))</f>
        <v>-3.1600000000000055</v>
      </c>
      <c r="L511">
        <f ca="1">Montée!$B$19*((E511-E510)/60)*J511/10</f>
        <v>11.452966526149927</v>
      </c>
      <c r="M511">
        <f t="shared" ca="1" si="39"/>
        <v>6391.3908118008485</v>
      </c>
    </row>
    <row r="512" spans="5:13">
      <c r="E512" s="210">
        <f t="shared" si="35"/>
        <v>507</v>
      </c>
      <c r="F512">
        <f t="shared" ca="1" si="38"/>
        <v>8301.7964490964641</v>
      </c>
      <c r="G512">
        <f t="shared" ca="1" si="36"/>
        <v>0.27523197965375346</v>
      </c>
      <c r="H512">
        <f ca="1">INDEX(Aerodynamique!$T$6:$T$546,MATCH(G512,Aerodynamique!$Y$6:$Y$546,1))</f>
        <v>-0.19999999999999235</v>
      </c>
      <c r="I512">
        <f ca="1">INDEX(Aerodynamique!$Z$6:$Z$546,MATCH(G512,Aerodynamique!$Y$6:$Y$546,1))</f>
        <v>1.2167863708983592E-2</v>
      </c>
      <c r="J512">
        <f t="shared" ca="1" si="37"/>
        <v>3582.0223934344608</v>
      </c>
      <c r="K512" s="86">
        <f ca="1">INDEX(Aerodynamique!$AC$6:$AC$1006,MATCH(INDEX(Aerodynamique!$W$6:$W$546,MATCH(G512,Aerodynamique!$Y$6:$Y$546,1)),Aerodynamique!$AD$6:$AD$1006,-1))</f>
        <v>-3.1600000000000055</v>
      </c>
      <c r="L512">
        <f ca="1">Montée!$B$19*((E512-E511)/60)*J512/10</f>
        <v>11.452966526149927</v>
      </c>
      <c r="M512">
        <f t="shared" ca="1" si="39"/>
        <v>6402.8437783269983</v>
      </c>
    </row>
    <row r="513" spans="5:13">
      <c r="E513" s="210">
        <f t="shared" si="35"/>
        <v>508</v>
      </c>
      <c r="F513">
        <f t="shared" ca="1" si="38"/>
        <v>8290.3434825703134</v>
      </c>
      <c r="G513">
        <f t="shared" ca="1" si="36"/>
        <v>0.27485227597525103</v>
      </c>
      <c r="H513">
        <f ca="1">INDEX(Aerodynamique!$T$6:$T$546,MATCH(G513,Aerodynamique!$Y$6:$Y$546,1))</f>
        <v>-0.19999999999999235</v>
      </c>
      <c r="I513">
        <f ca="1">INDEX(Aerodynamique!$Z$6:$Z$546,MATCH(G513,Aerodynamique!$Y$6:$Y$546,1))</f>
        <v>1.2167863708983592E-2</v>
      </c>
      <c r="J513">
        <f t="shared" ca="1" si="37"/>
        <v>3582.0223934344608</v>
      </c>
      <c r="K513" s="86">
        <f ca="1">INDEX(Aerodynamique!$AC$6:$AC$1006,MATCH(INDEX(Aerodynamique!$W$6:$W$546,MATCH(G513,Aerodynamique!$Y$6:$Y$546,1)),Aerodynamique!$AD$6:$AD$1006,-1))</f>
        <v>-3.1600000000000055</v>
      </c>
      <c r="L513">
        <f ca="1">Montée!$B$19*((E513-E512)/60)*J513/10</f>
        <v>11.452966526149927</v>
      </c>
      <c r="M513">
        <f t="shared" ca="1" si="39"/>
        <v>6414.2967448531481</v>
      </c>
    </row>
    <row r="514" spans="5:13">
      <c r="E514" s="210">
        <f t="shared" si="35"/>
        <v>509</v>
      </c>
      <c r="F514">
        <f t="shared" ca="1" si="38"/>
        <v>8278.8905160441627</v>
      </c>
      <c r="G514">
        <f t="shared" ca="1" si="36"/>
        <v>0.27447257229674854</v>
      </c>
      <c r="H514">
        <f ca="1">INDEX(Aerodynamique!$T$6:$T$546,MATCH(G514,Aerodynamique!$Y$6:$Y$546,1))</f>
        <v>-0.19999999999999235</v>
      </c>
      <c r="I514">
        <f ca="1">INDEX(Aerodynamique!$Z$6:$Z$546,MATCH(G514,Aerodynamique!$Y$6:$Y$546,1))</f>
        <v>1.2167863708983592E-2</v>
      </c>
      <c r="J514">
        <f t="shared" ca="1" si="37"/>
        <v>3582.0223934344608</v>
      </c>
      <c r="K514" s="86">
        <f ca="1">INDEX(Aerodynamique!$AC$6:$AC$1006,MATCH(INDEX(Aerodynamique!$W$6:$W$546,MATCH(G514,Aerodynamique!$Y$6:$Y$546,1)),Aerodynamique!$AD$6:$AD$1006,-1))</f>
        <v>-3.1600000000000055</v>
      </c>
      <c r="L514">
        <f ca="1">Montée!$B$19*((E514-E513)/60)*J514/10</f>
        <v>11.452966526149927</v>
      </c>
      <c r="M514">
        <f t="shared" ca="1" si="39"/>
        <v>6425.7497113792979</v>
      </c>
    </row>
    <row r="515" spans="5:13">
      <c r="E515" s="210">
        <f t="shared" si="35"/>
        <v>510</v>
      </c>
      <c r="F515">
        <f t="shared" ca="1" si="38"/>
        <v>8267.437549518012</v>
      </c>
      <c r="G515">
        <f t="shared" ca="1" si="36"/>
        <v>0.27409286861824605</v>
      </c>
      <c r="H515">
        <f ca="1">INDEX(Aerodynamique!$T$6:$T$546,MATCH(G515,Aerodynamique!$Y$6:$Y$546,1))</f>
        <v>-0.19999999999999235</v>
      </c>
      <c r="I515">
        <f ca="1">INDEX(Aerodynamique!$Z$6:$Z$546,MATCH(G515,Aerodynamique!$Y$6:$Y$546,1))</f>
        <v>1.2167863708983592E-2</v>
      </c>
      <c r="J515">
        <f t="shared" ca="1" si="37"/>
        <v>3582.0223934344608</v>
      </c>
      <c r="K515" s="86">
        <f ca="1">INDEX(Aerodynamique!$AC$6:$AC$1006,MATCH(INDEX(Aerodynamique!$W$6:$W$546,MATCH(G515,Aerodynamique!$Y$6:$Y$546,1)),Aerodynamique!$AD$6:$AD$1006,-1))</f>
        <v>-3.1600000000000055</v>
      </c>
      <c r="L515">
        <f ca="1">Montée!$B$19*((E515-E514)/60)*J515/10</f>
        <v>11.452966526149927</v>
      </c>
      <c r="M515">
        <f t="shared" ca="1" si="39"/>
        <v>6437.2026779054477</v>
      </c>
    </row>
    <row r="516" spans="5:13">
      <c r="E516" s="210">
        <f t="shared" si="35"/>
        <v>511</v>
      </c>
      <c r="F516">
        <f t="shared" ca="1" si="38"/>
        <v>8255.9845829918613</v>
      </c>
      <c r="G516">
        <f t="shared" ca="1" si="36"/>
        <v>0.27371316493974363</v>
      </c>
      <c r="H516">
        <f ca="1">INDEX(Aerodynamique!$T$6:$T$546,MATCH(G516,Aerodynamique!$Y$6:$Y$546,1))</f>
        <v>-0.19999999999999235</v>
      </c>
      <c r="I516">
        <f ca="1">INDEX(Aerodynamique!$Z$6:$Z$546,MATCH(G516,Aerodynamique!$Y$6:$Y$546,1))</f>
        <v>1.2167863708983592E-2</v>
      </c>
      <c r="J516">
        <f t="shared" ca="1" si="37"/>
        <v>3582.0223934344608</v>
      </c>
      <c r="K516" s="86">
        <f ca="1">INDEX(Aerodynamique!$AC$6:$AC$1006,MATCH(INDEX(Aerodynamique!$W$6:$W$546,MATCH(G516,Aerodynamique!$Y$6:$Y$546,1)),Aerodynamique!$AD$6:$AD$1006,-1))</f>
        <v>-3.1600000000000055</v>
      </c>
      <c r="L516">
        <f ca="1">Montée!$B$19*((E516-E515)/60)*J516/10</f>
        <v>11.452966526149927</v>
      </c>
      <c r="M516">
        <f t="shared" ca="1" si="39"/>
        <v>6448.6556444315975</v>
      </c>
    </row>
    <row r="517" spans="5:13">
      <c r="E517" s="210">
        <f t="shared" si="35"/>
        <v>512</v>
      </c>
      <c r="F517">
        <f t="shared" ca="1" si="38"/>
        <v>8244.5316164657106</v>
      </c>
      <c r="G517">
        <f t="shared" ca="1" si="36"/>
        <v>0.27333346126124114</v>
      </c>
      <c r="H517">
        <f ca="1">INDEX(Aerodynamique!$T$6:$T$546,MATCH(G517,Aerodynamique!$Y$6:$Y$546,1))</f>
        <v>-0.19999999999999235</v>
      </c>
      <c r="I517">
        <f ca="1">INDEX(Aerodynamique!$Z$6:$Z$546,MATCH(G517,Aerodynamique!$Y$6:$Y$546,1))</f>
        <v>1.2167863708983592E-2</v>
      </c>
      <c r="J517">
        <f t="shared" ca="1" si="37"/>
        <v>3582.0223934344608</v>
      </c>
      <c r="K517" s="86">
        <f ca="1">INDEX(Aerodynamique!$AC$6:$AC$1006,MATCH(INDEX(Aerodynamique!$W$6:$W$546,MATCH(G517,Aerodynamique!$Y$6:$Y$546,1)),Aerodynamique!$AD$6:$AD$1006,-1))</f>
        <v>-3.1600000000000055</v>
      </c>
      <c r="L517">
        <f ca="1">Montée!$B$19*((E517-E516)/60)*J517/10</f>
        <v>11.452966526149927</v>
      </c>
      <c r="M517">
        <f t="shared" ca="1" si="39"/>
        <v>6460.1086109577473</v>
      </c>
    </row>
    <row r="518" spans="5:13">
      <c r="E518" s="210">
        <f t="shared" ref="E518:E581" si="40">E517+$E$3</f>
        <v>513</v>
      </c>
      <c r="F518">
        <f t="shared" ca="1" si="38"/>
        <v>8233.0786499395599</v>
      </c>
      <c r="G518">
        <f t="shared" ref="G518:G581" ca="1" si="41">2*F518*g/(rho*V^2*SRef)</f>
        <v>0.27295375758273865</v>
      </c>
      <c r="H518">
        <f ca="1">INDEX(Aerodynamique!$T$6:$T$546,MATCH(G518,Aerodynamique!$Y$6:$Y$546,1))</f>
        <v>-0.19999999999999235</v>
      </c>
      <c r="I518">
        <f ca="1">INDEX(Aerodynamique!$Z$6:$Z$546,MATCH(G518,Aerodynamique!$Y$6:$Y$546,1))</f>
        <v>1.2167863708983592E-2</v>
      </c>
      <c r="J518">
        <f t="shared" ref="J518:J581" ca="1" si="42">(1/2)*rho*V^2*SRef*I518</f>
        <v>3582.0223934344608</v>
      </c>
      <c r="K518" s="86">
        <f ca="1">INDEX(Aerodynamique!$AC$6:$AC$1006,MATCH(INDEX(Aerodynamique!$W$6:$W$546,MATCH(G518,Aerodynamique!$Y$6:$Y$546,1)),Aerodynamique!$AD$6:$AD$1006,-1))</f>
        <v>-3.1600000000000055</v>
      </c>
      <c r="L518">
        <f ca="1">Montée!$B$19*((E518-E517)/60)*J518/10</f>
        <v>11.452966526149927</v>
      </c>
      <c r="M518">
        <f t="shared" ca="1" si="39"/>
        <v>6471.5615774838971</v>
      </c>
    </row>
    <row r="519" spans="5:13">
      <c r="E519" s="210">
        <f t="shared" si="40"/>
        <v>514</v>
      </c>
      <c r="F519">
        <f t="shared" ref="F519:F582" ca="1" si="43">F518-L518</f>
        <v>8221.6256834134092</v>
      </c>
      <c r="G519">
        <f t="shared" ca="1" si="41"/>
        <v>0.27257405390423622</v>
      </c>
      <c r="H519">
        <f ca="1">INDEX(Aerodynamique!$T$6:$T$546,MATCH(G519,Aerodynamique!$Y$6:$Y$546,1))</f>
        <v>-0.19999999999999235</v>
      </c>
      <c r="I519">
        <f ca="1">INDEX(Aerodynamique!$Z$6:$Z$546,MATCH(G519,Aerodynamique!$Y$6:$Y$546,1))</f>
        <v>1.2167863708983592E-2</v>
      </c>
      <c r="J519">
        <f t="shared" ca="1" si="42"/>
        <v>3582.0223934344608</v>
      </c>
      <c r="K519" s="86">
        <f ca="1">INDEX(Aerodynamique!$AC$6:$AC$1006,MATCH(INDEX(Aerodynamique!$W$6:$W$546,MATCH(G519,Aerodynamique!$Y$6:$Y$546,1)),Aerodynamique!$AD$6:$AD$1006,-1))</f>
        <v>-3.1600000000000055</v>
      </c>
      <c r="L519">
        <f ca="1">Montée!$B$19*((E519-E518)/60)*J519/10</f>
        <v>11.452966526149927</v>
      </c>
      <c r="M519">
        <f t="shared" ca="1" si="39"/>
        <v>6483.0145440100468</v>
      </c>
    </row>
    <row r="520" spans="5:13">
      <c r="E520" s="210">
        <f t="shared" si="40"/>
        <v>515</v>
      </c>
      <c r="F520">
        <f t="shared" ca="1" si="43"/>
        <v>8210.1727168872585</v>
      </c>
      <c r="G520">
        <f t="shared" ca="1" si="41"/>
        <v>0.27219435022573374</v>
      </c>
      <c r="H520">
        <f ca="1">INDEX(Aerodynamique!$T$6:$T$546,MATCH(G520,Aerodynamique!$Y$6:$Y$546,1))</f>
        <v>-0.19999999999999235</v>
      </c>
      <c r="I520">
        <f ca="1">INDEX(Aerodynamique!$Z$6:$Z$546,MATCH(G520,Aerodynamique!$Y$6:$Y$546,1))</f>
        <v>1.2167863708983592E-2</v>
      </c>
      <c r="J520">
        <f t="shared" ca="1" si="42"/>
        <v>3582.0223934344608</v>
      </c>
      <c r="K520" s="86">
        <f ca="1">INDEX(Aerodynamique!$AC$6:$AC$1006,MATCH(INDEX(Aerodynamique!$W$6:$W$546,MATCH(G520,Aerodynamique!$Y$6:$Y$546,1)),Aerodynamique!$AD$6:$AD$1006,-1))</f>
        <v>-3.1600000000000055</v>
      </c>
      <c r="L520">
        <f ca="1">Montée!$B$19*((E520-E519)/60)*J520/10</f>
        <v>11.452966526149927</v>
      </c>
      <c r="M520">
        <f t="shared" ref="M520:M583" ca="1" si="44">M519+L520</f>
        <v>6494.4675105361966</v>
      </c>
    </row>
    <row r="521" spans="5:13">
      <c r="E521" s="210">
        <f t="shared" si="40"/>
        <v>516</v>
      </c>
      <c r="F521">
        <f t="shared" ca="1" si="43"/>
        <v>8198.7197503611078</v>
      </c>
      <c r="G521">
        <f t="shared" ca="1" si="41"/>
        <v>0.27181464654723131</v>
      </c>
      <c r="H521">
        <f ca="1">INDEX(Aerodynamique!$T$6:$T$546,MATCH(G521,Aerodynamique!$Y$6:$Y$546,1))</f>
        <v>-0.19999999999999235</v>
      </c>
      <c r="I521">
        <f ca="1">INDEX(Aerodynamique!$Z$6:$Z$546,MATCH(G521,Aerodynamique!$Y$6:$Y$546,1))</f>
        <v>1.2167863708983592E-2</v>
      </c>
      <c r="J521">
        <f t="shared" ca="1" si="42"/>
        <v>3582.0223934344608</v>
      </c>
      <c r="K521" s="86">
        <f ca="1">INDEX(Aerodynamique!$AC$6:$AC$1006,MATCH(INDEX(Aerodynamique!$W$6:$W$546,MATCH(G521,Aerodynamique!$Y$6:$Y$546,1)),Aerodynamique!$AD$6:$AD$1006,-1))</f>
        <v>-3.1600000000000055</v>
      </c>
      <c r="L521">
        <f ca="1">Montée!$B$19*((E521-E520)/60)*J521/10</f>
        <v>11.452966526149927</v>
      </c>
      <c r="M521">
        <f t="shared" ca="1" si="44"/>
        <v>6505.9204770623464</v>
      </c>
    </row>
    <row r="522" spans="5:13">
      <c r="E522" s="210">
        <f t="shared" si="40"/>
        <v>517</v>
      </c>
      <c r="F522">
        <f t="shared" ca="1" si="43"/>
        <v>8187.266783834958</v>
      </c>
      <c r="G522">
        <f t="shared" ca="1" si="41"/>
        <v>0.27143494286872888</v>
      </c>
      <c r="H522">
        <f ca="1">INDEX(Aerodynamique!$T$6:$T$546,MATCH(G522,Aerodynamique!$Y$6:$Y$546,1))</f>
        <v>-0.24999999999999234</v>
      </c>
      <c r="I522">
        <f ca="1">INDEX(Aerodynamique!$Z$6:$Z$546,MATCH(G522,Aerodynamique!$Y$6:$Y$546,1))</f>
        <v>1.2123703268059047E-2</v>
      </c>
      <c r="J522">
        <f t="shared" ca="1" si="42"/>
        <v>3569.0222734397839</v>
      </c>
      <c r="K522" s="86">
        <f ca="1">INDEX(Aerodynamique!$AC$6:$AC$1006,MATCH(INDEX(Aerodynamique!$W$6:$W$546,MATCH(G522,Aerodynamique!$Y$6:$Y$546,1)),Aerodynamique!$AD$6:$AD$1006,-1))</f>
        <v>-3.1200000000000054</v>
      </c>
      <c r="L522">
        <f ca="1">Montée!$B$19*((E522-E521)/60)*J522/10</f>
        <v>11.411400638843396</v>
      </c>
      <c r="M522">
        <f t="shared" ca="1" si="44"/>
        <v>6517.33187770119</v>
      </c>
    </row>
    <row r="523" spans="5:13">
      <c r="E523" s="210">
        <f t="shared" si="40"/>
        <v>518</v>
      </c>
      <c r="F523">
        <f t="shared" ca="1" si="43"/>
        <v>8175.8553831961144</v>
      </c>
      <c r="G523">
        <f t="shared" ca="1" si="41"/>
        <v>0.27105661723671548</v>
      </c>
      <c r="H523">
        <f ca="1">INDEX(Aerodynamique!$T$6:$T$546,MATCH(G523,Aerodynamique!$Y$6:$Y$546,1))</f>
        <v>-0.24999999999999234</v>
      </c>
      <c r="I523">
        <f ca="1">INDEX(Aerodynamique!$Z$6:$Z$546,MATCH(G523,Aerodynamique!$Y$6:$Y$546,1))</f>
        <v>1.2123703268059047E-2</v>
      </c>
      <c r="J523">
        <f t="shared" ca="1" si="42"/>
        <v>3569.0222734397839</v>
      </c>
      <c r="K523" s="86">
        <f ca="1">INDEX(Aerodynamique!$AC$6:$AC$1006,MATCH(INDEX(Aerodynamique!$W$6:$W$546,MATCH(G523,Aerodynamique!$Y$6:$Y$546,1)),Aerodynamique!$AD$6:$AD$1006,-1))</f>
        <v>-3.1200000000000054</v>
      </c>
      <c r="L523">
        <f ca="1">Montée!$B$19*((E523-E522)/60)*J523/10</f>
        <v>11.411400638843396</v>
      </c>
      <c r="M523">
        <f t="shared" ca="1" si="44"/>
        <v>6528.7432783400336</v>
      </c>
    </row>
    <row r="524" spans="5:13">
      <c r="E524" s="210">
        <f t="shared" si="40"/>
        <v>519</v>
      </c>
      <c r="F524">
        <f t="shared" ca="1" si="43"/>
        <v>8164.4439825572708</v>
      </c>
      <c r="G524">
        <f t="shared" ca="1" si="41"/>
        <v>0.27067829160470203</v>
      </c>
      <c r="H524">
        <f ca="1">INDEX(Aerodynamique!$T$6:$T$546,MATCH(G524,Aerodynamique!$Y$6:$Y$546,1))</f>
        <v>-0.24999999999999234</v>
      </c>
      <c r="I524">
        <f ca="1">INDEX(Aerodynamique!$Z$6:$Z$546,MATCH(G524,Aerodynamique!$Y$6:$Y$546,1))</f>
        <v>1.2123703268059047E-2</v>
      </c>
      <c r="J524">
        <f t="shared" ca="1" si="42"/>
        <v>3569.0222734397839</v>
      </c>
      <c r="K524" s="86">
        <f ca="1">INDEX(Aerodynamique!$AC$6:$AC$1006,MATCH(INDEX(Aerodynamique!$W$6:$W$546,MATCH(G524,Aerodynamique!$Y$6:$Y$546,1)),Aerodynamique!$AD$6:$AD$1006,-1))</f>
        <v>-3.1200000000000054</v>
      </c>
      <c r="L524">
        <f ca="1">Montée!$B$19*((E524-E523)/60)*J524/10</f>
        <v>11.411400638843396</v>
      </c>
      <c r="M524">
        <f t="shared" ca="1" si="44"/>
        <v>6540.1546789788772</v>
      </c>
    </row>
    <row r="525" spans="5:13">
      <c r="E525" s="210">
        <f t="shared" si="40"/>
        <v>520</v>
      </c>
      <c r="F525">
        <f t="shared" ca="1" si="43"/>
        <v>8153.0325819184272</v>
      </c>
      <c r="G525">
        <f t="shared" ca="1" si="41"/>
        <v>0.27029996597268863</v>
      </c>
      <c r="H525">
        <f ca="1">INDEX(Aerodynamique!$T$6:$T$546,MATCH(G525,Aerodynamique!$Y$6:$Y$546,1))</f>
        <v>-0.24999999999999234</v>
      </c>
      <c r="I525">
        <f ca="1">INDEX(Aerodynamique!$Z$6:$Z$546,MATCH(G525,Aerodynamique!$Y$6:$Y$546,1))</f>
        <v>1.2123703268059047E-2</v>
      </c>
      <c r="J525">
        <f t="shared" ca="1" si="42"/>
        <v>3569.0222734397839</v>
      </c>
      <c r="K525" s="86">
        <f ca="1">INDEX(Aerodynamique!$AC$6:$AC$1006,MATCH(INDEX(Aerodynamique!$W$6:$W$546,MATCH(G525,Aerodynamique!$Y$6:$Y$546,1)),Aerodynamique!$AD$6:$AD$1006,-1))</f>
        <v>-3.1200000000000054</v>
      </c>
      <c r="L525">
        <f ca="1">Montée!$B$19*((E525-E524)/60)*J525/10</f>
        <v>11.411400638843396</v>
      </c>
      <c r="M525">
        <f t="shared" ca="1" si="44"/>
        <v>6551.5660796177208</v>
      </c>
    </row>
    <row r="526" spans="5:13">
      <c r="E526" s="210">
        <f t="shared" si="40"/>
        <v>521</v>
      </c>
      <c r="F526">
        <f t="shared" ca="1" si="43"/>
        <v>8141.6211812795837</v>
      </c>
      <c r="G526">
        <f t="shared" ca="1" si="41"/>
        <v>0.26992164034067523</v>
      </c>
      <c r="H526">
        <f ca="1">INDEX(Aerodynamique!$T$6:$T$546,MATCH(G526,Aerodynamique!$Y$6:$Y$546,1))</f>
        <v>-0.24999999999999234</v>
      </c>
      <c r="I526">
        <f ca="1">INDEX(Aerodynamique!$Z$6:$Z$546,MATCH(G526,Aerodynamique!$Y$6:$Y$546,1))</f>
        <v>1.2123703268059047E-2</v>
      </c>
      <c r="J526">
        <f t="shared" ca="1" si="42"/>
        <v>3569.0222734397839</v>
      </c>
      <c r="K526" s="86">
        <f ca="1">INDEX(Aerodynamique!$AC$6:$AC$1006,MATCH(INDEX(Aerodynamique!$W$6:$W$546,MATCH(G526,Aerodynamique!$Y$6:$Y$546,1)),Aerodynamique!$AD$6:$AD$1006,-1))</f>
        <v>-3.1200000000000054</v>
      </c>
      <c r="L526">
        <f ca="1">Montée!$B$19*((E526-E525)/60)*J526/10</f>
        <v>11.411400638843396</v>
      </c>
      <c r="M526">
        <f t="shared" ca="1" si="44"/>
        <v>6562.9774802565644</v>
      </c>
    </row>
    <row r="527" spans="5:13">
      <c r="E527" s="210">
        <f t="shared" si="40"/>
        <v>522</v>
      </c>
      <c r="F527">
        <f t="shared" ca="1" si="43"/>
        <v>8130.2097806407401</v>
      </c>
      <c r="G527">
        <f t="shared" ca="1" si="41"/>
        <v>0.26954331470866183</v>
      </c>
      <c r="H527">
        <f ca="1">INDEX(Aerodynamique!$T$6:$T$546,MATCH(G527,Aerodynamique!$Y$6:$Y$546,1))</f>
        <v>-0.24999999999999234</v>
      </c>
      <c r="I527">
        <f ca="1">INDEX(Aerodynamique!$Z$6:$Z$546,MATCH(G527,Aerodynamique!$Y$6:$Y$546,1))</f>
        <v>1.2123703268059047E-2</v>
      </c>
      <c r="J527">
        <f t="shared" ca="1" si="42"/>
        <v>3569.0222734397839</v>
      </c>
      <c r="K527" s="86">
        <f ca="1">INDEX(Aerodynamique!$AC$6:$AC$1006,MATCH(INDEX(Aerodynamique!$W$6:$W$546,MATCH(G527,Aerodynamique!$Y$6:$Y$546,1)),Aerodynamique!$AD$6:$AD$1006,-1))</f>
        <v>-3.1200000000000054</v>
      </c>
      <c r="L527">
        <f ca="1">Montée!$B$19*((E527-E526)/60)*J527/10</f>
        <v>11.411400638843396</v>
      </c>
      <c r="M527">
        <f t="shared" ca="1" si="44"/>
        <v>6574.388880895408</v>
      </c>
    </row>
    <row r="528" spans="5:13">
      <c r="E528" s="210">
        <f t="shared" si="40"/>
        <v>523</v>
      </c>
      <c r="F528">
        <f t="shared" ca="1" si="43"/>
        <v>8118.7983800018965</v>
      </c>
      <c r="G528">
        <f t="shared" ca="1" si="41"/>
        <v>0.26916498907664843</v>
      </c>
      <c r="H528">
        <f ca="1">INDEX(Aerodynamique!$T$6:$T$546,MATCH(G528,Aerodynamique!$Y$6:$Y$546,1))</f>
        <v>-0.24999999999999234</v>
      </c>
      <c r="I528">
        <f ca="1">INDEX(Aerodynamique!$Z$6:$Z$546,MATCH(G528,Aerodynamique!$Y$6:$Y$546,1))</f>
        <v>1.2123703268059047E-2</v>
      </c>
      <c r="J528">
        <f t="shared" ca="1" si="42"/>
        <v>3569.0222734397839</v>
      </c>
      <c r="K528" s="86">
        <f ca="1">INDEX(Aerodynamique!$AC$6:$AC$1006,MATCH(INDEX(Aerodynamique!$W$6:$W$546,MATCH(G528,Aerodynamique!$Y$6:$Y$546,1)),Aerodynamique!$AD$6:$AD$1006,-1))</f>
        <v>-3.1200000000000054</v>
      </c>
      <c r="L528">
        <f ca="1">Montée!$B$19*((E528-E527)/60)*J528/10</f>
        <v>11.411400638843396</v>
      </c>
      <c r="M528">
        <f t="shared" ca="1" si="44"/>
        <v>6585.8002815342516</v>
      </c>
    </row>
    <row r="529" spans="5:13">
      <c r="E529" s="210">
        <f t="shared" si="40"/>
        <v>524</v>
      </c>
      <c r="F529">
        <f t="shared" ca="1" si="43"/>
        <v>8107.3869793630529</v>
      </c>
      <c r="G529">
        <f t="shared" ca="1" si="41"/>
        <v>0.26878666344463503</v>
      </c>
      <c r="H529">
        <f ca="1">INDEX(Aerodynamique!$T$6:$T$546,MATCH(G529,Aerodynamique!$Y$6:$Y$546,1))</f>
        <v>-0.24999999999999234</v>
      </c>
      <c r="I529">
        <f ca="1">INDEX(Aerodynamique!$Z$6:$Z$546,MATCH(G529,Aerodynamique!$Y$6:$Y$546,1))</f>
        <v>1.2123703268059047E-2</v>
      </c>
      <c r="J529">
        <f t="shared" ca="1" si="42"/>
        <v>3569.0222734397839</v>
      </c>
      <c r="K529" s="86">
        <f ca="1">INDEX(Aerodynamique!$AC$6:$AC$1006,MATCH(INDEX(Aerodynamique!$W$6:$W$546,MATCH(G529,Aerodynamique!$Y$6:$Y$546,1)),Aerodynamique!$AD$6:$AD$1006,-1))</f>
        <v>-3.1200000000000054</v>
      </c>
      <c r="L529">
        <f ca="1">Montée!$B$19*((E529-E528)/60)*J529/10</f>
        <v>11.411400638843396</v>
      </c>
      <c r="M529">
        <f t="shared" ca="1" si="44"/>
        <v>6597.2116821730951</v>
      </c>
    </row>
    <row r="530" spans="5:13">
      <c r="E530" s="210">
        <f t="shared" si="40"/>
        <v>525</v>
      </c>
      <c r="F530">
        <f t="shared" ca="1" si="43"/>
        <v>8095.9755787242093</v>
      </c>
      <c r="G530">
        <f t="shared" ca="1" si="41"/>
        <v>0.26840833781262163</v>
      </c>
      <c r="H530">
        <f ca="1">INDEX(Aerodynamique!$T$6:$T$546,MATCH(G530,Aerodynamique!$Y$6:$Y$546,1))</f>
        <v>-0.24999999999999234</v>
      </c>
      <c r="I530">
        <f ca="1">INDEX(Aerodynamique!$Z$6:$Z$546,MATCH(G530,Aerodynamique!$Y$6:$Y$546,1))</f>
        <v>1.2123703268059047E-2</v>
      </c>
      <c r="J530">
        <f t="shared" ca="1" si="42"/>
        <v>3569.0222734397839</v>
      </c>
      <c r="K530" s="86">
        <f ca="1">INDEX(Aerodynamique!$AC$6:$AC$1006,MATCH(INDEX(Aerodynamique!$W$6:$W$546,MATCH(G530,Aerodynamique!$Y$6:$Y$546,1)),Aerodynamique!$AD$6:$AD$1006,-1))</f>
        <v>-3.1200000000000054</v>
      </c>
      <c r="L530">
        <f ca="1">Montée!$B$19*((E530-E529)/60)*J530/10</f>
        <v>11.411400638843396</v>
      </c>
      <c r="M530">
        <f t="shared" ca="1" si="44"/>
        <v>6608.6230828119387</v>
      </c>
    </row>
    <row r="531" spans="5:13">
      <c r="E531" s="210">
        <f t="shared" si="40"/>
        <v>526</v>
      </c>
      <c r="F531">
        <f t="shared" ca="1" si="43"/>
        <v>8084.5641780853657</v>
      </c>
      <c r="G531">
        <f t="shared" ca="1" si="41"/>
        <v>0.26803001218060823</v>
      </c>
      <c r="H531">
        <f ca="1">INDEX(Aerodynamique!$T$6:$T$546,MATCH(G531,Aerodynamique!$Y$6:$Y$546,1))</f>
        <v>-0.24999999999999234</v>
      </c>
      <c r="I531">
        <f ca="1">INDEX(Aerodynamique!$Z$6:$Z$546,MATCH(G531,Aerodynamique!$Y$6:$Y$546,1))</f>
        <v>1.2123703268059047E-2</v>
      </c>
      <c r="J531">
        <f t="shared" ca="1" si="42"/>
        <v>3569.0222734397839</v>
      </c>
      <c r="K531" s="86">
        <f ca="1">INDEX(Aerodynamique!$AC$6:$AC$1006,MATCH(INDEX(Aerodynamique!$W$6:$W$546,MATCH(G531,Aerodynamique!$Y$6:$Y$546,1)),Aerodynamique!$AD$6:$AD$1006,-1))</f>
        <v>-3.1200000000000054</v>
      </c>
      <c r="L531">
        <f ca="1">Montée!$B$19*((E531-E530)/60)*J531/10</f>
        <v>11.411400638843396</v>
      </c>
      <c r="M531">
        <f t="shared" ca="1" si="44"/>
        <v>6620.0344834507823</v>
      </c>
    </row>
    <row r="532" spans="5:13">
      <c r="E532" s="210">
        <f t="shared" si="40"/>
        <v>527</v>
      </c>
      <c r="F532">
        <f t="shared" ca="1" si="43"/>
        <v>8073.1527774465221</v>
      </c>
      <c r="G532">
        <f t="shared" ca="1" si="41"/>
        <v>0.26765168654859489</v>
      </c>
      <c r="H532">
        <f ca="1">INDEX(Aerodynamique!$T$6:$T$546,MATCH(G532,Aerodynamique!$Y$6:$Y$546,1))</f>
        <v>-0.24999999999999234</v>
      </c>
      <c r="I532">
        <f ca="1">INDEX(Aerodynamique!$Z$6:$Z$546,MATCH(G532,Aerodynamique!$Y$6:$Y$546,1))</f>
        <v>1.2123703268059047E-2</v>
      </c>
      <c r="J532">
        <f t="shared" ca="1" si="42"/>
        <v>3569.0222734397839</v>
      </c>
      <c r="K532" s="86">
        <f ca="1">INDEX(Aerodynamique!$AC$6:$AC$1006,MATCH(INDEX(Aerodynamique!$W$6:$W$546,MATCH(G532,Aerodynamique!$Y$6:$Y$546,1)),Aerodynamique!$AD$6:$AD$1006,-1))</f>
        <v>-3.1200000000000054</v>
      </c>
      <c r="L532">
        <f ca="1">Montée!$B$19*((E532-E531)/60)*J532/10</f>
        <v>11.411400638843396</v>
      </c>
      <c r="M532">
        <f t="shared" ca="1" si="44"/>
        <v>6631.4458840896259</v>
      </c>
    </row>
    <row r="533" spans="5:13">
      <c r="E533" s="210">
        <f t="shared" si="40"/>
        <v>528</v>
      </c>
      <c r="F533">
        <f t="shared" ca="1" si="43"/>
        <v>8061.7413768076785</v>
      </c>
      <c r="G533">
        <f t="shared" ca="1" si="41"/>
        <v>0.26727336091658144</v>
      </c>
      <c r="H533">
        <f ca="1">INDEX(Aerodynamique!$T$6:$T$546,MATCH(G533,Aerodynamique!$Y$6:$Y$546,1))</f>
        <v>-0.24999999999999234</v>
      </c>
      <c r="I533">
        <f ca="1">INDEX(Aerodynamique!$Z$6:$Z$546,MATCH(G533,Aerodynamique!$Y$6:$Y$546,1))</f>
        <v>1.2123703268059047E-2</v>
      </c>
      <c r="J533">
        <f t="shared" ca="1" si="42"/>
        <v>3569.0222734397839</v>
      </c>
      <c r="K533" s="86">
        <f ca="1">INDEX(Aerodynamique!$AC$6:$AC$1006,MATCH(INDEX(Aerodynamique!$W$6:$W$546,MATCH(G533,Aerodynamique!$Y$6:$Y$546,1)),Aerodynamique!$AD$6:$AD$1006,-1))</f>
        <v>-3.1200000000000054</v>
      </c>
      <c r="L533">
        <f ca="1">Montée!$B$19*((E533-E532)/60)*J533/10</f>
        <v>11.411400638843396</v>
      </c>
      <c r="M533">
        <f t="shared" ca="1" si="44"/>
        <v>6642.8572847284695</v>
      </c>
    </row>
    <row r="534" spans="5:13">
      <c r="E534" s="210">
        <f t="shared" si="40"/>
        <v>529</v>
      </c>
      <c r="F534">
        <f t="shared" ca="1" si="43"/>
        <v>8050.3299761688349</v>
      </c>
      <c r="G534">
        <f t="shared" ca="1" si="41"/>
        <v>0.26689503528456804</v>
      </c>
      <c r="H534">
        <f ca="1">INDEX(Aerodynamique!$T$6:$T$546,MATCH(G534,Aerodynamique!$Y$6:$Y$546,1))</f>
        <v>-0.24999999999999234</v>
      </c>
      <c r="I534">
        <f ca="1">INDEX(Aerodynamique!$Z$6:$Z$546,MATCH(G534,Aerodynamique!$Y$6:$Y$546,1))</f>
        <v>1.2123703268059047E-2</v>
      </c>
      <c r="J534">
        <f t="shared" ca="1" si="42"/>
        <v>3569.0222734397839</v>
      </c>
      <c r="K534" s="86">
        <f ca="1">INDEX(Aerodynamique!$AC$6:$AC$1006,MATCH(INDEX(Aerodynamique!$W$6:$W$546,MATCH(G534,Aerodynamique!$Y$6:$Y$546,1)),Aerodynamique!$AD$6:$AD$1006,-1))</f>
        <v>-3.1200000000000054</v>
      </c>
      <c r="L534">
        <f ca="1">Montée!$B$19*((E534-E533)/60)*J534/10</f>
        <v>11.411400638843396</v>
      </c>
      <c r="M534">
        <f t="shared" ca="1" si="44"/>
        <v>6654.2686853673131</v>
      </c>
    </row>
    <row r="535" spans="5:13">
      <c r="E535" s="210">
        <f t="shared" si="40"/>
        <v>530</v>
      </c>
      <c r="F535">
        <f t="shared" ca="1" si="43"/>
        <v>8038.9185755299914</v>
      </c>
      <c r="G535">
        <f t="shared" ca="1" si="41"/>
        <v>0.26651670965255464</v>
      </c>
      <c r="H535">
        <f ca="1">INDEX(Aerodynamique!$T$6:$T$546,MATCH(G535,Aerodynamique!$Y$6:$Y$546,1))</f>
        <v>-0.24999999999999234</v>
      </c>
      <c r="I535">
        <f ca="1">INDEX(Aerodynamique!$Z$6:$Z$546,MATCH(G535,Aerodynamique!$Y$6:$Y$546,1))</f>
        <v>1.2123703268059047E-2</v>
      </c>
      <c r="J535">
        <f t="shared" ca="1" si="42"/>
        <v>3569.0222734397839</v>
      </c>
      <c r="K535" s="86">
        <f ca="1">INDEX(Aerodynamique!$AC$6:$AC$1006,MATCH(INDEX(Aerodynamique!$W$6:$W$546,MATCH(G535,Aerodynamique!$Y$6:$Y$546,1)),Aerodynamique!$AD$6:$AD$1006,-1))</f>
        <v>-3.1200000000000054</v>
      </c>
      <c r="L535">
        <f ca="1">Montée!$B$19*((E535-E534)/60)*J535/10</f>
        <v>11.411400638843396</v>
      </c>
      <c r="M535">
        <f t="shared" ca="1" si="44"/>
        <v>6665.6800860061567</v>
      </c>
    </row>
    <row r="536" spans="5:13">
      <c r="E536" s="210">
        <f t="shared" si="40"/>
        <v>531</v>
      </c>
      <c r="F536">
        <f t="shared" ca="1" si="43"/>
        <v>8027.5071748911478</v>
      </c>
      <c r="G536">
        <f t="shared" ca="1" si="41"/>
        <v>0.26613838402054124</v>
      </c>
      <c r="H536">
        <f ca="1">INDEX(Aerodynamique!$T$6:$T$546,MATCH(G536,Aerodynamique!$Y$6:$Y$546,1))</f>
        <v>-0.29999999999999233</v>
      </c>
      <c r="I536">
        <f ca="1">INDEX(Aerodynamique!$Z$6:$Z$546,MATCH(G536,Aerodynamique!$Y$6:$Y$546,1))</f>
        <v>1.208061063714666E-2</v>
      </c>
      <c r="J536">
        <f t="shared" ca="1" si="42"/>
        <v>3556.3364994525054</v>
      </c>
      <c r="K536" s="86">
        <f ca="1">INDEX(Aerodynamique!$AC$6:$AC$1006,MATCH(INDEX(Aerodynamique!$W$6:$W$546,MATCH(G536,Aerodynamique!$Y$6:$Y$546,1)),Aerodynamique!$AD$6:$AD$1006,-1))</f>
        <v>-3.0600000000000054</v>
      </c>
      <c r="L536">
        <f ca="1">Montée!$B$19*((E536-E535)/60)*J536/10</f>
        <v>11.370839824622664</v>
      </c>
      <c r="M536">
        <f t="shared" ca="1" si="44"/>
        <v>6677.0509258307793</v>
      </c>
    </row>
    <row r="537" spans="5:13">
      <c r="E537" s="210">
        <f t="shared" si="40"/>
        <v>532</v>
      </c>
      <c r="F537">
        <f t="shared" ca="1" si="43"/>
        <v>8016.1363350665251</v>
      </c>
      <c r="G537">
        <f t="shared" ca="1" si="41"/>
        <v>0.26576140311352353</v>
      </c>
      <c r="H537">
        <f ca="1">INDEX(Aerodynamique!$T$6:$T$546,MATCH(G537,Aerodynamique!$Y$6:$Y$546,1))</f>
        <v>-0.29999999999999233</v>
      </c>
      <c r="I537">
        <f ca="1">INDEX(Aerodynamique!$Z$6:$Z$546,MATCH(G537,Aerodynamique!$Y$6:$Y$546,1))</f>
        <v>1.208061063714666E-2</v>
      </c>
      <c r="J537">
        <f t="shared" ca="1" si="42"/>
        <v>3556.3364994525054</v>
      </c>
      <c r="K537" s="86">
        <f ca="1">INDEX(Aerodynamique!$AC$6:$AC$1006,MATCH(INDEX(Aerodynamique!$W$6:$W$546,MATCH(G537,Aerodynamique!$Y$6:$Y$546,1)),Aerodynamique!$AD$6:$AD$1006,-1))</f>
        <v>-3.0600000000000054</v>
      </c>
      <c r="L537">
        <f ca="1">Montée!$B$19*((E537-E536)/60)*J537/10</f>
        <v>11.370839824622664</v>
      </c>
      <c r="M537">
        <f t="shared" ca="1" si="44"/>
        <v>6688.4217656554019</v>
      </c>
    </row>
    <row r="538" spans="5:13">
      <c r="E538" s="210">
        <f t="shared" si="40"/>
        <v>533</v>
      </c>
      <c r="F538">
        <f t="shared" ca="1" si="43"/>
        <v>8004.7654952419025</v>
      </c>
      <c r="G538">
        <f t="shared" ca="1" si="41"/>
        <v>0.26538442220650588</v>
      </c>
      <c r="H538">
        <f ca="1">INDEX(Aerodynamique!$T$6:$T$546,MATCH(G538,Aerodynamique!$Y$6:$Y$546,1))</f>
        <v>-0.29999999999999233</v>
      </c>
      <c r="I538">
        <f ca="1">INDEX(Aerodynamique!$Z$6:$Z$546,MATCH(G538,Aerodynamique!$Y$6:$Y$546,1))</f>
        <v>1.208061063714666E-2</v>
      </c>
      <c r="J538">
        <f t="shared" ca="1" si="42"/>
        <v>3556.3364994525054</v>
      </c>
      <c r="K538" s="86">
        <f ca="1">INDEX(Aerodynamique!$AC$6:$AC$1006,MATCH(INDEX(Aerodynamique!$W$6:$W$546,MATCH(G538,Aerodynamique!$Y$6:$Y$546,1)),Aerodynamique!$AD$6:$AD$1006,-1))</f>
        <v>-3.0600000000000054</v>
      </c>
      <c r="L538">
        <f ca="1">Montée!$B$19*((E538-E537)/60)*J538/10</f>
        <v>11.370839824622664</v>
      </c>
      <c r="M538">
        <f t="shared" ca="1" si="44"/>
        <v>6699.7926054800246</v>
      </c>
    </row>
    <row r="539" spans="5:13">
      <c r="E539" s="210">
        <f t="shared" si="40"/>
        <v>534</v>
      </c>
      <c r="F539">
        <f t="shared" ca="1" si="43"/>
        <v>7993.3946554172799</v>
      </c>
      <c r="G539">
        <f t="shared" ca="1" si="41"/>
        <v>0.26500744129948817</v>
      </c>
      <c r="H539">
        <f ca="1">INDEX(Aerodynamique!$T$6:$T$546,MATCH(G539,Aerodynamique!$Y$6:$Y$546,1))</f>
        <v>-0.29999999999999233</v>
      </c>
      <c r="I539">
        <f ca="1">INDEX(Aerodynamique!$Z$6:$Z$546,MATCH(G539,Aerodynamique!$Y$6:$Y$546,1))</f>
        <v>1.208061063714666E-2</v>
      </c>
      <c r="J539">
        <f t="shared" ca="1" si="42"/>
        <v>3556.3364994525054</v>
      </c>
      <c r="K539" s="86">
        <f ca="1">INDEX(Aerodynamique!$AC$6:$AC$1006,MATCH(INDEX(Aerodynamique!$W$6:$W$546,MATCH(G539,Aerodynamique!$Y$6:$Y$546,1)),Aerodynamique!$AD$6:$AD$1006,-1))</f>
        <v>-3.0600000000000054</v>
      </c>
      <c r="L539">
        <f ca="1">Montée!$B$19*((E539-E538)/60)*J539/10</f>
        <v>11.370839824622664</v>
      </c>
      <c r="M539">
        <f t="shared" ca="1" si="44"/>
        <v>6711.1634453046472</v>
      </c>
    </row>
    <row r="540" spans="5:13">
      <c r="E540" s="210">
        <f t="shared" si="40"/>
        <v>535</v>
      </c>
      <c r="F540">
        <f t="shared" ca="1" si="43"/>
        <v>7982.0238155926572</v>
      </c>
      <c r="G540">
        <f t="shared" ca="1" si="41"/>
        <v>0.26463046039247051</v>
      </c>
      <c r="H540">
        <f ca="1">INDEX(Aerodynamique!$T$6:$T$546,MATCH(G540,Aerodynamique!$Y$6:$Y$546,1))</f>
        <v>-0.29999999999999233</v>
      </c>
      <c r="I540">
        <f ca="1">INDEX(Aerodynamique!$Z$6:$Z$546,MATCH(G540,Aerodynamique!$Y$6:$Y$546,1))</f>
        <v>1.208061063714666E-2</v>
      </c>
      <c r="J540">
        <f t="shared" ca="1" si="42"/>
        <v>3556.3364994525054</v>
      </c>
      <c r="K540" s="86">
        <f ca="1">INDEX(Aerodynamique!$AC$6:$AC$1006,MATCH(INDEX(Aerodynamique!$W$6:$W$546,MATCH(G540,Aerodynamique!$Y$6:$Y$546,1)),Aerodynamique!$AD$6:$AD$1006,-1))</f>
        <v>-3.0600000000000054</v>
      </c>
      <c r="L540">
        <f ca="1">Montée!$B$19*((E540-E539)/60)*J540/10</f>
        <v>11.370839824622664</v>
      </c>
      <c r="M540">
        <f t="shared" ca="1" si="44"/>
        <v>6722.5342851292698</v>
      </c>
    </row>
    <row r="541" spans="5:13">
      <c r="E541" s="210">
        <f t="shared" si="40"/>
        <v>536</v>
      </c>
      <c r="F541">
        <f t="shared" ca="1" si="43"/>
        <v>7970.6529757680346</v>
      </c>
      <c r="G541">
        <f t="shared" ca="1" si="41"/>
        <v>0.2642534794854528</v>
      </c>
      <c r="H541">
        <f ca="1">INDEX(Aerodynamique!$T$6:$T$546,MATCH(G541,Aerodynamique!$Y$6:$Y$546,1))</f>
        <v>-0.29999999999999233</v>
      </c>
      <c r="I541">
        <f ca="1">INDEX(Aerodynamique!$Z$6:$Z$546,MATCH(G541,Aerodynamique!$Y$6:$Y$546,1))</f>
        <v>1.208061063714666E-2</v>
      </c>
      <c r="J541">
        <f t="shared" ca="1" si="42"/>
        <v>3556.3364994525054</v>
      </c>
      <c r="K541" s="86">
        <f ca="1">INDEX(Aerodynamique!$AC$6:$AC$1006,MATCH(INDEX(Aerodynamique!$W$6:$W$546,MATCH(G541,Aerodynamique!$Y$6:$Y$546,1)),Aerodynamique!$AD$6:$AD$1006,-1))</f>
        <v>-3.0600000000000054</v>
      </c>
      <c r="L541">
        <f ca="1">Montée!$B$19*((E541-E540)/60)*J541/10</f>
        <v>11.370839824622664</v>
      </c>
      <c r="M541">
        <f t="shared" ca="1" si="44"/>
        <v>6733.9051249538925</v>
      </c>
    </row>
    <row r="542" spans="5:13">
      <c r="E542" s="210">
        <f t="shared" si="40"/>
        <v>537</v>
      </c>
      <c r="F542">
        <f t="shared" ca="1" si="43"/>
        <v>7959.282135943412</v>
      </c>
      <c r="G542">
        <f t="shared" ca="1" si="41"/>
        <v>0.26387649857843509</v>
      </c>
      <c r="H542">
        <f ca="1">INDEX(Aerodynamique!$T$6:$T$546,MATCH(G542,Aerodynamique!$Y$6:$Y$546,1))</f>
        <v>-0.29999999999999233</v>
      </c>
      <c r="I542">
        <f ca="1">INDEX(Aerodynamique!$Z$6:$Z$546,MATCH(G542,Aerodynamique!$Y$6:$Y$546,1))</f>
        <v>1.208061063714666E-2</v>
      </c>
      <c r="J542">
        <f t="shared" ca="1" si="42"/>
        <v>3556.3364994525054</v>
      </c>
      <c r="K542" s="86">
        <f ca="1">INDEX(Aerodynamique!$AC$6:$AC$1006,MATCH(INDEX(Aerodynamique!$W$6:$W$546,MATCH(G542,Aerodynamique!$Y$6:$Y$546,1)),Aerodynamique!$AD$6:$AD$1006,-1))</f>
        <v>-3.0600000000000054</v>
      </c>
      <c r="L542">
        <f ca="1">Montée!$B$19*((E542-E541)/60)*J542/10</f>
        <v>11.370839824622664</v>
      </c>
      <c r="M542">
        <f t="shared" ca="1" si="44"/>
        <v>6745.2759647785151</v>
      </c>
    </row>
    <row r="543" spans="5:13">
      <c r="E543" s="210">
        <f t="shared" si="40"/>
        <v>538</v>
      </c>
      <c r="F543">
        <f t="shared" ca="1" si="43"/>
        <v>7947.9112961187893</v>
      </c>
      <c r="G543">
        <f t="shared" ca="1" si="41"/>
        <v>0.26349951767141738</v>
      </c>
      <c r="H543">
        <f ca="1">INDEX(Aerodynamique!$T$6:$T$546,MATCH(G543,Aerodynamique!$Y$6:$Y$546,1))</f>
        <v>-0.29999999999999233</v>
      </c>
      <c r="I543">
        <f ca="1">INDEX(Aerodynamique!$Z$6:$Z$546,MATCH(G543,Aerodynamique!$Y$6:$Y$546,1))</f>
        <v>1.208061063714666E-2</v>
      </c>
      <c r="J543">
        <f t="shared" ca="1" si="42"/>
        <v>3556.3364994525054</v>
      </c>
      <c r="K543" s="86">
        <f ca="1">INDEX(Aerodynamique!$AC$6:$AC$1006,MATCH(INDEX(Aerodynamique!$W$6:$W$546,MATCH(G543,Aerodynamique!$Y$6:$Y$546,1)),Aerodynamique!$AD$6:$AD$1006,-1))</f>
        <v>-3.0600000000000054</v>
      </c>
      <c r="L543">
        <f ca="1">Montée!$B$19*((E543-E542)/60)*J543/10</f>
        <v>11.370839824622664</v>
      </c>
      <c r="M543">
        <f t="shared" ca="1" si="44"/>
        <v>6756.6468046031378</v>
      </c>
    </row>
    <row r="544" spans="5:13">
      <c r="E544" s="210">
        <f t="shared" si="40"/>
        <v>539</v>
      </c>
      <c r="F544">
        <f t="shared" ca="1" si="43"/>
        <v>7936.5404562941667</v>
      </c>
      <c r="G544">
        <f t="shared" ca="1" si="41"/>
        <v>0.26312253676439973</v>
      </c>
      <c r="H544">
        <f ca="1">INDEX(Aerodynamique!$T$6:$T$546,MATCH(G544,Aerodynamique!$Y$6:$Y$546,1))</f>
        <v>-0.29999999999999233</v>
      </c>
      <c r="I544">
        <f ca="1">INDEX(Aerodynamique!$Z$6:$Z$546,MATCH(G544,Aerodynamique!$Y$6:$Y$546,1))</f>
        <v>1.208061063714666E-2</v>
      </c>
      <c r="J544">
        <f t="shared" ca="1" si="42"/>
        <v>3556.3364994525054</v>
      </c>
      <c r="K544" s="86">
        <f ca="1">INDEX(Aerodynamique!$AC$6:$AC$1006,MATCH(INDEX(Aerodynamique!$W$6:$W$546,MATCH(G544,Aerodynamique!$Y$6:$Y$546,1)),Aerodynamique!$AD$6:$AD$1006,-1))</f>
        <v>-3.0600000000000054</v>
      </c>
      <c r="L544">
        <f ca="1">Montée!$B$19*((E544-E543)/60)*J544/10</f>
        <v>11.370839824622664</v>
      </c>
      <c r="M544">
        <f t="shared" ca="1" si="44"/>
        <v>6768.0176444277604</v>
      </c>
    </row>
    <row r="545" spans="5:13">
      <c r="E545" s="210">
        <f t="shared" si="40"/>
        <v>540</v>
      </c>
      <c r="F545">
        <f t="shared" ca="1" si="43"/>
        <v>7925.1696164695441</v>
      </c>
      <c r="G545">
        <f t="shared" ca="1" si="41"/>
        <v>0.26274555585738202</v>
      </c>
      <c r="H545">
        <f ca="1">INDEX(Aerodynamique!$T$6:$T$546,MATCH(G545,Aerodynamique!$Y$6:$Y$546,1))</f>
        <v>-0.29999999999999233</v>
      </c>
      <c r="I545">
        <f ca="1">INDEX(Aerodynamique!$Z$6:$Z$546,MATCH(G545,Aerodynamique!$Y$6:$Y$546,1))</f>
        <v>1.208061063714666E-2</v>
      </c>
      <c r="J545">
        <f t="shared" ca="1" si="42"/>
        <v>3556.3364994525054</v>
      </c>
      <c r="K545" s="86">
        <f ca="1">INDEX(Aerodynamique!$AC$6:$AC$1006,MATCH(INDEX(Aerodynamique!$W$6:$W$546,MATCH(G545,Aerodynamique!$Y$6:$Y$546,1)),Aerodynamique!$AD$6:$AD$1006,-1))</f>
        <v>-3.0600000000000054</v>
      </c>
      <c r="L545">
        <f ca="1">Montée!$B$19*((E545-E544)/60)*J545/10</f>
        <v>11.370839824622664</v>
      </c>
      <c r="M545">
        <f t="shared" ca="1" si="44"/>
        <v>6779.388484252383</v>
      </c>
    </row>
    <row r="546" spans="5:13">
      <c r="E546" s="210">
        <f t="shared" si="40"/>
        <v>541</v>
      </c>
      <c r="F546">
        <f t="shared" ca="1" si="43"/>
        <v>7913.7987766449214</v>
      </c>
      <c r="G546">
        <f t="shared" ca="1" si="41"/>
        <v>0.26236857495036436</v>
      </c>
      <c r="H546">
        <f ca="1">INDEX(Aerodynamique!$T$6:$T$546,MATCH(G546,Aerodynamique!$Y$6:$Y$546,1))</f>
        <v>-0.29999999999999233</v>
      </c>
      <c r="I546">
        <f ca="1">INDEX(Aerodynamique!$Z$6:$Z$546,MATCH(G546,Aerodynamique!$Y$6:$Y$546,1))</f>
        <v>1.208061063714666E-2</v>
      </c>
      <c r="J546">
        <f t="shared" ca="1" si="42"/>
        <v>3556.3364994525054</v>
      </c>
      <c r="K546" s="86">
        <f ca="1">INDEX(Aerodynamique!$AC$6:$AC$1006,MATCH(INDEX(Aerodynamique!$W$6:$W$546,MATCH(G546,Aerodynamique!$Y$6:$Y$546,1)),Aerodynamique!$AD$6:$AD$1006,-1))</f>
        <v>-3.0600000000000054</v>
      </c>
      <c r="L546">
        <f ca="1">Montée!$B$19*((E546-E545)/60)*J546/10</f>
        <v>11.370839824622664</v>
      </c>
      <c r="M546">
        <f t="shared" ca="1" si="44"/>
        <v>6790.7593240770057</v>
      </c>
    </row>
    <row r="547" spans="5:13">
      <c r="E547" s="210">
        <f t="shared" si="40"/>
        <v>542</v>
      </c>
      <c r="F547">
        <f t="shared" ca="1" si="43"/>
        <v>7902.4279368202988</v>
      </c>
      <c r="G547">
        <f t="shared" ca="1" si="41"/>
        <v>0.26199159404334665</v>
      </c>
      <c r="H547">
        <f ca="1">INDEX(Aerodynamique!$T$6:$T$546,MATCH(G547,Aerodynamique!$Y$6:$Y$546,1))</f>
        <v>-0.29999999999999233</v>
      </c>
      <c r="I547">
        <f ca="1">INDEX(Aerodynamique!$Z$6:$Z$546,MATCH(G547,Aerodynamique!$Y$6:$Y$546,1))</f>
        <v>1.208061063714666E-2</v>
      </c>
      <c r="J547">
        <f t="shared" ca="1" si="42"/>
        <v>3556.3364994525054</v>
      </c>
      <c r="K547" s="86">
        <f ca="1">INDEX(Aerodynamique!$AC$6:$AC$1006,MATCH(INDEX(Aerodynamique!$W$6:$W$546,MATCH(G547,Aerodynamique!$Y$6:$Y$546,1)),Aerodynamique!$AD$6:$AD$1006,-1))</f>
        <v>-3.0600000000000054</v>
      </c>
      <c r="L547">
        <f ca="1">Montée!$B$19*((E547-E546)/60)*J547/10</f>
        <v>11.370839824622664</v>
      </c>
      <c r="M547">
        <f t="shared" ca="1" si="44"/>
        <v>6802.1301639016283</v>
      </c>
    </row>
    <row r="548" spans="5:13">
      <c r="E548" s="210">
        <f t="shared" si="40"/>
        <v>543</v>
      </c>
      <c r="F548">
        <f t="shared" ca="1" si="43"/>
        <v>7891.0570969956761</v>
      </c>
      <c r="G548">
        <f t="shared" ca="1" si="41"/>
        <v>0.26161461313632894</v>
      </c>
      <c r="H548">
        <f ca="1">INDEX(Aerodynamique!$T$6:$T$546,MATCH(G548,Aerodynamique!$Y$6:$Y$546,1))</f>
        <v>-0.29999999999999233</v>
      </c>
      <c r="I548">
        <f ca="1">INDEX(Aerodynamique!$Z$6:$Z$546,MATCH(G548,Aerodynamique!$Y$6:$Y$546,1))</f>
        <v>1.208061063714666E-2</v>
      </c>
      <c r="J548">
        <f t="shared" ca="1" si="42"/>
        <v>3556.3364994525054</v>
      </c>
      <c r="K548" s="86">
        <f ca="1">INDEX(Aerodynamique!$AC$6:$AC$1006,MATCH(INDEX(Aerodynamique!$W$6:$W$546,MATCH(G548,Aerodynamique!$Y$6:$Y$546,1)),Aerodynamique!$AD$6:$AD$1006,-1))</f>
        <v>-3.0600000000000054</v>
      </c>
      <c r="L548">
        <f ca="1">Montée!$B$19*((E548-E547)/60)*J548/10</f>
        <v>11.370839824622664</v>
      </c>
      <c r="M548">
        <f t="shared" ca="1" si="44"/>
        <v>6813.5010037262509</v>
      </c>
    </row>
    <row r="549" spans="5:13">
      <c r="E549" s="210">
        <f t="shared" si="40"/>
        <v>544</v>
      </c>
      <c r="F549">
        <f t="shared" ca="1" si="43"/>
        <v>7879.6862571710535</v>
      </c>
      <c r="G549">
        <f t="shared" ca="1" si="41"/>
        <v>0.26123763222931123</v>
      </c>
      <c r="H549">
        <f ca="1">INDEX(Aerodynamique!$T$6:$T$546,MATCH(G549,Aerodynamique!$Y$6:$Y$546,1))</f>
        <v>-0.34999999999999232</v>
      </c>
      <c r="I549">
        <f ca="1">INDEX(Aerodynamique!$Z$6:$Z$546,MATCH(G549,Aerodynamique!$Y$6:$Y$546,1))</f>
        <v>1.2038585816246433E-2</v>
      </c>
      <c r="J549">
        <f t="shared" ca="1" si="42"/>
        <v>3543.9650714726254</v>
      </c>
      <c r="K549" s="86">
        <f ca="1">INDEX(Aerodynamique!$AC$6:$AC$1006,MATCH(INDEX(Aerodynamique!$W$6:$W$546,MATCH(G549,Aerodynamique!$Y$6:$Y$546,1)),Aerodynamique!$AD$6:$AD$1006,-1))</f>
        <v>-3.0200000000000053</v>
      </c>
      <c r="L549">
        <f ca="1">Montée!$B$19*((E549-E548)/60)*J549/10</f>
        <v>11.331284083487727</v>
      </c>
      <c r="M549">
        <f t="shared" ca="1" si="44"/>
        <v>6824.8322878097388</v>
      </c>
    </row>
    <row r="550" spans="5:13">
      <c r="E550" s="210">
        <f t="shared" si="40"/>
        <v>545</v>
      </c>
      <c r="F550">
        <f t="shared" ca="1" si="43"/>
        <v>7868.3549730875657</v>
      </c>
      <c r="G550">
        <f t="shared" ca="1" si="41"/>
        <v>0.26086196272579593</v>
      </c>
      <c r="H550">
        <f ca="1">INDEX(Aerodynamique!$T$6:$T$546,MATCH(G550,Aerodynamique!$Y$6:$Y$546,1))</f>
        <v>-0.34999999999999232</v>
      </c>
      <c r="I550">
        <f ca="1">INDEX(Aerodynamique!$Z$6:$Z$546,MATCH(G550,Aerodynamique!$Y$6:$Y$546,1))</f>
        <v>1.2038585816246433E-2</v>
      </c>
      <c r="J550">
        <f t="shared" ca="1" si="42"/>
        <v>3543.9650714726254</v>
      </c>
      <c r="K550" s="86">
        <f ca="1">INDEX(Aerodynamique!$AC$6:$AC$1006,MATCH(INDEX(Aerodynamique!$W$6:$W$546,MATCH(G550,Aerodynamique!$Y$6:$Y$546,1)),Aerodynamique!$AD$6:$AD$1006,-1))</f>
        <v>-3.0200000000000053</v>
      </c>
      <c r="L550">
        <f ca="1">Montée!$B$19*((E550-E549)/60)*J550/10</f>
        <v>11.331284083487727</v>
      </c>
      <c r="M550">
        <f t="shared" ca="1" si="44"/>
        <v>6836.1635718932266</v>
      </c>
    </row>
    <row r="551" spans="5:13">
      <c r="E551" s="210">
        <f t="shared" si="40"/>
        <v>546</v>
      </c>
      <c r="F551">
        <f t="shared" ca="1" si="43"/>
        <v>7857.0236890040778</v>
      </c>
      <c r="G551">
        <f t="shared" ca="1" si="41"/>
        <v>0.26048629322228062</v>
      </c>
      <c r="H551">
        <f ca="1">INDEX(Aerodynamique!$T$6:$T$546,MATCH(G551,Aerodynamique!$Y$6:$Y$546,1))</f>
        <v>-0.34999999999999232</v>
      </c>
      <c r="I551">
        <f ca="1">INDEX(Aerodynamique!$Z$6:$Z$546,MATCH(G551,Aerodynamique!$Y$6:$Y$546,1))</f>
        <v>1.2038585816246433E-2</v>
      </c>
      <c r="J551">
        <f t="shared" ca="1" si="42"/>
        <v>3543.9650714726254</v>
      </c>
      <c r="K551" s="86">
        <f ca="1">INDEX(Aerodynamique!$AC$6:$AC$1006,MATCH(INDEX(Aerodynamique!$W$6:$W$546,MATCH(G551,Aerodynamique!$Y$6:$Y$546,1)),Aerodynamique!$AD$6:$AD$1006,-1))</f>
        <v>-3.0200000000000053</v>
      </c>
      <c r="L551">
        <f ca="1">Montée!$B$19*((E551-E550)/60)*J551/10</f>
        <v>11.331284083487727</v>
      </c>
      <c r="M551">
        <f t="shared" ca="1" si="44"/>
        <v>6847.4948559767145</v>
      </c>
    </row>
    <row r="552" spans="5:13">
      <c r="E552" s="210">
        <f t="shared" si="40"/>
        <v>547</v>
      </c>
      <c r="F552">
        <f t="shared" ca="1" si="43"/>
        <v>7845.69240492059</v>
      </c>
      <c r="G552">
        <f t="shared" ca="1" si="41"/>
        <v>0.26011062371876531</v>
      </c>
      <c r="H552">
        <f ca="1">INDEX(Aerodynamique!$T$6:$T$546,MATCH(G552,Aerodynamique!$Y$6:$Y$546,1))</f>
        <v>-0.34999999999999232</v>
      </c>
      <c r="I552">
        <f ca="1">INDEX(Aerodynamique!$Z$6:$Z$546,MATCH(G552,Aerodynamique!$Y$6:$Y$546,1))</f>
        <v>1.2038585816246433E-2</v>
      </c>
      <c r="J552">
        <f t="shared" ca="1" si="42"/>
        <v>3543.9650714726254</v>
      </c>
      <c r="K552" s="86">
        <f ca="1">INDEX(Aerodynamique!$AC$6:$AC$1006,MATCH(INDEX(Aerodynamique!$W$6:$W$546,MATCH(G552,Aerodynamique!$Y$6:$Y$546,1)),Aerodynamique!$AD$6:$AD$1006,-1))</f>
        <v>-3.0200000000000053</v>
      </c>
      <c r="L552">
        <f ca="1">Montée!$B$19*((E552-E551)/60)*J552/10</f>
        <v>11.331284083487727</v>
      </c>
      <c r="M552">
        <f t="shared" ca="1" si="44"/>
        <v>6858.8261400602023</v>
      </c>
    </row>
    <row r="553" spans="5:13">
      <c r="E553" s="210">
        <f t="shared" si="40"/>
        <v>548</v>
      </c>
      <c r="F553">
        <f t="shared" ca="1" si="43"/>
        <v>7834.3611208371021</v>
      </c>
      <c r="G553">
        <f t="shared" ca="1" si="41"/>
        <v>0.25973495421524995</v>
      </c>
      <c r="H553">
        <f ca="1">INDEX(Aerodynamique!$T$6:$T$546,MATCH(G553,Aerodynamique!$Y$6:$Y$546,1))</f>
        <v>-0.34999999999999232</v>
      </c>
      <c r="I553">
        <f ca="1">INDEX(Aerodynamique!$Z$6:$Z$546,MATCH(G553,Aerodynamique!$Y$6:$Y$546,1))</f>
        <v>1.2038585816246433E-2</v>
      </c>
      <c r="J553">
        <f t="shared" ca="1" si="42"/>
        <v>3543.9650714726254</v>
      </c>
      <c r="K553" s="86">
        <f ca="1">INDEX(Aerodynamique!$AC$6:$AC$1006,MATCH(INDEX(Aerodynamique!$W$6:$W$546,MATCH(G553,Aerodynamique!$Y$6:$Y$546,1)),Aerodynamique!$AD$6:$AD$1006,-1))</f>
        <v>-3.0200000000000053</v>
      </c>
      <c r="L553">
        <f ca="1">Montée!$B$19*((E553-E552)/60)*J553/10</f>
        <v>11.331284083487727</v>
      </c>
      <c r="M553">
        <f t="shared" ca="1" si="44"/>
        <v>6870.1574241436902</v>
      </c>
    </row>
    <row r="554" spans="5:13">
      <c r="E554" s="210">
        <f t="shared" si="40"/>
        <v>549</v>
      </c>
      <c r="F554">
        <f t="shared" ca="1" si="43"/>
        <v>7823.0298367536143</v>
      </c>
      <c r="G554">
        <f t="shared" ca="1" si="41"/>
        <v>0.25935928471173464</v>
      </c>
      <c r="H554">
        <f ca="1">INDEX(Aerodynamique!$T$6:$T$546,MATCH(G554,Aerodynamique!$Y$6:$Y$546,1))</f>
        <v>-0.34999999999999232</v>
      </c>
      <c r="I554">
        <f ca="1">INDEX(Aerodynamique!$Z$6:$Z$546,MATCH(G554,Aerodynamique!$Y$6:$Y$546,1))</f>
        <v>1.2038585816246433E-2</v>
      </c>
      <c r="J554">
        <f t="shared" ca="1" si="42"/>
        <v>3543.9650714726254</v>
      </c>
      <c r="K554" s="86">
        <f ca="1">INDEX(Aerodynamique!$AC$6:$AC$1006,MATCH(INDEX(Aerodynamique!$W$6:$W$546,MATCH(G554,Aerodynamique!$Y$6:$Y$546,1)),Aerodynamique!$AD$6:$AD$1006,-1))</f>
        <v>-3.0200000000000053</v>
      </c>
      <c r="L554">
        <f ca="1">Montée!$B$19*((E554-E553)/60)*J554/10</f>
        <v>11.331284083487727</v>
      </c>
      <c r="M554">
        <f t="shared" ca="1" si="44"/>
        <v>6881.488708227178</v>
      </c>
    </row>
    <row r="555" spans="5:13">
      <c r="E555" s="210">
        <f t="shared" si="40"/>
        <v>550</v>
      </c>
      <c r="F555">
        <f t="shared" ca="1" si="43"/>
        <v>7811.6985526701264</v>
      </c>
      <c r="G555">
        <f t="shared" ca="1" si="41"/>
        <v>0.25898361520821928</v>
      </c>
      <c r="H555">
        <f ca="1">INDEX(Aerodynamique!$T$6:$T$546,MATCH(G555,Aerodynamique!$Y$6:$Y$546,1))</f>
        <v>-0.34999999999999232</v>
      </c>
      <c r="I555">
        <f ca="1">INDEX(Aerodynamique!$Z$6:$Z$546,MATCH(G555,Aerodynamique!$Y$6:$Y$546,1))</f>
        <v>1.2038585816246433E-2</v>
      </c>
      <c r="J555">
        <f t="shared" ca="1" si="42"/>
        <v>3543.9650714726254</v>
      </c>
      <c r="K555" s="86">
        <f ca="1">INDEX(Aerodynamique!$AC$6:$AC$1006,MATCH(INDEX(Aerodynamique!$W$6:$W$546,MATCH(G555,Aerodynamique!$Y$6:$Y$546,1)),Aerodynamique!$AD$6:$AD$1006,-1))</f>
        <v>-3.0200000000000053</v>
      </c>
      <c r="L555">
        <f ca="1">Montée!$B$19*((E555-E554)/60)*J555/10</f>
        <v>11.331284083487727</v>
      </c>
      <c r="M555">
        <f t="shared" ca="1" si="44"/>
        <v>6892.8199923106658</v>
      </c>
    </row>
    <row r="556" spans="5:13">
      <c r="E556" s="210">
        <f t="shared" si="40"/>
        <v>551</v>
      </c>
      <c r="F556">
        <f t="shared" ca="1" si="43"/>
        <v>7800.3672685866386</v>
      </c>
      <c r="G556">
        <f t="shared" ca="1" si="41"/>
        <v>0.25860794570470397</v>
      </c>
      <c r="H556">
        <f ca="1">INDEX(Aerodynamique!$T$6:$T$546,MATCH(G556,Aerodynamique!$Y$6:$Y$546,1))</f>
        <v>-0.34999999999999232</v>
      </c>
      <c r="I556">
        <f ca="1">INDEX(Aerodynamique!$Z$6:$Z$546,MATCH(G556,Aerodynamique!$Y$6:$Y$546,1))</f>
        <v>1.2038585816246433E-2</v>
      </c>
      <c r="J556">
        <f t="shared" ca="1" si="42"/>
        <v>3543.9650714726254</v>
      </c>
      <c r="K556" s="86">
        <f ca="1">INDEX(Aerodynamique!$AC$6:$AC$1006,MATCH(INDEX(Aerodynamique!$W$6:$W$546,MATCH(G556,Aerodynamique!$Y$6:$Y$546,1)),Aerodynamique!$AD$6:$AD$1006,-1))</f>
        <v>-3.0200000000000053</v>
      </c>
      <c r="L556">
        <f ca="1">Montée!$B$19*((E556-E555)/60)*J556/10</f>
        <v>11.331284083487727</v>
      </c>
      <c r="M556">
        <f t="shared" ca="1" si="44"/>
        <v>6904.1512763941537</v>
      </c>
    </row>
    <row r="557" spans="5:13">
      <c r="E557" s="210">
        <f t="shared" si="40"/>
        <v>552</v>
      </c>
      <c r="F557">
        <f t="shared" ca="1" si="43"/>
        <v>7789.0359845031508</v>
      </c>
      <c r="G557">
        <f t="shared" ca="1" si="41"/>
        <v>0.2582322762011886</v>
      </c>
      <c r="H557">
        <f ca="1">INDEX(Aerodynamique!$T$6:$T$546,MATCH(G557,Aerodynamique!$Y$6:$Y$546,1))</f>
        <v>-0.34999999999999232</v>
      </c>
      <c r="I557">
        <f ca="1">INDEX(Aerodynamique!$Z$6:$Z$546,MATCH(G557,Aerodynamique!$Y$6:$Y$546,1))</f>
        <v>1.2038585816246433E-2</v>
      </c>
      <c r="J557">
        <f t="shared" ca="1" si="42"/>
        <v>3543.9650714726254</v>
      </c>
      <c r="K557" s="86">
        <f ca="1">INDEX(Aerodynamique!$AC$6:$AC$1006,MATCH(INDEX(Aerodynamique!$W$6:$W$546,MATCH(G557,Aerodynamique!$Y$6:$Y$546,1)),Aerodynamique!$AD$6:$AD$1006,-1))</f>
        <v>-3.0200000000000053</v>
      </c>
      <c r="L557">
        <f ca="1">Montée!$B$19*((E557-E556)/60)*J557/10</f>
        <v>11.331284083487727</v>
      </c>
      <c r="M557">
        <f t="shared" ca="1" si="44"/>
        <v>6915.4825604776415</v>
      </c>
    </row>
    <row r="558" spans="5:13">
      <c r="E558" s="210">
        <f t="shared" si="40"/>
        <v>553</v>
      </c>
      <c r="F558">
        <f t="shared" ca="1" si="43"/>
        <v>7777.7047004196629</v>
      </c>
      <c r="G558">
        <f t="shared" ca="1" si="41"/>
        <v>0.2578566066976733</v>
      </c>
      <c r="H558">
        <f ca="1">INDEX(Aerodynamique!$T$6:$T$546,MATCH(G558,Aerodynamique!$Y$6:$Y$546,1))</f>
        <v>-0.34999999999999232</v>
      </c>
      <c r="I558">
        <f ca="1">INDEX(Aerodynamique!$Z$6:$Z$546,MATCH(G558,Aerodynamique!$Y$6:$Y$546,1))</f>
        <v>1.2038585816246433E-2</v>
      </c>
      <c r="J558">
        <f t="shared" ca="1" si="42"/>
        <v>3543.9650714726254</v>
      </c>
      <c r="K558" s="86">
        <f ca="1">INDEX(Aerodynamique!$AC$6:$AC$1006,MATCH(INDEX(Aerodynamique!$W$6:$W$546,MATCH(G558,Aerodynamique!$Y$6:$Y$546,1)),Aerodynamique!$AD$6:$AD$1006,-1))</f>
        <v>-3.0200000000000053</v>
      </c>
      <c r="L558">
        <f ca="1">Montée!$B$19*((E558-E557)/60)*J558/10</f>
        <v>11.331284083487727</v>
      </c>
      <c r="M558">
        <f t="shared" ca="1" si="44"/>
        <v>6926.8138445611294</v>
      </c>
    </row>
    <row r="559" spans="5:13">
      <c r="E559" s="210">
        <f t="shared" si="40"/>
        <v>554</v>
      </c>
      <c r="F559">
        <f t="shared" ca="1" si="43"/>
        <v>7766.3734163361751</v>
      </c>
      <c r="G559">
        <f t="shared" ca="1" si="41"/>
        <v>0.25748093719415793</v>
      </c>
      <c r="H559">
        <f ca="1">INDEX(Aerodynamique!$T$6:$T$546,MATCH(G559,Aerodynamique!$Y$6:$Y$546,1))</f>
        <v>-0.34999999999999232</v>
      </c>
      <c r="I559">
        <f ca="1">INDEX(Aerodynamique!$Z$6:$Z$546,MATCH(G559,Aerodynamique!$Y$6:$Y$546,1))</f>
        <v>1.2038585816246433E-2</v>
      </c>
      <c r="J559">
        <f t="shared" ca="1" si="42"/>
        <v>3543.9650714726254</v>
      </c>
      <c r="K559" s="86">
        <f ca="1">INDEX(Aerodynamique!$AC$6:$AC$1006,MATCH(INDEX(Aerodynamique!$W$6:$W$546,MATCH(G559,Aerodynamique!$Y$6:$Y$546,1)),Aerodynamique!$AD$6:$AD$1006,-1))</f>
        <v>-3.0200000000000053</v>
      </c>
      <c r="L559">
        <f ca="1">Montée!$B$19*((E559-E558)/60)*J559/10</f>
        <v>11.331284083487727</v>
      </c>
      <c r="M559">
        <f t="shared" ca="1" si="44"/>
        <v>6938.1451286446172</v>
      </c>
    </row>
    <row r="560" spans="5:13">
      <c r="E560" s="210">
        <f t="shared" si="40"/>
        <v>555</v>
      </c>
      <c r="F560">
        <f t="shared" ca="1" si="43"/>
        <v>7755.0421322526872</v>
      </c>
      <c r="G560">
        <f t="shared" ca="1" si="41"/>
        <v>0.25710526769064257</v>
      </c>
      <c r="H560">
        <f ca="1">INDEX(Aerodynamique!$T$6:$T$546,MATCH(G560,Aerodynamique!$Y$6:$Y$546,1))</f>
        <v>-0.34999999999999232</v>
      </c>
      <c r="I560">
        <f ca="1">INDEX(Aerodynamique!$Z$6:$Z$546,MATCH(G560,Aerodynamique!$Y$6:$Y$546,1))</f>
        <v>1.2038585816246433E-2</v>
      </c>
      <c r="J560">
        <f t="shared" ca="1" si="42"/>
        <v>3543.9650714726254</v>
      </c>
      <c r="K560" s="86">
        <f ca="1">INDEX(Aerodynamique!$AC$6:$AC$1006,MATCH(INDEX(Aerodynamique!$W$6:$W$546,MATCH(G560,Aerodynamique!$Y$6:$Y$546,1)),Aerodynamique!$AD$6:$AD$1006,-1))</f>
        <v>-3.0200000000000053</v>
      </c>
      <c r="L560">
        <f ca="1">Montée!$B$19*((E560-E559)/60)*J560/10</f>
        <v>11.331284083487727</v>
      </c>
      <c r="M560">
        <f t="shared" ca="1" si="44"/>
        <v>6949.4764127281051</v>
      </c>
    </row>
    <row r="561" spans="5:13">
      <c r="E561" s="210">
        <f t="shared" si="40"/>
        <v>556</v>
      </c>
      <c r="F561">
        <f t="shared" ca="1" si="43"/>
        <v>7743.7108481691994</v>
      </c>
      <c r="G561">
        <f t="shared" ca="1" si="41"/>
        <v>0.25672959818712726</v>
      </c>
      <c r="H561">
        <f ca="1">INDEX(Aerodynamique!$T$6:$T$546,MATCH(G561,Aerodynamique!$Y$6:$Y$546,1))</f>
        <v>-0.34999999999999232</v>
      </c>
      <c r="I561">
        <f ca="1">INDEX(Aerodynamique!$Z$6:$Z$546,MATCH(G561,Aerodynamique!$Y$6:$Y$546,1))</f>
        <v>1.2038585816246433E-2</v>
      </c>
      <c r="J561">
        <f t="shared" ca="1" si="42"/>
        <v>3543.9650714726254</v>
      </c>
      <c r="K561" s="86">
        <f ca="1">INDEX(Aerodynamique!$AC$6:$AC$1006,MATCH(INDEX(Aerodynamique!$W$6:$W$546,MATCH(G561,Aerodynamique!$Y$6:$Y$546,1)),Aerodynamique!$AD$6:$AD$1006,-1))</f>
        <v>-3.0200000000000053</v>
      </c>
      <c r="L561">
        <f ca="1">Montée!$B$19*((E561-E560)/60)*J561/10</f>
        <v>11.331284083487727</v>
      </c>
      <c r="M561">
        <f t="shared" ca="1" si="44"/>
        <v>6960.8076968115929</v>
      </c>
    </row>
    <row r="562" spans="5:13">
      <c r="E562" s="210">
        <f t="shared" si="40"/>
        <v>557</v>
      </c>
      <c r="F562">
        <f t="shared" ca="1" si="43"/>
        <v>7732.3795640857115</v>
      </c>
      <c r="G562">
        <f t="shared" ca="1" si="41"/>
        <v>0.2563539286836119</v>
      </c>
      <c r="H562">
        <f ca="1">INDEX(Aerodynamique!$T$6:$T$546,MATCH(G562,Aerodynamique!$Y$6:$Y$546,1))</f>
        <v>-0.39999999999999231</v>
      </c>
      <c r="I562">
        <f ca="1">INDEX(Aerodynamique!$Z$6:$Z$546,MATCH(G562,Aerodynamique!$Y$6:$Y$546,1))</f>
        <v>1.1997628805358361E-2</v>
      </c>
      <c r="J562">
        <f t="shared" ca="1" si="42"/>
        <v>3531.9079895001428</v>
      </c>
      <c r="K562" s="86">
        <f ca="1">INDEX(Aerodynamique!$AC$6:$AC$1006,MATCH(INDEX(Aerodynamique!$W$6:$W$546,MATCH(G562,Aerodynamique!$Y$6:$Y$546,1)),Aerodynamique!$AD$6:$AD$1006,-1))</f>
        <v>-2.9800000000000053</v>
      </c>
      <c r="L562">
        <f ca="1">Montée!$B$19*((E562-E561)/60)*J562/10</f>
        <v>11.292733415438583</v>
      </c>
      <c r="M562">
        <f t="shared" ca="1" si="44"/>
        <v>6972.1004302270312</v>
      </c>
    </row>
    <row r="563" spans="5:13">
      <c r="E563" s="210">
        <f t="shared" si="40"/>
        <v>558</v>
      </c>
      <c r="F563">
        <f t="shared" ca="1" si="43"/>
        <v>7721.0868306702732</v>
      </c>
      <c r="G563">
        <f t="shared" ca="1" si="41"/>
        <v>0.25597953726210565</v>
      </c>
      <c r="H563">
        <f ca="1">INDEX(Aerodynamique!$T$6:$T$546,MATCH(G563,Aerodynamique!$Y$6:$Y$546,1))</f>
        <v>-0.39999999999999231</v>
      </c>
      <c r="I563">
        <f ca="1">INDEX(Aerodynamique!$Z$6:$Z$546,MATCH(G563,Aerodynamique!$Y$6:$Y$546,1))</f>
        <v>1.1997628805358361E-2</v>
      </c>
      <c r="J563">
        <f t="shared" ca="1" si="42"/>
        <v>3531.9079895001428</v>
      </c>
      <c r="K563" s="86">
        <f ca="1">INDEX(Aerodynamique!$AC$6:$AC$1006,MATCH(INDEX(Aerodynamique!$W$6:$W$546,MATCH(G563,Aerodynamique!$Y$6:$Y$546,1)),Aerodynamique!$AD$6:$AD$1006,-1))</f>
        <v>-2.9800000000000053</v>
      </c>
      <c r="L563">
        <f ca="1">Montée!$B$19*((E563-E562)/60)*J563/10</f>
        <v>11.292733415438583</v>
      </c>
      <c r="M563">
        <f t="shared" ca="1" si="44"/>
        <v>6983.3931636424695</v>
      </c>
    </row>
    <row r="564" spans="5:13">
      <c r="E564" s="210">
        <f t="shared" si="40"/>
        <v>559</v>
      </c>
      <c r="F564">
        <f t="shared" ca="1" si="43"/>
        <v>7709.7940972548349</v>
      </c>
      <c r="G564">
        <f t="shared" ca="1" si="41"/>
        <v>0.25560514584059935</v>
      </c>
      <c r="H564">
        <f ca="1">INDEX(Aerodynamique!$T$6:$T$546,MATCH(G564,Aerodynamique!$Y$6:$Y$546,1))</f>
        <v>-0.39999999999999231</v>
      </c>
      <c r="I564">
        <f ca="1">INDEX(Aerodynamique!$Z$6:$Z$546,MATCH(G564,Aerodynamique!$Y$6:$Y$546,1))</f>
        <v>1.1997628805358361E-2</v>
      </c>
      <c r="J564">
        <f t="shared" ca="1" si="42"/>
        <v>3531.9079895001428</v>
      </c>
      <c r="K564" s="86">
        <f ca="1">INDEX(Aerodynamique!$AC$6:$AC$1006,MATCH(INDEX(Aerodynamique!$W$6:$W$546,MATCH(G564,Aerodynamique!$Y$6:$Y$546,1)),Aerodynamique!$AD$6:$AD$1006,-1))</f>
        <v>-2.9800000000000053</v>
      </c>
      <c r="L564">
        <f ca="1">Montée!$B$19*((E564-E563)/60)*J564/10</f>
        <v>11.292733415438583</v>
      </c>
      <c r="M564">
        <f t="shared" ca="1" si="44"/>
        <v>6994.6858970579078</v>
      </c>
    </row>
    <row r="565" spans="5:13">
      <c r="E565" s="210">
        <f t="shared" si="40"/>
        <v>560</v>
      </c>
      <c r="F565">
        <f t="shared" ca="1" si="43"/>
        <v>7698.5013638393966</v>
      </c>
      <c r="G565">
        <f t="shared" ca="1" si="41"/>
        <v>0.25523075441909299</v>
      </c>
      <c r="H565">
        <f ca="1">INDEX(Aerodynamique!$T$6:$T$546,MATCH(G565,Aerodynamique!$Y$6:$Y$546,1))</f>
        <v>-0.39999999999999231</v>
      </c>
      <c r="I565">
        <f ca="1">INDEX(Aerodynamique!$Z$6:$Z$546,MATCH(G565,Aerodynamique!$Y$6:$Y$546,1))</f>
        <v>1.1997628805358361E-2</v>
      </c>
      <c r="J565">
        <f t="shared" ca="1" si="42"/>
        <v>3531.9079895001428</v>
      </c>
      <c r="K565" s="86">
        <f ca="1">INDEX(Aerodynamique!$AC$6:$AC$1006,MATCH(INDEX(Aerodynamique!$W$6:$W$546,MATCH(G565,Aerodynamique!$Y$6:$Y$546,1)),Aerodynamique!$AD$6:$AD$1006,-1))</f>
        <v>-2.9800000000000053</v>
      </c>
      <c r="L565">
        <f ca="1">Montée!$B$19*((E565-E564)/60)*J565/10</f>
        <v>11.292733415438583</v>
      </c>
      <c r="M565">
        <f t="shared" ca="1" si="44"/>
        <v>7005.9786304733461</v>
      </c>
    </row>
    <row r="566" spans="5:13">
      <c r="E566" s="210">
        <f t="shared" si="40"/>
        <v>561</v>
      </c>
      <c r="F566">
        <f t="shared" ca="1" si="43"/>
        <v>7687.2086304239583</v>
      </c>
      <c r="G566">
        <f t="shared" ca="1" si="41"/>
        <v>0.25485636299758674</v>
      </c>
      <c r="H566">
        <f ca="1">INDEX(Aerodynamique!$T$6:$T$546,MATCH(G566,Aerodynamique!$Y$6:$Y$546,1))</f>
        <v>-0.39999999999999231</v>
      </c>
      <c r="I566">
        <f ca="1">INDEX(Aerodynamique!$Z$6:$Z$546,MATCH(G566,Aerodynamique!$Y$6:$Y$546,1))</f>
        <v>1.1997628805358361E-2</v>
      </c>
      <c r="J566">
        <f t="shared" ca="1" si="42"/>
        <v>3531.9079895001428</v>
      </c>
      <c r="K566" s="86">
        <f ca="1">INDEX(Aerodynamique!$AC$6:$AC$1006,MATCH(INDEX(Aerodynamique!$W$6:$W$546,MATCH(G566,Aerodynamique!$Y$6:$Y$546,1)),Aerodynamique!$AD$6:$AD$1006,-1))</f>
        <v>-2.9800000000000053</v>
      </c>
      <c r="L566">
        <f ca="1">Montée!$B$19*((E566-E565)/60)*J566/10</f>
        <v>11.292733415438583</v>
      </c>
      <c r="M566">
        <f t="shared" ca="1" si="44"/>
        <v>7017.2713638887844</v>
      </c>
    </row>
    <row r="567" spans="5:13">
      <c r="E567" s="210">
        <f t="shared" si="40"/>
        <v>562</v>
      </c>
      <c r="F567">
        <f t="shared" ca="1" si="43"/>
        <v>7675.91589700852</v>
      </c>
      <c r="G567">
        <f t="shared" ca="1" si="41"/>
        <v>0.25448197157608043</v>
      </c>
      <c r="H567">
        <f ca="1">INDEX(Aerodynamique!$T$6:$T$546,MATCH(G567,Aerodynamique!$Y$6:$Y$546,1))</f>
        <v>-0.39999999999999231</v>
      </c>
      <c r="I567">
        <f ca="1">INDEX(Aerodynamique!$Z$6:$Z$546,MATCH(G567,Aerodynamique!$Y$6:$Y$546,1))</f>
        <v>1.1997628805358361E-2</v>
      </c>
      <c r="J567">
        <f t="shared" ca="1" si="42"/>
        <v>3531.9079895001428</v>
      </c>
      <c r="K567" s="86">
        <f ca="1">INDEX(Aerodynamique!$AC$6:$AC$1006,MATCH(INDEX(Aerodynamique!$W$6:$W$546,MATCH(G567,Aerodynamique!$Y$6:$Y$546,1)),Aerodynamique!$AD$6:$AD$1006,-1))</f>
        <v>-2.9800000000000053</v>
      </c>
      <c r="L567">
        <f ca="1">Montée!$B$19*((E567-E566)/60)*J567/10</f>
        <v>11.292733415438583</v>
      </c>
      <c r="M567">
        <f t="shared" ca="1" si="44"/>
        <v>7028.5640973042227</v>
      </c>
    </row>
    <row r="568" spans="5:13">
      <c r="E568" s="210">
        <f t="shared" si="40"/>
        <v>563</v>
      </c>
      <c r="F568">
        <f t="shared" ca="1" si="43"/>
        <v>7664.6231635930817</v>
      </c>
      <c r="G568">
        <f t="shared" ca="1" si="41"/>
        <v>0.25410758015457413</v>
      </c>
      <c r="H568">
        <f ca="1">INDEX(Aerodynamique!$T$6:$T$546,MATCH(G568,Aerodynamique!$Y$6:$Y$546,1))</f>
        <v>-0.39999999999999231</v>
      </c>
      <c r="I568">
        <f ca="1">INDEX(Aerodynamique!$Z$6:$Z$546,MATCH(G568,Aerodynamique!$Y$6:$Y$546,1))</f>
        <v>1.1997628805358361E-2</v>
      </c>
      <c r="J568">
        <f t="shared" ca="1" si="42"/>
        <v>3531.9079895001428</v>
      </c>
      <c r="K568" s="86">
        <f ca="1">INDEX(Aerodynamique!$AC$6:$AC$1006,MATCH(INDEX(Aerodynamique!$W$6:$W$546,MATCH(G568,Aerodynamique!$Y$6:$Y$546,1)),Aerodynamique!$AD$6:$AD$1006,-1))</f>
        <v>-2.9800000000000053</v>
      </c>
      <c r="L568">
        <f ca="1">Montée!$B$19*((E568-E567)/60)*J568/10</f>
        <v>11.292733415438583</v>
      </c>
      <c r="M568">
        <f t="shared" ca="1" si="44"/>
        <v>7039.856830719661</v>
      </c>
    </row>
    <row r="569" spans="5:13">
      <c r="E569" s="210">
        <f t="shared" si="40"/>
        <v>564</v>
      </c>
      <c r="F569">
        <f t="shared" ca="1" si="43"/>
        <v>7653.3304301776434</v>
      </c>
      <c r="G569">
        <f t="shared" ca="1" si="41"/>
        <v>0.25373318873306783</v>
      </c>
      <c r="H569">
        <f ca="1">INDEX(Aerodynamique!$T$6:$T$546,MATCH(G569,Aerodynamique!$Y$6:$Y$546,1))</f>
        <v>-0.39999999999999231</v>
      </c>
      <c r="I569">
        <f ca="1">INDEX(Aerodynamique!$Z$6:$Z$546,MATCH(G569,Aerodynamique!$Y$6:$Y$546,1))</f>
        <v>1.1997628805358361E-2</v>
      </c>
      <c r="J569">
        <f t="shared" ca="1" si="42"/>
        <v>3531.9079895001428</v>
      </c>
      <c r="K569" s="86">
        <f ca="1">INDEX(Aerodynamique!$AC$6:$AC$1006,MATCH(INDEX(Aerodynamique!$W$6:$W$546,MATCH(G569,Aerodynamique!$Y$6:$Y$546,1)),Aerodynamique!$AD$6:$AD$1006,-1))</f>
        <v>-2.9800000000000053</v>
      </c>
      <c r="L569">
        <f ca="1">Montée!$B$19*((E569-E568)/60)*J569/10</f>
        <v>11.292733415438583</v>
      </c>
      <c r="M569">
        <f t="shared" ca="1" si="44"/>
        <v>7051.1495641350994</v>
      </c>
    </row>
    <row r="570" spans="5:13">
      <c r="E570" s="210">
        <f t="shared" si="40"/>
        <v>565</v>
      </c>
      <c r="F570">
        <f t="shared" ca="1" si="43"/>
        <v>7642.0376967622051</v>
      </c>
      <c r="G570">
        <f t="shared" ca="1" si="41"/>
        <v>0.25335879731156152</v>
      </c>
      <c r="H570">
        <f ca="1">INDEX(Aerodynamique!$T$6:$T$546,MATCH(G570,Aerodynamique!$Y$6:$Y$546,1))</f>
        <v>-0.39999999999999231</v>
      </c>
      <c r="I570">
        <f ca="1">INDEX(Aerodynamique!$Z$6:$Z$546,MATCH(G570,Aerodynamique!$Y$6:$Y$546,1))</f>
        <v>1.1997628805358361E-2</v>
      </c>
      <c r="J570">
        <f t="shared" ca="1" si="42"/>
        <v>3531.9079895001428</v>
      </c>
      <c r="K570" s="86">
        <f ca="1">INDEX(Aerodynamique!$AC$6:$AC$1006,MATCH(INDEX(Aerodynamique!$W$6:$W$546,MATCH(G570,Aerodynamique!$Y$6:$Y$546,1)),Aerodynamique!$AD$6:$AD$1006,-1))</f>
        <v>-2.9800000000000053</v>
      </c>
      <c r="L570">
        <f ca="1">Montée!$B$19*((E570-E569)/60)*J570/10</f>
        <v>11.292733415438583</v>
      </c>
      <c r="M570">
        <f t="shared" ca="1" si="44"/>
        <v>7062.4422975505377</v>
      </c>
    </row>
    <row r="571" spans="5:13">
      <c r="E571" s="210">
        <f t="shared" si="40"/>
        <v>566</v>
      </c>
      <c r="F571">
        <f t="shared" ca="1" si="43"/>
        <v>7630.7449633467668</v>
      </c>
      <c r="G571">
        <f t="shared" ca="1" si="41"/>
        <v>0.25298440589005522</v>
      </c>
      <c r="H571">
        <f ca="1">INDEX(Aerodynamique!$T$6:$T$546,MATCH(G571,Aerodynamique!$Y$6:$Y$546,1))</f>
        <v>-0.39999999999999231</v>
      </c>
      <c r="I571">
        <f ca="1">INDEX(Aerodynamique!$Z$6:$Z$546,MATCH(G571,Aerodynamique!$Y$6:$Y$546,1))</f>
        <v>1.1997628805358361E-2</v>
      </c>
      <c r="J571">
        <f t="shared" ca="1" si="42"/>
        <v>3531.9079895001428</v>
      </c>
      <c r="K571" s="86">
        <f ca="1">INDEX(Aerodynamique!$AC$6:$AC$1006,MATCH(INDEX(Aerodynamique!$W$6:$W$546,MATCH(G571,Aerodynamique!$Y$6:$Y$546,1)),Aerodynamique!$AD$6:$AD$1006,-1))</f>
        <v>-2.9800000000000053</v>
      </c>
      <c r="L571">
        <f ca="1">Montée!$B$19*((E571-E570)/60)*J571/10</f>
        <v>11.292733415438583</v>
      </c>
      <c r="M571">
        <f t="shared" ca="1" si="44"/>
        <v>7073.735030965976</v>
      </c>
    </row>
    <row r="572" spans="5:13">
      <c r="E572" s="210">
        <f t="shared" si="40"/>
        <v>567</v>
      </c>
      <c r="F572">
        <f t="shared" ca="1" si="43"/>
        <v>7619.4522299313285</v>
      </c>
      <c r="G572">
        <f t="shared" ca="1" si="41"/>
        <v>0.25261001446854892</v>
      </c>
      <c r="H572">
        <f ca="1">INDEX(Aerodynamique!$T$6:$T$546,MATCH(G572,Aerodynamique!$Y$6:$Y$546,1))</f>
        <v>-0.39999999999999231</v>
      </c>
      <c r="I572">
        <f ca="1">INDEX(Aerodynamique!$Z$6:$Z$546,MATCH(G572,Aerodynamique!$Y$6:$Y$546,1))</f>
        <v>1.1997628805358361E-2</v>
      </c>
      <c r="J572">
        <f t="shared" ca="1" si="42"/>
        <v>3531.9079895001428</v>
      </c>
      <c r="K572" s="86">
        <f ca="1">INDEX(Aerodynamique!$AC$6:$AC$1006,MATCH(INDEX(Aerodynamique!$W$6:$W$546,MATCH(G572,Aerodynamique!$Y$6:$Y$546,1)),Aerodynamique!$AD$6:$AD$1006,-1))</f>
        <v>-2.9800000000000053</v>
      </c>
      <c r="L572">
        <f ca="1">Montée!$B$19*((E572-E571)/60)*J572/10</f>
        <v>11.292733415438583</v>
      </c>
      <c r="M572">
        <f t="shared" ca="1" si="44"/>
        <v>7085.0277643814143</v>
      </c>
    </row>
    <row r="573" spans="5:13">
      <c r="E573" s="210">
        <f t="shared" si="40"/>
        <v>568</v>
      </c>
      <c r="F573">
        <f t="shared" ca="1" si="43"/>
        <v>7608.1594965158902</v>
      </c>
      <c r="G573">
        <f t="shared" ca="1" si="41"/>
        <v>0.25223562304704261</v>
      </c>
      <c r="H573">
        <f ca="1">INDEX(Aerodynamique!$T$6:$T$546,MATCH(G573,Aerodynamique!$Y$6:$Y$546,1))</f>
        <v>-0.39999999999999231</v>
      </c>
      <c r="I573">
        <f ca="1">INDEX(Aerodynamique!$Z$6:$Z$546,MATCH(G573,Aerodynamique!$Y$6:$Y$546,1))</f>
        <v>1.1997628805358361E-2</v>
      </c>
      <c r="J573">
        <f t="shared" ca="1" si="42"/>
        <v>3531.9079895001428</v>
      </c>
      <c r="K573" s="86">
        <f ca="1">INDEX(Aerodynamique!$AC$6:$AC$1006,MATCH(INDEX(Aerodynamique!$W$6:$W$546,MATCH(G573,Aerodynamique!$Y$6:$Y$546,1)),Aerodynamique!$AD$6:$AD$1006,-1))</f>
        <v>-2.9800000000000053</v>
      </c>
      <c r="L573">
        <f ca="1">Montée!$B$19*((E573-E572)/60)*J573/10</f>
        <v>11.292733415438583</v>
      </c>
      <c r="M573">
        <f t="shared" ca="1" si="44"/>
        <v>7096.3204977968526</v>
      </c>
    </row>
    <row r="574" spans="5:13">
      <c r="E574" s="210">
        <f t="shared" si="40"/>
        <v>569</v>
      </c>
      <c r="F574">
        <f t="shared" ca="1" si="43"/>
        <v>7596.8667631004519</v>
      </c>
      <c r="G574">
        <f t="shared" ca="1" si="41"/>
        <v>0.25186123162553631</v>
      </c>
      <c r="H574">
        <f ca="1">INDEX(Aerodynamique!$T$6:$T$546,MATCH(G574,Aerodynamique!$Y$6:$Y$546,1))</f>
        <v>-0.39999999999999231</v>
      </c>
      <c r="I574">
        <f ca="1">INDEX(Aerodynamique!$Z$6:$Z$546,MATCH(G574,Aerodynamique!$Y$6:$Y$546,1))</f>
        <v>1.1997628805358361E-2</v>
      </c>
      <c r="J574">
        <f t="shared" ca="1" si="42"/>
        <v>3531.9079895001428</v>
      </c>
      <c r="K574" s="86">
        <f ca="1">INDEX(Aerodynamique!$AC$6:$AC$1006,MATCH(INDEX(Aerodynamique!$W$6:$W$546,MATCH(G574,Aerodynamique!$Y$6:$Y$546,1)),Aerodynamique!$AD$6:$AD$1006,-1))</f>
        <v>-2.9800000000000053</v>
      </c>
      <c r="L574">
        <f ca="1">Montée!$B$19*((E574-E573)/60)*J574/10</f>
        <v>11.292733415438583</v>
      </c>
      <c r="M574">
        <f t="shared" ca="1" si="44"/>
        <v>7107.6132312122909</v>
      </c>
    </row>
    <row r="575" spans="5:13">
      <c r="E575" s="210">
        <f t="shared" si="40"/>
        <v>570</v>
      </c>
      <c r="F575">
        <f t="shared" ca="1" si="43"/>
        <v>7585.5740296850136</v>
      </c>
      <c r="G575">
        <f t="shared" ca="1" si="41"/>
        <v>0.25148684020403006</v>
      </c>
      <c r="H575">
        <f ca="1">INDEX(Aerodynamique!$T$6:$T$546,MATCH(G575,Aerodynamique!$Y$6:$Y$546,1))</f>
        <v>-0.4499999999999923</v>
      </c>
      <c r="I575">
        <f ca="1">INDEX(Aerodynamique!$Z$6:$Z$546,MATCH(G575,Aerodynamique!$Y$6:$Y$546,1))</f>
        <v>1.195773960448245E-2</v>
      </c>
      <c r="J575">
        <f t="shared" ca="1" si="42"/>
        <v>3520.165253535059</v>
      </c>
      <c r="K575" s="86">
        <f ca="1">INDEX(Aerodynamique!$AC$6:$AC$1006,MATCH(INDEX(Aerodynamique!$W$6:$W$546,MATCH(G575,Aerodynamique!$Y$6:$Y$546,1)),Aerodynamique!$AD$6:$AD$1006,-1))</f>
        <v>-2.9400000000000053</v>
      </c>
      <c r="L575">
        <f ca="1">Montée!$B$19*((E575-E574)/60)*J575/10</f>
        <v>11.255187820475239</v>
      </c>
      <c r="M575">
        <f t="shared" ca="1" si="44"/>
        <v>7118.8684190327658</v>
      </c>
    </row>
    <row r="576" spans="5:13">
      <c r="E576" s="210">
        <f t="shared" si="40"/>
        <v>571</v>
      </c>
      <c r="F576">
        <f t="shared" ca="1" si="43"/>
        <v>7574.3188418645386</v>
      </c>
      <c r="G576">
        <f t="shared" ca="1" si="41"/>
        <v>0.25111369354303942</v>
      </c>
      <c r="H576">
        <f ca="1">INDEX(Aerodynamique!$T$6:$T$546,MATCH(G576,Aerodynamique!$Y$6:$Y$546,1))</f>
        <v>-0.4499999999999923</v>
      </c>
      <c r="I576">
        <f ca="1">INDEX(Aerodynamique!$Z$6:$Z$546,MATCH(G576,Aerodynamique!$Y$6:$Y$546,1))</f>
        <v>1.195773960448245E-2</v>
      </c>
      <c r="J576">
        <f t="shared" ca="1" si="42"/>
        <v>3520.165253535059</v>
      </c>
      <c r="K576" s="86">
        <f ca="1">INDEX(Aerodynamique!$AC$6:$AC$1006,MATCH(INDEX(Aerodynamique!$W$6:$W$546,MATCH(G576,Aerodynamique!$Y$6:$Y$546,1)),Aerodynamique!$AD$6:$AD$1006,-1))</f>
        <v>-2.9400000000000053</v>
      </c>
      <c r="L576">
        <f ca="1">Montée!$B$19*((E576-E575)/60)*J576/10</f>
        <v>11.255187820475239</v>
      </c>
      <c r="M576">
        <f t="shared" ca="1" si="44"/>
        <v>7130.1236068532407</v>
      </c>
    </row>
    <row r="577" spans="5:13">
      <c r="E577" s="210">
        <f t="shared" si="40"/>
        <v>572</v>
      </c>
      <c r="F577">
        <f t="shared" ca="1" si="43"/>
        <v>7563.0636540440637</v>
      </c>
      <c r="G577">
        <f t="shared" ca="1" si="41"/>
        <v>0.25074054688204883</v>
      </c>
      <c r="H577">
        <f ca="1">INDEX(Aerodynamique!$T$6:$T$546,MATCH(G577,Aerodynamique!$Y$6:$Y$546,1))</f>
        <v>-0.4499999999999923</v>
      </c>
      <c r="I577">
        <f ca="1">INDEX(Aerodynamique!$Z$6:$Z$546,MATCH(G577,Aerodynamique!$Y$6:$Y$546,1))</f>
        <v>1.195773960448245E-2</v>
      </c>
      <c r="J577">
        <f t="shared" ca="1" si="42"/>
        <v>3520.165253535059</v>
      </c>
      <c r="K577" s="86">
        <f ca="1">INDEX(Aerodynamique!$AC$6:$AC$1006,MATCH(INDEX(Aerodynamique!$W$6:$W$546,MATCH(G577,Aerodynamique!$Y$6:$Y$546,1)),Aerodynamique!$AD$6:$AD$1006,-1))</f>
        <v>-2.9400000000000053</v>
      </c>
      <c r="L577">
        <f ca="1">Montée!$B$19*((E577-E576)/60)*J577/10</f>
        <v>11.255187820475239</v>
      </c>
      <c r="M577">
        <f t="shared" ca="1" si="44"/>
        <v>7141.3787946737157</v>
      </c>
    </row>
    <row r="578" spans="5:13">
      <c r="E578" s="210">
        <f t="shared" si="40"/>
        <v>573</v>
      </c>
      <c r="F578">
        <f t="shared" ca="1" si="43"/>
        <v>7551.8084662235888</v>
      </c>
      <c r="G578">
        <f t="shared" ca="1" si="41"/>
        <v>0.25036740022105819</v>
      </c>
      <c r="H578">
        <f ca="1">INDEX(Aerodynamique!$T$6:$T$546,MATCH(G578,Aerodynamique!$Y$6:$Y$546,1))</f>
        <v>-0.4499999999999923</v>
      </c>
      <c r="I578">
        <f ca="1">INDEX(Aerodynamique!$Z$6:$Z$546,MATCH(G578,Aerodynamique!$Y$6:$Y$546,1))</f>
        <v>1.195773960448245E-2</v>
      </c>
      <c r="J578">
        <f t="shared" ca="1" si="42"/>
        <v>3520.165253535059</v>
      </c>
      <c r="K578" s="86">
        <f ca="1">INDEX(Aerodynamique!$AC$6:$AC$1006,MATCH(INDEX(Aerodynamique!$W$6:$W$546,MATCH(G578,Aerodynamique!$Y$6:$Y$546,1)),Aerodynamique!$AD$6:$AD$1006,-1))</f>
        <v>-2.9400000000000053</v>
      </c>
      <c r="L578">
        <f ca="1">Montée!$B$19*((E578-E577)/60)*J578/10</f>
        <v>11.255187820475239</v>
      </c>
      <c r="M578">
        <f t="shared" ca="1" si="44"/>
        <v>7152.6339824941906</v>
      </c>
    </row>
    <row r="579" spans="5:13">
      <c r="E579" s="210">
        <f t="shared" si="40"/>
        <v>574</v>
      </c>
      <c r="F579">
        <f t="shared" ca="1" si="43"/>
        <v>7540.5532784031138</v>
      </c>
      <c r="G579">
        <f t="shared" ca="1" si="41"/>
        <v>0.24999425356006752</v>
      </c>
      <c r="H579">
        <f ca="1">INDEX(Aerodynamique!$T$6:$T$546,MATCH(G579,Aerodynamique!$Y$6:$Y$546,1))</f>
        <v>-0.4499999999999923</v>
      </c>
      <c r="I579">
        <f ca="1">INDEX(Aerodynamique!$Z$6:$Z$546,MATCH(G579,Aerodynamique!$Y$6:$Y$546,1))</f>
        <v>1.195773960448245E-2</v>
      </c>
      <c r="J579">
        <f t="shared" ca="1" si="42"/>
        <v>3520.165253535059</v>
      </c>
      <c r="K579" s="86">
        <f ca="1">INDEX(Aerodynamique!$AC$6:$AC$1006,MATCH(INDEX(Aerodynamique!$W$6:$W$546,MATCH(G579,Aerodynamique!$Y$6:$Y$546,1)),Aerodynamique!$AD$6:$AD$1006,-1))</f>
        <v>-2.9400000000000053</v>
      </c>
      <c r="L579">
        <f ca="1">Montée!$B$19*((E579-E578)/60)*J579/10</f>
        <v>11.255187820475239</v>
      </c>
      <c r="M579">
        <f t="shared" ca="1" si="44"/>
        <v>7163.8891703146655</v>
      </c>
    </row>
    <row r="580" spans="5:13">
      <c r="E580" s="210">
        <f t="shared" si="40"/>
        <v>575</v>
      </c>
      <c r="F580">
        <f t="shared" ca="1" si="43"/>
        <v>7529.2980905826389</v>
      </c>
      <c r="G580">
        <f t="shared" ca="1" si="41"/>
        <v>0.24962110689907691</v>
      </c>
      <c r="H580">
        <f ca="1">INDEX(Aerodynamique!$T$6:$T$546,MATCH(G580,Aerodynamique!$Y$6:$Y$546,1))</f>
        <v>-0.4499999999999923</v>
      </c>
      <c r="I580">
        <f ca="1">INDEX(Aerodynamique!$Z$6:$Z$546,MATCH(G580,Aerodynamique!$Y$6:$Y$546,1))</f>
        <v>1.195773960448245E-2</v>
      </c>
      <c r="J580">
        <f t="shared" ca="1" si="42"/>
        <v>3520.165253535059</v>
      </c>
      <c r="K580" s="86">
        <f ca="1">INDEX(Aerodynamique!$AC$6:$AC$1006,MATCH(INDEX(Aerodynamique!$W$6:$W$546,MATCH(G580,Aerodynamique!$Y$6:$Y$546,1)),Aerodynamique!$AD$6:$AD$1006,-1))</f>
        <v>-2.9400000000000053</v>
      </c>
      <c r="L580">
        <f ca="1">Montée!$B$19*((E580-E579)/60)*J580/10</f>
        <v>11.255187820475239</v>
      </c>
      <c r="M580">
        <f t="shared" ca="1" si="44"/>
        <v>7175.1443581351405</v>
      </c>
    </row>
    <row r="581" spans="5:13">
      <c r="E581" s="210">
        <f t="shared" si="40"/>
        <v>576</v>
      </c>
      <c r="F581">
        <f t="shared" ca="1" si="43"/>
        <v>7518.042902762164</v>
      </c>
      <c r="G581">
        <f t="shared" ca="1" si="41"/>
        <v>0.24924796023808629</v>
      </c>
      <c r="H581">
        <f ca="1">INDEX(Aerodynamique!$T$6:$T$546,MATCH(G581,Aerodynamique!$Y$6:$Y$546,1))</f>
        <v>-0.4499999999999923</v>
      </c>
      <c r="I581">
        <f ca="1">INDEX(Aerodynamique!$Z$6:$Z$546,MATCH(G581,Aerodynamique!$Y$6:$Y$546,1))</f>
        <v>1.195773960448245E-2</v>
      </c>
      <c r="J581">
        <f t="shared" ca="1" si="42"/>
        <v>3520.165253535059</v>
      </c>
      <c r="K581" s="86">
        <f ca="1">INDEX(Aerodynamique!$AC$6:$AC$1006,MATCH(INDEX(Aerodynamique!$W$6:$W$546,MATCH(G581,Aerodynamique!$Y$6:$Y$546,1)),Aerodynamique!$AD$6:$AD$1006,-1))</f>
        <v>-2.9400000000000053</v>
      </c>
      <c r="L581">
        <f ca="1">Montée!$B$19*((E581-E580)/60)*J581/10</f>
        <v>11.255187820475239</v>
      </c>
      <c r="M581">
        <f t="shared" ca="1" si="44"/>
        <v>7186.3995459556154</v>
      </c>
    </row>
    <row r="582" spans="5:13">
      <c r="E582" s="210">
        <f t="shared" ref="E582:E645" si="45">E581+$E$3</f>
        <v>577</v>
      </c>
      <c r="F582">
        <f t="shared" ca="1" si="43"/>
        <v>7506.787714941689</v>
      </c>
      <c r="G582">
        <f t="shared" ref="G582:G645" ca="1" si="46">2*F582*g/(rho*V^2*SRef)</f>
        <v>0.24887481357709568</v>
      </c>
      <c r="H582">
        <f ca="1">INDEX(Aerodynamique!$T$6:$T$546,MATCH(G582,Aerodynamique!$Y$6:$Y$546,1))</f>
        <v>-0.4499999999999923</v>
      </c>
      <c r="I582">
        <f ca="1">INDEX(Aerodynamique!$Z$6:$Z$546,MATCH(G582,Aerodynamique!$Y$6:$Y$546,1))</f>
        <v>1.195773960448245E-2</v>
      </c>
      <c r="J582">
        <f t="shared" ref="J582:J645" ca="1" si="47">(1/2)*rho*V^2*SRef*I582</f>
        <v>3520.165253535059</v>
      </c>
      <c r="K582" s="86">
        <f ca="1">INDEX(Aerodynamique!$AC$6:$AC$1006,MATCH(INDEX(Aerodynamique!$W$6:$W$546,MATCH(G582,Aerodynamique!$Y$6:$Y$546,1)),Aerodynamique!$AD$6:$AD$1006,-1))</f>
        <v>-2.9400000000000053</v>
      </c>
      <c r="L582">
        <f ca="1">Montée!$B$19*((E582-E581)/60)*J582/10</f>
        <v>11.255187820475239</v>
      </c>
      <c r="M582">
        <f t="shared" ca="1" si="44"/>
        <v>7197.6547337760903</v>
      </c>
    </row>
    <row r="583" spans="5:13">
      <c r="E583" s="210">
        <f t="shared" si="45"/>
        <v>578</v>
      </c>
      <c r="F583">
        <f t="shared" ref="F583:F646" ca="1" si="48">F582-L582</f>
        <v>7495.5325271212141</v>
      </c>
      <c r="G583">
        <f t="shared" ca="1" si="46"/>
        <v>0.24850166691610506</v>
      </c>
      <c r="H583">
        <f ca="1">INDEX(Aerodynamique!$T$6:$T$546,MATCH(G583,Aerodynamique!$Y$6:$Y$546,1))</f>
        <v>-0.4499999999999923</v>
      </c>
      <c r="I583">
        <f ca="1">INDEX(Aerodynamique!$Z$6:$Z$546,MATCH(G583,Aerodynamique!$Y$6:$Y$546,1))</f>
        <v>1.195773960448245E-2</v>
      </c>
      <c r="J583">
        <f t="shared" ca="1" si="47"/>
        <v>3520.165253535059</v>
      </c>
      <c r="K583" s="86">
        <f ca="1">INDEX(Aerodynamique!$AC$6:$AC$1006,MATCH(INDEX(Aerodynamique!$W$6:$W$546,MATCH(G583,Aerodynamique!$Y$6:$Y$546,1)),Aerodynamique!$AD$6:$AD$1006,-1))</f>
        <v>-2.9400000000000053</v>
      </c>
      <c r="L583">
        <f ca="1">Montée!$B$19*((E583-E582)/60)*J583/10</f>
        <v>11.255187820475239</v>
      </c>
      <c r="M583">
        <f t="shared" ca="1" si="44"/>
        <v>7208.9099215965653</v>
      </c>
    </row>
    <row r="584" spans="5:13">
      <c r="E584" s="210">
        <f t="shared" si="45"/>
        <v>579</v>
      </c>
      <c r="F584">
        <f t="shared" ca="1" si="48"/>
        <v>7484.2773393007392</v>
      </c>
      <c r="G584">
        <f t="shared" ca="1" si="46"/>
        <v>0.24812852025511442</v>
      </c>
      <c r="H584">
        <f ca="1">INDEX(Aerodynamique!$T$6:$T$546,MATCH(G584,Aerodynamique!$Y$6:$Y$546,1))</f>
        <v>-0.4499999999999923</v>
      </c>
      <c r="I584">
        <f ca="1">INDEX(Aerodynamique!$Z$6:$Z$546,MATCH(G584,Aerodynamique!$Y$6:$Y$546,1))</f>
        <v>1.195773960448245E-2</v>
      </c>
      <c r="J584">
        <f t="shared" ca="1" si="47"/>
        <v>3520.165253535059</v>
      </c>
      <c r="K584" s="86">
        <f ca="1">INDEX(Aerodynamique!$AC$6:$AC$1006,MATCH(INDEX(Aerodynamique!$W$6:$W$546,MATCH(G584,Aerodynamique!$Y$6:$Y$546,1)),Aerodynamique!$AD$6:$AD$1006,-1))</f>
        <v>-2.9400000000000053</v>
      </c>
      <c r="L584">
        <f ca="1">Montée!$B$19*((E584-E583)/60)*J584/10</f>
        <v>11.255187820475239</v>
      </c>
      <c r="M584">
        <f t="shared" ref="M584:M647" ca="1" si="49">M583+L584</f>
        <v>7220.1651094170402</v>
      </c>
    </row>
    <row r="585" spans="5:13">
      <c r="E585" s="210">
        <f t="shared" si="45"/>
        <v>580</v>
      </c>
      <c r="F585">
        <f t="shared" ca="1" si="48"/>
        <v>7473.0221514802643</v>
      </c>
      <c r="G585">
        <f t="shared" ca="1" si="46"/>
        <v>0.24775537359412381</v>
      </c>
      <c r="H585">
        <f ca="1">INDEX(Aerodynamique!$T$6:$T$546,MATCH(G585,Aerodynamique!$Y$6:$Y$546,1))</f>
        <v>-0.4499999999999923</v>
      </c>
      <c r="I585">
        <f ca="1">INDEX(Aerodynamique!$Z$6:$Z$546,MATCH(G585,Aerodynamique!$Y$6:$Y$546,1))</f>
        <v>1.195773960448245E-2</v>
      </c>
      <c r="J585">
        <f t="shared" ca="1" si="47"/>
        <v>3520.165253535059</v>
      </c>
      <c r="K585" s="86">
        <f ca="1">INDEX(Aerodynamique!$AC$6:$AC$1006,MATCH(INDEX(Aerodynamique!$W$6:$W$546,MATCH(G585,Aerodynamique!$Y$6:$Y$546,1)),Aerodynamique!$AD$6:$AD$1006,-1))</f>
        <v>-2.9400000000000053</v>
      </c>
      <c r="L585">
        <f ca="1">Montée!$B$19*((E585-E584)/60)*J585/10</f>
        <v>11.255187820475239</v>
      </c>
      <c r="M585">
        <f t="shared" ca="1" si="49"/>
        <v>7231.4202972375151</v>
      </c>
    </row>
    <row r="586" spans="5:13">
      <c r="E586" s="210">
        <f t="shared" si="45"/>
        <v>581</v>
      </c>
      <c r="F586">
        <f t="shared" ca="1" si="48"/>
        <v>7461.7669636597893</v>
      </c>
      <c r="G586">
        <f t="shared" ca="1" si="46"/>
        <v>0.24738222693313319</v>
      </c>
      <c r="H586">
        <f ca="1">INDEX(Aerodynamique!$T$6:$T$546,MATCH(G586,Aerodynamique!$Y$6:$Y$546,1))</f>
        <v>-0.4499999999999923</v>
      </c>
      <c r="I586">
        <f ca="1">INDEX(Aerodynamique!$Z$6:$Z$546,MATCH(G586,Aerodynamique!$Y$6:$Y$546,1))</f>
        <v>1.195773960448245E-2</v>
      </c>
      <c r="J586">
        <f t="shared" ca="1" si="47"/>
        <v>3520.165253535059</v>
      </c>
      <c r="K586" s="86">
        <f ca="1">INDEX(Aerodynamique!$AC$6:$AC$1006,MATCH(INDEX(Aerodynamique!$W$6:$W$546,MATCH(G586,Aerodynamique!$Y$6:$Y$546,1)),Aerodynamique!$AD$6:$AD$1006,-1))</f>
        <v>-2.9400000000000053</v>
      </c>
      <c r="L586">
        <f ca="1">Montée!$B$19*((E586-E585)/60)*J586/10</f>
        <v>11.255187820475239</v>
      </c>
      <c r="M586">
        <f t="shared" ca="1" si="49"/>
        <v>7242.67548505799</v>
      </c>
    </row>
    <row r="587" spans="5:13">
      <c r="E587" s="210">
        <f t="shared" si="45"/>
        <v>582</v>
      </c>
      <c r="F587">
        <f t="shared" ca="1" si="48"/>
        <v>7450.5117758393144</v>
      </c>
      <c r="G587">
        <f t="shared" ca="1" si="46"/>
        <v>0.24700908027214258</v>
      </c>
      <c r="H587">
        <f ca="1">INDEX(Aerodynamique!$T$6:$T$546,MATCH(G587,Aerodynamique!$Y$6:$Y$546,1))</f>
        <v>-0.4499999999999923</v>
      </c>
      <c r="I587">
        <f ca="1">INDEX(Aerodynamique!$Z$6:$Z$546,MATCH(G587,Aerodynamique!$Y$6:$Y$546,1))</f>
        <v>1.195773960448245E-2</v>
      </c>
      <c r="J587">
        <f t="shared" ca="1" si="47"/>
        <v>3520.165253535059</v>
      </c>
      <c r="K587" s="86">
        <f ca="1">INDEX(Aerodynamique!$AC$6:$AC$1006,MATCH(INDEX(Aerodynamique!$W$6:$W$546,MATCH(G587,Aerodynamique!$Y$6:$Y$546,1)),Aerodynamique!$AD$6:$AD$1006,-1))</f>
        <v>-2.9400000000000053</v>
      </c>
      <c r="L587">
        <f ca="1">Montée!$B$19*((E587-E586)/60)*J587/10</f>
        <v>11.255187820475239</v>
      </c>
      <c r="M587">
        <f t="shared" ca="1" si="49"/>
        <v>7253.930672878465</v>
      </c>
    </row>
    <row r="588" spans="5:13">
      <c r="E588" s="210">
        <f t="shared" si="45"/>
        <v>583</v>
      </c>
      <c r="F588">
        <f t="shared" ca="1" si="48"/>
        <v>7439.2565880188395</v>
      </c>
      <c r="G588">
        <f t="shared" ca="1" si="46"/>
        <v>0.24663593361115196</v>
      </c>
      <c r="H588">
        <f ca="1">INDEX(Aerodynamique!$T$6:$T$546,MATCH(G588,Aerodynamique!$Y$6:$Y$546,1))</f>
        <v>-0.49999999999999228</v>
      </c>
      <c r="I588">
        <f ca="1">INDEX(Aerodynamique!$Z$6:$Z$546,MATCH(G588,Aerodynamique!$Y$6:$Y$546,1))</f>
        <v>1.1918918213618696E-2</v>
      </c>
      <c r="J588">
        <f t="shared" ca="1" si="47"/>
        <v>3508.7368635773732</v>
      </c>
      <c r="K588" s="86">
        <f ca="1">INDEX(Aerodynamique!$AC$6:$AC$1006,MATCH(INDEX(Aerodynamique!$W$6:$W$546,MATCH(G588,Aerodynamique!$Y$6:$Y$546,1)),Aerodynamique!$AD$6:$AD$1006,-1))</f>
        <v>-2.9000000000000052</v>
      </c>
      <c r="L588">
        <f ca="1">Montée!$B$19*((E588-E587)/60)*J588/10</f>
        <v>11.218647298597689</v>
      </c>
      <c r="M588">
        <f t="shared" ca="1" si="49"/>
        <v>7265.1493201770627</v>
      </c>
    </row>
    <row r="589" spans="5:13">
      <c r="E589" s="210">
        <f t="shared" si="45"/>
        <v>584</v>
      </c>
      <c r="F589">
        <f t="shared" ca="1" si="48"/>
        <v>7428.0379407202417</v>
      </c>
      <c r="G589">
        <f t="shared" ca="1" si="46"/>
        <v>0.2462639983891837</v>
      </c>
      <c r="H589">
        <f ca="1">INDEX(Aerodynamique!$T$6:$T$546,MATCH(G589,Aerodynamique!$Y$6:$Y$546,1))</f>
        <v>-0.49999999999999228</v>
      </c>
      <c r="I589">
        <f ca="1">INDEX(Aerodynamique!$Z$6:$Z$546,MATCH(G589,Aerodynamique!$Y$6:$Y$546,1))</f>
        <v>1.1918918213618696E-2</v>
      </c>
      <c r="J589">
        <f t="shared" ca="1" si="47"/>
        <v>3508.7368635773732</v>
      </c>
      <c r="K589" s="86">
        <f ca="1">INDEX(Aerodynamique!$AC$6:$AC$1006,MATCH(INDEX(Aerodynamique!$W$6:$W$546,MATCH(G589,Aerodynamique!$Y$6:$Y$546,1)),Aerodynamique!$AD$6:$AD$1006,-1))</f>
        <v>-2.9000000000000052</v>
      </c>
      <c r="L589">
        <f ca="1">Montée!$B$19*((E589-E588)/60)*J589/10</f>
        <v>11.218647298597689</v>
      </c>
      <c r="M589">
        <f t="shared" ca="1" si="49"/>
        <v>7276.3679674756604</v>
      </c>
    </row>
    <row r="590" spans="5:13">
      <c r="E590" s="210">
        <f t="shared" si="45"/>
        <v>585</v>
      </c>
      <c r="F590">
        <f t="shared" ca="1" si="48"/>
        <v>7416.819293421644</v>
      </c>
      <c r="G590">
        <f t="shared" ca="1" si="46"/>
        <v>0.24589206316721537</v>
      </c>
      <c r="H590">
        <f ca="1">INDEX(Aerodynamique!$T$6:$T$546,MATCH(G590,Aerodynamique!$Y$6:$Y$546,1))</f>
        <v>-0.49999999999999228</v>
      </c>
      <c r="I590">
        <f ca="1">INDEX(Aerodynamique!$Z$6:$Z$546,MATCH(G590,Aerodynamique!$Y$6:$Y$546,1))</f>
        <v>1.1918918213618696E-2</v>
      </c>
      <c r="J590">
        <f t="shared" ca="1" si="47"/>
        <v>3508.7368635773732</v>
      </c>
      <c r="K590" s="86">
        <f ca="1">INDEX(Aerodynamique!$AC$6:$AC$1006,MATCH(INDEX(Aerodynamique!$W$6:$W$546,MATCH(G590,Aerodynamique!$Y$6:$Y$546,1)),Aerodynamique!$AD$6:$AD$1006,-1))</f>
        <v>-2.9000000000000052</v>
      </c>
      <c r="L590">
        <f ca="1">Montée!$B$19*((E590-E589)/60)*J590/10</f>
        <v>11.218647298597689</v>
      </c>
      <c r="M590">
        <f t="shared" ca="1" si="49"/>
        <v>7287.5866147742581</v>
      </c>
    </row>
    <row r="591" spans="5:13">
      <c r="E591" s="210">
        <f t="shared" si="45"/>
        <v>586</v>
      </c>
      <c r="F591">
        <f t="shared" ca="1" si="48"/>
        <v>7405.6006461230463</v>
      </c>
      <c r="G591">
        <f t="shared" ca="1" si="46"/>
        <v>0.24552012794524711</v>
      </c>
      <c r="H591">
        <f ca="1">INDEX(Aerodynamique!$T$6:$T$546,MATCH(G591,Aerodynamique!$Y$6:$Y$546,1))</f>
        <v>-0.49999999999999228</v>
      </c>
      <c r="I591">
        <f ca="1">INDEX(Aerodynamique!$Z$6:$Z$546,MATCH(G591,Aerodynamique!$Y$6:$Y$546,1))</f>
        <v>1.1918918213618696E-2</v>
      </c>
      <c r="J591">
        <f t="shared" ca="1" si="47"/>
        <v>3508.7368635773732</v>
      </c>
      <c r="K591" s="86">
        <f ca="1">INDEX(Aerodynamique!$AC$6:$AC$1006,MATCH(INDEX(Aerodynamique!$W$6:$W$546,MATCH(G591,Aerodynamique!$Y$6:$Y$546,1)),Aerodynamique!$AD$6:$AD$1006,-1))</f>
        <v>-2.9000000000000052</v>
      </c>
      <c r="L591">
        <f ca="1">Montée!$B$19*((E591-E590)/60)*J591/10</f>
        <v>11.218647298597689</v>
      </c>
      <c r="M591">
        <f t="shared" ca="1" si="49"/>
        <v>7298.8052620728558</v>
      </c>
    </row>
    <row r="592" spans="5:13">
      <c r="E592" s="210">
        <f t="shared" si="45"/>
        <v>587</v>
      </c>
      <c r="F592">
        <f t="shared" ca="1" si="48"/>
        <v>7394.3819988244486</v>
      </c>
      <c r="G592">
        <f t="shared" ca="1" si="46"/>
        <v>0.24514819272327878</v>
      </c>
      <c r="H592">
        <f ca="1">INDEX(Aerodynamique!$T$6:$T$546,MATCH(G592,Aerodynamique!$Y$6:$Y$546,1))</f>
        <v>-0.49999999999999228</v>
      </c>
      <c r="I592">
        <f ca="1">INDEX(Aerodynamique!$Z$6:$Z$546,MATCH(G592,Aerodynamique!$Y$6:$Y$546,1))</f>
        <v>1.1918918213618696E-2</v>
      </c>
      <c r="J592">
        <f t="shared" ca="1" si="47"/>
        <v>3508.7368635773732</v>
      </c>
      <c r="K592" s="86">
        <f ca="1">INDEX(Aerodynamique!$AC$6:$AC$1006,MATCH(INDEX(Aerodynamique!$W$6:$W$546,MATCH(G592,Aerodynamique!$Y$6:$Y$546,1)),Aerodynamique!$AD$6:$AD$1006,-1))</f>
        <v>-2.9000000000000052</v>
      </c>
      <c r="L592">
        <f ca="1">Montée!$B$19*((E592-E591)/60)*J592/10</f>
        <v>11.218647298597689</v>
      </c>
      <c r="M592">
        <f t="shared" ca="1" si="49"/>
        <v>7310.0239093714536</v>
      </c>
    </row>
    <row r="593" spans="5:13">
      <c r="E593" s="210">
        <f t="shared" si="45"/>
        <v>588</v>
      </c>
      <c r="F593">
        <f t="shared" ca="1" si="48"/>
        <v>7383.1633515258509</v>
      </c>
      <c r="G593">
        <f t="shared" ca="1" si="46"/>
        <v>0.24477625750131052</v>
      </c>
      <c r="H593">
        <f ca="1">INDEX(Aerodynamique!$T$6:$T$546,MATCH(G593,Aerodynamique!$Y$6:$Y$546,1))</f>
        <v>-0.49999999999999228</v>
      </c>
      <c r="I593">
        <f ca="1">INDEX(Aerodynamique!$Z$6:$Z$546,MATCH(G593,Aerodynamique!$Y$6:$Y$546,1))</f>
        <v>1.1918918213618696E-2</v>
      </c>
      <c r="J593">
        <f t="shared" ca="1" si="47"/>
        <v>3508.7368635773732</v>
      </c>
      <c r="K593" s="86">
        <f ca="1">INDEX(Aerodynamique!$AC$6:$AC$1006,MATCH(INDEX(Aerodynamique!$W$6:$W$546,MATCH(G593,Aerodynamique!$Y$6:$Y$546,1)),Aerodynamique!$AD$6:$AD$1006,-1))</f>
        <v>-2.9000000000000052</v>
      </c>
      <c r="L593">
        <f ca="1">Montée!$B$19*((E593-E592)/60)*J593/10</f>
        <v>11.218647298597689</v>
      </c>
      <c r="M593">
        <f t="shared" ca="1" si="49"/>
        <v>7321.2425566700513</v>
      </c>
    </row>
    <row r="594" spans="5:13">
      <c r="E594" s="210">
        <f t="shared" si="45"/>
        <v>589</v>
      </c>
      <c r="F594">
        <f t="shared" ca="1" si="48"/>
        <v>7371.9447042272532</v>
      </c>
      <c r="G594">
        <f t="shared" ca="1" si="46"/>
        <v>0.2444043222793422</v>
      </c>
      <c r="H594">
        <f ca="1">INDEX(Aerodynamique!$T$6:$T$546,MATCH(G594,Aerodynamique!$Y$6:$Y$546,1))</f>
        <v>-0.49999999999999228</v>
      </c>
      <c r="I594">
        <f ca="1">INDEX(Aerodynamique!$Z$6:$Z$546,MATCH(G594,Aerodynamique!$Y$6:$Y$546,1))</f>
        <v>1.1918918213618696E-2</v>
      </c>
      <c r="J594">
        <f t="shared" ca="1" si="47"/>
        <v>3508.7368635773732</v>
      </c>
      <c r="K594" s="86">
        <f ca="1">INDEX(Aerodynamique!$AC$6:$AC$1006,MATCH(INDEX(Aerodynamique!$W$6:$W$546,MATCH(G594,Aerodynamique!$Y$6:$Y$546,1)),Aerodynamique!$AD$6:$AD$1006,-1))</f>
        <v>-2.9000000000000052</v>
      </c>
      <c r="L594">
        <f ca="1">Montée!$B$19*((E594-E593)/60)*J594/10</f>
        <v>11.218647298597689</v>
      </c>
      <c r="M594">
        <f t="shared" ca="1" si="49"/>
        <v>7332.461203968649</v>
      </c>
    </row>
    <row r="595" spans="5:13">
      <c r="E595" s="210">
        <f t="shared" si="45"/>
        <v>590</v>
      </c>
      <c r="F595">
        <f t="shared" ca="1" si="48"/>
        <v>7360.7260569286555</v>
      </c>
      <c r="G595">
        <f t="shared" ca="1" si="46"/>
        <v>0.24403238705737393</v>
      </c>
      <c r="H595">
        <f ca="1">INDEX(Aerodynamique!$T$6:$T$546,MATCH(G595,Aerodynamique!$Y$6:$Y$546,1))</f>
        <v>-0.49999999999999228</v>
      </c>
      <c r="I595">
        <f ca="1">INDEX(Aerodynamique!$Z$6:$Z$546,MATCH(G595,Aerodynamique!$Y$6:$Y$546,1))</f>
        <v>1.1918918213618696E-2</v>
      </c>
      <c r="J595">
        <f t="shared" ca="1" si="47"/>
        <v>3508.7368635773732</v>
      </c>
      <c r="K595" s="86">
        <f ca="1">INDEX(Aerodynamique!$AC$6:$AC$1006,MATCH(INDEX(Aerodynamique!$W$6:$W$546,MATCH(G595,Aerodynamique!$Y$6:$Y$546,1)),Aerodynamique!$AD$6:$AD$1006,-1))</f>
        <v>-2.9000000000000052</v>
      </c>
      <c r="L595">
        <f ca="1">Montée!$B$19*((E595-E594)/60)*J595/10</f>
        <v>11.218647298597689</v>
      </c>
      <c r="M595">
        <f t="shared" ca="1" si="49"/>
        <v>7343.6798512672467</v>
      </c>
    </row>
    <row r="596" spans="5:13">
      <c r="E596" s="210">
        <f t="shared" si="45"/>
        <v>591</v>
      </c>
      <c r="F596">
        <f t="shared" ca="1" si="48"/>
        <v>7349.5074096300577</v>
      </c>
      <c r="G596">
        <f t="shared" ca="1" si="46"/>
        <v>0.24366045183540561</v>
      </c>
      <c r="H596">
        <f ca="1">INDEX(Aerodynamique!$T$6:$T$546,MATCH(G596,Aerodynamique!$Y$6:$Y$546,1))</f>
        <v>-0.49999999999999228</v>
      </c>
      <c r="I596">
        <f ca="1">INDEX(Aerodynamique!$Z$6:$Z$546,MATCH(G596,Aerodynamique!$Y$6:$Y$546,1))</f>
        <v>1.1918918213618696E-2</v>
      </c>
      <c r="J596">
        <f t="shared" ca="1" si="47"/>
        <v>3508.7368635773732</v>
      </c>
      <c r="K596" s="86">
        <f ca="1">INDEX(Aerodynamique!$AC$6:$AC$1006,MATCH(INDEX(Aerodynamique!$W$6:$W$546,MATCH(G596,Aerodynamique!$Y$6:$Y$546,1)),Aerodynamique!$AD$6:$AD$1006,-1))</f>
        <v>-2.9000000000000052</v>
      </c>
      <c r="L596">
        <f ca="1">Montée!$B$19*((E596-E595)/60)*J596/10</f>
        <v>11.218647298597689</v>
      </c>
      <c r="M596">
        <f t="shared" ca="1" si="49"/>
        <v>7354.8984985658444</v>
      </c>
    </row>
    <row r="597" spans="5:13">
      <c r="E597" s="210">
        <f t="shared" si="45"/>
        <v>592</v>
      </c>
      <c r="F597">
        <f t="shared" ca="1" si="48"/>
        <v>7338.28876233146</v>
      </c>
      <c r="G597">
        <f t="shared" ca="1" si="46"/>
        <v>0.24328851661343734</v>
      </c>
      <c r="H597">
        <f ca="1">INDEX(Aerodynamique!$T$6:$T$546,MATCH(G597,Aerodynamique!$Y$6:$Y$546,1))</f>
        <v>-0.49999999999999228</v>
      </c>
      <c r="I597">
        <f ca="1">INDEX(Aerodynamique!$Z$6:$Z$546,MATCH(G597,Aerodynamique!$Y$6:$Y$546,1))</f>
        <v>1.1918918213618696E-2</v>
      </c>
      <c r="J597">
        <f t="shared" ca="1" si="47"/>
        <v>3508.7368635773732</v>
      </c>
      <c r="K597" s="86">
        <f ca="1">INDEX(Aerodynamique!$AC$6:$AC$1006,MATCH(INDEX(Aerodynamique!$W$6:$W$546,MATCH(G597,Aerodynamique!$Y$6:$Y$546,1)),Aerodynamique!$AD$6:$AD$1006,-1))</f>
        <v>-2.9000000000000052</v>
      </c>
      <c r="L597">
        <f ca="1">Montée!$B$19*((E597-E596)/60)*J597/10</f>
        <v>11.218647298597689</v>
      </c>
      <c r="M597">
        <f t="shared" ca="1" si="49"/>
        <v>7366.1171458644421</v>
      </c>
    </row>
    <row r="598" spans="5:13">
      <c r="E598" s="210">
        <f t="shared" si="45"/>
        <v>593</v>
      </c>
      <c r="F598">
        <f t="shared" ca="1" si="48"/>
        <v>7327.0701150328623</v>
      </c>
      <c r="G598">
        <f t="shared" ca="1" si="46"/>
        <v>0.24291658139146907</v>
      </c>
      <c r="H598">
        <f ca="1">INDEX(Aerodynamique!$T$6:$T$546,MATCH(G598,Aerodynamique!$Y$6:$Y$546,1))</f>
        <v>-0.49999999999999228</v>
      </c>
      <c r="I598">
        <f ca="1">INDEX(Aerodynamique!$Z$6:$Z$546,MATCH(G598,Aerodynamique!$Y$6:$Y$546,1))</f>
        <v>1.1918918213618696E-2</v>
      </c>
      <c r="J598">
        <f t="shared" ca="1" si="47"/>
        <v>3508.7368635773732</v>
      </c>
      <c r="K598" s="86">
        <f ca="1">INDEX(Aerodynamique!$AC$6:$AC$1006,MATCH(INDEX(Aerodynamique!$W$6:$W$546,MATCH(G598,Aerodynamique!$Y$6:$Y$546,1)),Aerodynamique!$AD$6:$AD$1006,-1))</f>
        <v>-2.9000000000000052</v>
      </c>
      <c r="L598">
        <f ca="1">Montée!$B$19*((E598-E597)/60)*J598/10</f>
        <v>11.218647298597689</v>
      </c>
      <c r="M598">
        <f t="shared" ca="1" si="49"/>
        <v>7377.3357931630399</v>
      </c>
    </row>
    <row r="599" spans="5:13">
      <c r="E599" s="210">
        <f t="shared" si="45"/>
        <v>594</v>
      </c>
      <c r="F599">
        <f t="shared" ca="1" si="48"/>
        <v>7315.8514677342646</v>
      </c>
      <c r="G599">
        <f t="shared" ca="1" si="46"/>
        <v>0.24254464616950075</v>
      </c>
      <c r="H599">
        <f ca="1">INDEX(Aerodynamique!$T$6:$T$546,MATCH(G599,Aerodynamique!$Y$6:$Y$546,1))</f>
        <v>-0.49999999999999228</v>
      </c>
      <c r="I599">
        <f ca="1">INDEX(Aerodynamique!$Z$6:$Z$546,MATCH(G599,Aerodynamique!$Y$6:$Y$546,1))</f>
        <v>1.1918918213618696E-2</v>
      </c>
      <c r="J599">
        <f t="shared" ca="1" si="47"/>
        <v>3508.7368635773732</v>
      </c>
      <c r="K599" s="86">
        <f ca="1">INDEX(Aerodynamique!$AC$6:$AC$1006,MATCH(INDEX(Aerodynamique!$W$6:$W$546,MATCH(G599,Aerodynamique!$Y$6:$Y$546,1)),Aerodynamique!$AD$6:$AD$1006,-1))</f>
        <v>-2.9000000000000052</v>
      </c>
      <c r="L599">
        <f ca="1">Montée!$B$19*((E599-E598)/60)*J599/10</f>
        <v>11.218647298597689</v>
      </c>
      <c r="M599">
        <f t="shared" ca="1" si="49"/>
        <v>7388.5544404616376</v>
      </c>
    </row>
    <row r="600" spans="5:13">
      <c r="E600" s="210">
        <f t="shared" si="45"/>
        <v>595</v>
      </c>
      <c r="F600">
        <f t="shared" ca="1" si="48"/>
        <v>7304.6328204356669</v>
      </c>
      <c r="G600">
        <f t="shared" ca="1" si="46"/>
        <v>0.24217271094753248</v>
      </c>
      <c r="H600">
        <f ca="1">INDEX(Aerodynamique!$T$6:$T$546,MATCH(G600,Aerodynamique!$Y$6:$Y$546,1))</f>
        <v>-0.49999999999999228</v>
      </c>
      <c r="I600">
        <f ca="1">INDEX(Aerodynamique!$Z$6:$Z$546,MATCH(G600,Aerodynamique!$Y$6:$Y$546,1))</f>
        <v>1.1918918213618696E-2</v>
      </c>
      <c r="J600">
        <f t="shared" ca="1" si="47"/>
        <v>3508.7368635773732</v>
      </c>
      <c r="K600" s="86">
        <f ca="1">INDEX(Aerodynamique!$AC$6:$AC$1006,MATCH(INDEX(Aerodynamique!$W$6:$W$546,MATCH(G600,Aerodynamique!$Y$6:$Y$546,1)),Aerodynamique!$AD$6:$AD$1006,-1))</f>
        <v>-2.9000000000000052</v>
      </c>
      <c r="L600">
        <f ca="1">Montée!$B$19*((E600-E599)/60)*J600/10</f>
        <v>11.218647298597689</v>
      </c>
      <c r="M600">
        <f t="shared" ca="1" si="49"/>
        <v>7399.7730877602353</v>
      </c>
    </row>
    <row r="601" spans="5:13">
      <c r="E601" s="210">
        <f t="shared" si="45"/>
        <v>596</v>
      </c>
      <c r="F601">
        <f t="shared" ca="1" si="48"/>
        <v>7293.4141731370692</v>
      </c>
      <c r="G601">
        <f t="shared" ca="1" si="46"/>
        <v>0.24180077572556416</v>
      </c>
      <c r="H601">
        <f ca="1">INDEX(Aerodynamique!$T$6:$T$546,MATCH(G601,Aerodynamique!$Y$6:$Y$546,1))</f>
        <v>-0.49999999999999228</v>
      </c>
      <c r="I601">
        <f ca="1">INDEX(Aerodynamique!$Z$6:$Z$546,MATCH(G601,Aerodynamique!$Y$6:$Y$546,1))</f>
        <v>1.1918918213618696E-2</v>
      </c>
      <c r="J601">
        <f t="shared" ca="1" si="47"/>
        <v>3508.7368635773732</v>
      </c>
      <c r="K601" s="86">
        <f ca="1">INDEX(Aerodynamique!$AC$6:$AC$1006,MATCH(INDEX(Aerodynamique!$W$6:$W$546,MATCH(G601,Aerodynamique!$Y$6:$Y$546,1)),Aerodynamique!$AD$6:$AD$1006,-1))</f>
        <v>-2.9000000000000052</v>
      </c>
      <c r="L601">
        <f ca="1">Montée!$B$19*((E601-E600)/60)*J601/10</f>
        <v>11.218647298597689</v>
      </c>
      <c r="M601">
        <f t="shared" ca="1" si="49"/>
        <v>7410.991735058833</v>
      </c>
    </row>
    <row r="602" spans="5:13">
      <c r="E602" s="210">
        <f t="shared" si="45"/>
        <v>597</v>
      </c>
      <c r="F602">
        <f t="shared" ca="1" si="48"/>
        <v>7282.1955258384714</v>
      </c>
      <c r="G602">
        <f t="shared" ca="1" si="46"/>
        <v>0.24142884050359589</v>
      </c>
      <c r="H602">
        <f ca="1">INDEX(Aerodynamique!$T$6:$T$546,MATCH(G602,Aerodynamique!$Y$6:$Y$546,1))</f>
        <v>-0.54999999999999227</v>
      </c>
      <c r="I602">
        <f ca="1">INDEX(Aerodynamique!$Z$6:$Z$546,MATCH(G602,Aerodynamique!$Y$6:$Y$546,1))</f>
        <v>1.18811646327671E-2</v>
      </c>
      <c r="J602">
        <f t="shared" ca="1" si="47"/>
        <v>3497.6228196270854</v>
      </c>
      <c r="K602" s="86">
        <f ca="1">INDEX(Aerodynamique!$AC$6:$AC$1006,MATCH(INDEX(Aerodynamique!$W$6:$W$546,MATCH(G602,Aerodynamique!$Y$6:$Y$546,1)),Aerodynamique!$AD$6:$AD$1006,-1))</f>
        <v>-2.8600000000000052</v>
      </c>
      <c r="L602">
        <f ca="1">Montée!$B$19*((E602-E601)/60)*J602/10</f>
        <v>11.183111849805936</v>
      </c>
      <c r="M602">
        <f t="shared" ca="1" si="49"/>
        <v>7422.1748469086388</v>
      </c>
    </row>
    <row r="603" spans="5:13">
      <c r="E603" s="210">
        <f t="shared" si="45"/>
        <v>598</v>
      </c>
      <c r="F603">
        <f t="shared" ca="1" si="48"/>
        <v>7271.0124139886657</v>
      </c>
      <c r="G603">
        <f t="shared" ca="1" si="46"/>
        <v>0.2410580833991566</v>
      </c>
      <c r="H603">
        <f ca="1">INDEX(Aerodynamique!$T$6:$T$546,MATCH(G603,Aerodynamique!$Y$6:$Y$546,1))</f>
        <v>-0.54999999999999227</v>
      </c>
      <c r="I603">
        <f ca="1">INDEX(Aerodynamique!$Z$6:$Z$546,MATCH(G603,Aerodynamique!$Y$6:$Y$546,1))</f>
        <v>1.18811646327671E-2</v>
      </c>
      <c r="J603">
        <f t="shared" ca="1" si="47"/>
        <v>3497.6228196270854</v>
      </c>
      <c r="K603" s="86">
        <f ca="1">INDEX(Aerodynamique!$AC$6:$AC$1006,MATCH(INDEX(Aerodynamique!$W$6:$W$546,MATCH(G603,Aerodynamique!$Y$6:$Y$546,1)),Aerodynamique!$AD$6:$AD$1006,-1))</f>
        <v>-2.8600000000000052</v>
      </c>
      <c r="L603">
        <f ca="1">Montée!$B$19*((E603-E602)/60)*J603/10</f>
        <v>11.183111849805936</v>
      </c>
      <c r="M603">
        <f t="shared" ca="1" si="49"/>
        <v>7433.3579587584445</v>
      </c>
    </row>
    <row r="604" spans="5:13">
      <c r="E604" s="210">
        <f t="shared" si="45"/>
        <v>599</v>
      </c>
      <c r="F604">
        <f t="shared" ca="1" si="48"/>
        <v>7259.8293021388599</v>
      </c>
      <c r="G604">
        <f t="shared" ca="1" si="46"/>
        <v>0.24068732629471726</v>
      </c>
      <c r="H604">
        <f ca="1">INDEX(Aerodynamique!$T$6:$T$546,MATCH(G604,Aerodynamique!$Y$6:$Y$546,1))</f>
        <v>-0.54999999999999227</v>
      </c>
      <c r="I604">
        <f ca="1">INDEX(Aerodynamique!$Z$6:$Z$546,MATCH(G604,Aerodynamique!$Y$6:$Y$546,1))</f>
        <v>1.18811646327671E-2</v>
      </c>
      <c r="J604">
        <f t="shared" ca="1" si="47"/>
        <v>3497.6228196270854</v>
      </c>
      <c r="K604" s="86">
        <f ca="1">INDEX(Aerodynamique!$AC$6:$AC$1006,MATCH(INDEX(Aerodynamique!$W$6:$W$546,MATCH(G604,Aerodynamique!$Y$6:$Y$546,1)),Aerodynamique!$AD$6:$AD$1006,-1))</f>
        <v>-2.8600000000000052</v>
      </c>
      <c r="L604">
        <f ca="1">Montée!$B$19*((E604-E603)/60)*J604/10</f>
        <v>11.183111849805936</v>
      </c>
      <c r="M604">
        <f t="shared" ca="1" si="49"/>
        <v>7444.5410706082503</v>
      </c>
    </row>
    <row r="605" spans="5:13">
      <c r="E605" s="210">
        <f t="shared" si="45"/>
        <v>600</v>
      </c>
      <c r="F605">
        <f t="shared" ca="1" si="48"/>
        <v>7248.6461902890542</v>
      </c>
      <c r="G605">
        <f t="shared" ca="1" si="46"/>
        <v>0.24031656919027797</v>
      </c>
      <c r="H605">
        <f ca="1">INDEX(Aerodynamique!$T$6:$T$546,MATCH(G605,Aerodynamique!$Y$6:$Y$546,1))</f>
        <v>-0.54999999999999227</v>
      </c>
      <c r="I605">
        <f ca="1">INDEX(Aerodynamique!$Z$6:$Z$546,MATCH(G605,Aerodynamique!$Y$6:$Y$546,1))</f>
        <v>1.18811646327671E-2</v>
      </c>
      <c r="J605">
        <f t="shared" ca="1" si="47"/>
        <v>3497.6228196270854</v>
      </c>
      <c r="K605" s="86">
        <f ca="1">INDEX(Aerodynamique!$AC$6:$AC$1006,MATCH(INDEX(Aerodynamique!$W$6:$W$546,MATCH(G605,Aerodynamique!$Y$6:$Y$546,1)),Aerodynamique!$AD$6:$AD$1006,-1))</f>
        <v>-2.8600000000000052</v>
      </c>
      <c r="L605">
        <f ca="1">Montée!$B$19*((E605-E604)/60)*J605/10</f>
        <v>11.183111849805936</v>
      </c>
      <c r="M605">
        <f t="shared" ca="1" si="49"/>
        <v>7455.724182458056</v>
      </c>
    </row>
    <row r="606" spans="5:13">
      <c r="E606" s="210">
        <f t="shared" si="45"/>
        <v>601</v>
      </c>
      <c r="F606">
        <f t="shared" ca="1" si="48"/>
        <v>7237.4630784392484</v>
      </c>
      <c r="G606">
        <f t="shared" ca="1" si="46"/>
        <v>0.23994581208583868</v>
      </c>
      <c r="H606">
        <f ca="1">INDEX(Aerodynamique!$T$6:$T$546,MATCH(G606,Aerodynamique!$Y$6:$Y$546,1))</f>
        <v>-0.54999999999999227</v>
      </c>
      <c r="I606">
        <f ca="1">INDEX(Aerodynamique!$Z$6:$Z$546,MATCH(G606,Aerodynamique!$Y$6:$Y$546,1))</f>
        <v>1.18811646327671E-2</v>
      </c>
      <c r="J606">
        <f t="shared" ca="1" si="47"/>
        <v>3497.6228196270854</v>
      </c>
      <c r="K606" s="86">
        <f ca="1">INDEX(Aerodynamique!$AC$6:$AC$1006,MATCH(INDEX(Aerodynamique!$W$6:$W$546,MATCH(G606,Aerodynamique!$Y$6:$Y$546,1)),Aerodynamique!$AD$6:$AD$1006,-1))</f>
        <v>-2.8600000000000052</v>
      </c>
      <c r="L606">
        <f ca="1">Montée!$B$19*((E606-E605)/60)*J606/10</f>
        <v>11.183111849805936</v>
      </c>
      <c r="M606">
        <f t="shared" ca="1" si="49"/>
        <v>7466.9072943078618</v>
      </c>
    </row>
    <row r="607" spans="5:13">
      <c r="E607" s="210">
        <f t="shared" si="45"/>
        <v>602</v>
      </c>
      <c r="F607">
        <f t="shared" ca="1" si="48"/>
        <v>7226.2799665894427</v>
      </c>
      <c r="G607">
        <f t="shared" ca="1" si="46"/>
        <v>0.23957505498139942</v>
      </c>
      <c r="H607">
        <f ca="1">INDEX(Aerodynamique!$T$6:$T$546,MATCH(G607,Aerodynamique!$Y$6:$Y$546,1))</f>
        <v>-0.54999999999999227</v>
      </c>
      <c r="I607">
        <f ca="1">INDEX(Aerodynamique!$Z$6:$Z$546,MATCH(G607,Aerodynamique!$Y$6:$Y$546,1))</f>
        <v>1.18811646327671E-2</v>
      </c>
      <c r="J607">
        <f t="shared" ca="1" si="47"/>
        <v>3497.6228196270854</v>
      </c>
      <c r="K607" s="86">
        <f ca="1">INDEX(Aerodynamique!$AC$6:$AC$1006,MATCH(INDEX(Aerodynamique!$W$6:$W$546,MATCH(G607,Aerodynamique!$Y$6:$Y$546,1)),Aerodynamique!$AD$6:$AD$1006,-1))</f>
        <v>-2.8600000000000052</v>
      </c>
      <c r="L607">
        <f ca="1">Montée!$B$19*((E607-E606)/60)*J607/10</f>
        <v>11.183111849805936</v>
      </c>
      <c r="M607">
        <f t="shared" ca="1" si="49"/>
        <v>7478.0904061576675</v>
      </c>
    </row>
    <row r="608" spans="5:13">
      <c r="E608" s="210">
        <f t="shared" si="45"/>
        <v>603</v>
      </c>
      <c r="F608">
        <f t="shared" ca="1" si="48"/>
        <v>7215.0968547396369</v>
      </c>
      <c r="G608">
        <f t="shared" ca="1" si="46"/>
        <v>0.23920429787696013</v>
      </c>
      <c r="H608">
        <f ca="1">INDEX(Aerodynamique!$T$6:$T$546,MATCH(G608,Aerodynamique!$Y$6:$Y$546,1))</f>
        <v>-0.54999999999999227</v>
      </c>
      <c r="I608">
        <f ca="1">INDEX(Aerodynamique!$Z$6:$Z$546,MATCH(G608,Aerodynamique!$Y$6:$Y$546,1))</f>
        <v>1.18811646327671E-2</v>
      </c>
      <c r="J608">
        <f t="shared" ca="1" si="47"/>
        <v>3497.6228196270854</v>
      </c>
      <c r="K608" s="86">
        <f ca="1">INDEX(Aerodynamique!$AC$6:$AC$1006,MATCH(INDEX(Aerodynamique!$W$6:$W$546,MATCH(G608,Aerodynamique!$Y$6:$Y$546,1)),Aerodynamique!$AD$6:$AD$1006,-1))</f>
        <v>-2.8600000000000052</v>
      </c>
      <c r="L608">
        <f ca="1">Montée!$B$19*((E608-E607)/60)*J608/10</f>
        <v>11.183111849805936</v>
      </c>
      <c r="M608">
        <f t="shared" ca="1" si="49"/>
        <v>7489.2735180074733</v>
      </c>
    </row>
    <row r="609" spans="5:13">
      <c r="E609" s="210">
        <f t="shared" si="45"/>
        <v>604</v>
      </c>
      <c r="F609">
        <f t="shared" ca="1" si="48"/>
        <v>7203.9137428898312</v>
      </c>
      <c r="G609">
        <f t="shared" ca="1" si="46"/>
        <v>0.23883354077252084</v>
      </c>
      <c r="H609">
        <f ca="1">INDEX(Aerodynamique!$T$6:$T$546,MATCH(G609,Aerodynamique!$Y$6:$Y$546,1))</f>
        <v>-0.54999999999999227</v>
      </c>
      <c r="I609">
        <f ca="1">INDEX(Aerodynamique!$Z$6:$Z$546,MATCH(G609,Aerodynamique!$Y$6:$Y$546,1))</f>
        <v>1.18811646327671E-2</v>
      </c>
      <c r="J609">
        <f t="shared" ca="1" si="47"/>
        <v>3497.6228196270854</v>
      </c>
      <c r="K609" s="86">
        <f ca="1">INDEX(Aerodynamique!$AC$6:$AC$1006,MATCH(INDEX(Aerodynamique!$W$6:$W$546,MATCH(G609,Aerodynamique!$Y$6:$Y$546,1)),Aerodynamique!$AD$6:$AD$1006,-1))</f>
        <v>-2.8600000000000052</v>
      </c>
      <c r="L609">
        <f ca="1">Montée!$B$19*((E609-E608)/60)*J609/10</f>
        <v>11.183111849805936</v>
      </c>
      <c r="M609">
        <f t="shared" ca="1" si="49"/>
        <v>7500.456629857279</v>
      </c>
    </row>
    <row r="610" spans="5:13">
      <c r="E610" s="210">
        <f t="shared" si="45"/>
        <v>605</v>
      </c>
      <c r="F610">
        <f t="shared" ca="1" si="48"/>
        <v>7192.7306310400254</v>
      </c>
      <c r="G610">
        <f t="shared" ca="1" si="46"/>
        <v>0.23846278366808155</v>
      </c>
      <c r="H610">
        <f ca="1">INDEX(Aerodynamique!$T$6:$T$546,MATCH(G610,Aerodynamique!$Y$6:$Y$546,1))</f>
        <v>-0.54999999999999227</v>
      </c>
      <c r="I610">
        <f ca="1">INDEX(Aerodynamique!$Z$6:$Z$546,MATCH(G610,Aerodynamique!$Y$6:$Y$546,1))</f>
        <v>1.18811646327671E-2</v>
      </c>
      <c r="J610">
        <f t="shared" ca="1" si="47"/>
        <v>3497.6228196270854</v>
      </c>
      <c r="K610" s="86">
        <f ca="1">INDEX(Aerodynamique!$AC$6:$AC$1006,MATCH(INDEX(Aerodynamique!$W$6:$W$546,MATCH(G610,Aerodynamique!$Y$6:$Y$546,1)),Aerodynamique!$AD$6:$AD$1006,-1))</f>
        <v>-2.8600000000000052</v>
      </c>
      <c r="L610">
        <f ca="1">Montée!$B$19*((E610-E609)/60)*J610/10</f>
        <v>11.183111849805936</v>
      </c>
      <c r="M610">
        <f t="shared" ca="1" si="49"/>
        <v>7511.6397417070848</v>
      </c>
    </row>
    <row r="611" spans="5:13">
      <c r="E611" s="210">
        <f t="shared" si="45"/>
        <v>606</v>
      </c>
      <c r="F611">
        <f t="shared" ca="1" si="48"/>
        <v>7181.5475191902196</v>
      </c>
      <c r="G611">
        <f t="shared" ca="1" si="46"/>
        <v>0.23809202656364226</v>
      </c>
      <c r="H611">
        <f ca="1">INDEX(Aerodynamique!$T$6:$T$546,MATCH(G611,Aerodynamique!$Y$6:$Y$546,1))</f>
        <v>-0.54999999999999227</v>
      </c>
      <c r="I611">
        <f ca="1">INDEX(Aerodynamique!$Z$6:$Z$546,MATCH(G611,Aerodynamique!$Y$6:$Y$546,1))</f>
        <v>1.18811646327671E-2</v>
      </c>
      <c r="J611">
        <f t="shared" ca="1" si="47"/>
        <v>3497.6228196270854</v>
      </c>
      <c r="K611" s="86">
        <f ca="1">INDEX(Aerodynamique!$AC$6:$AC$1006,MATCH(INDEX(Aerodynamique!$W$6:$W$546,MATCH(G611,Aerodynamique!$Y$6:$Y$546,1)),Aerodynamique!$AD$6:$AD$1006,-1))</f>
        <v>-2.8600000000000052</v>
      </c>
      <c r="L611">
        <f ca="1">Montée!$B$19*((E611-E610)/60)*J611/10</f>
        <v>11.183111849805936</v>
      </c>
      <c r="M611">
        <f t="shared" ca="1" si="49"/>
        <v>7522.8228535568905</v>
      </c>
    </row>
    <row r="612" spans="5:13">
      <c r="E612" s="210">
        <f t="shared" si="45"/>
        <v>607</v>
      </c>
      <c r="F612">
        <f t="shared" ca="1" si="48"/>
        <v>7170.3644073404139</v>
      </c>
      <c r="G612">
        <f t="shared" ca="1" si="46"/>
        <v>0.23772126945920297</v>
      </c>
      <c r="H612">
        <f ca="1">INDEX(Aerodynamique!$T$6:$T$546,MATCH(G612,Aerodynamique!$Y$6:$Y$546,1))</f>
        <v>-0.54999999999999227</v>
      </c>
      <c r="I612">
        <f ca="1">INDEX(Aerodynamique!$Z$6:$Z$546,MATCH(G612,Aerodynamique!$Y$6:$Y$546,1))</f>
        <v>1.18811646327671E-2</v>
      </c>
      <c r="J612">
        <f t="shared" ca="1" si="47"/>
        <v>3497.6228196270854</v>
      </c>
      <c r="K612" s="86">
        <f ca="1">INDEX(Aerodynamique!$AC$6:$AC$1006,MATCH(INDEX(Aerodynamique!$W$6:$W$546,MATCH(G612,Aerodynamique!$Y$6:$Y$546,1)),Aerodynamique!$AD$6:$AD$1006,-1))</f>
        <v>-2.8600000000000052</v>
      </c>
      <c r="L612">
        <f ca="1">Montée!$B$19*((E612-E611)/60)*J612/10</f>
        <v>11.183111849805936</v>
      </c>
      <c r="M612">
        <f t="shared" ca="1" si="49"/>
        <v>7534.0059654066963</v>
      </c>
    </row>
    <row r="613" spans="5:13">
      <c r="E613" s="210">
        <f t="shared" si="45"/>
        <v>608</v>
      </c>
      <c r="F613">
        <f t="shared" ca="1" si="48"/>
        <v>7159.1812954906081</v>
      </c>
      <c r="G613">
        <f t="shared" ca="1" si="46"/>
        <v>0.23735051235476368</v>
      </c>
      <c r="H613">
        <f ca="1">INDEX(Aerodynamique!$T$6:$T$546,MATCH(G613,Aerodynamique!$Y$6:$Y$546,1))</f>
        <v>-0.54999999999999227</v>
      </c>
      <c r="I613">
        <f ca="1">INDEX(Aerodynamique!$Z$6:$Z$546,MATCH(G613,Aerodynamique!$Y$6:$Y$546,1))</f>
        <v>1.18811646327671E-2</v>
      </c>
      <c r="J613">
        <f t="shared" ca="1" si="47"/>
        <v>3497.6228196270854</v>
      </c>
      <c r="K613" s="86">
        <f ca="1">INDEX(Aerodynamique!$AC$6:$AC$1006,MATCH(INDEX(Aerodynamique!$W$6:$W$546,MATCH(G613,Aerodynamique!$Y$6:$Y$546,1)),Aerodynamique!$AD$6:$AD$1006,-1))</f>
        <v>-2.8600000000000052</v>
      </c>
      <c r="L613">
        <f ca="1">Montée!$B$19*((E613-E612)/60)*J613/10</f>
        <v>11.183111849805936</v>
      </c>
      <c r="M613">
        <f t="shared" ca="1" si="49"/>
        <v>7545.1890772565021</v>
      </c>
    </row>
    <row r="614" spans="5:13">
      <c r="E614" s="210">
        <f t="shared" si="45"/>
        <v>609</v>
      </c>
      <c r="F614">
        <f t="shared" ca="1" si="48"/>
        <v>7147.9981836408024</v>
      </c>
      <c r="G614">
        <f t="shared" ca="1" si="46"/>
        <v>0.23697975525032441</v>
      </c>
      <c r="H614">
        <f ca="1">INDEX(Aerodynamique!$T$6:$T$546,MATCH(G614,Aerodynamique!$Y$6:$Y$546,1))</f>
        <v>-0.54999999999999227</v>
      </c>
      <c r="I614">
        <f ca="1">INDEX(Aerodynamique!$Z$6:$Z$546,MATCH(G614,Aerodynamique!$Y$6:$Y$546,1))</f>
        <v>1.18811646327671E-2</v>
      </c>
      <c r="J614">
        <f t="shared" ca="1" si="47"/>
        <v>3497.6228196270854</v>
      </c>
      <c r="K614" s="86">
        <f ca="1">INDEX(Aerodynamique!$AC$6:$AC$1006,MATCH(INDEX(Aerodynamique!$W$6:$W$546,MATCH(G614,Aerodynamique!$Y$6:$Y$546,1)),Aerodynamique!$AD$6:$AD$1006,-1))</f>
        <v>-2.8600000000000052</v>
      </c>
      <c r="L614">
        <f ca="1">Montée!$B$19*((E614-E613)/60)*J614/10</f>
        <v>11.183111849805936</v>
      </c>
      <c r="M614">
        <f t="shared" ca="1" si="49"/>
        <v>7556.3721891063078</v>
      </c>
    </row>
    <row r="615" spans="5:13">
      <c r="E615" s="210">
        <f t="shared" si="45"/>
        <v>610</v>
      </c>
      <c r="F615">
        <f t="shared" ca="1" si="48"/>
        <v>7136.8150717909966</v>
      </c>
      <c r="G615">
        <f t="shared" ca="1" si="46"/>
        <v>0.23660899814588507</v>
      </c>
      <c r="H615">
        <f ca="1">INDEX(Aerodynamique!$T$6:$T$546,MATCH(G615,Aerodynamique!$Y$6:$Y$546,1))</f>
        <v>-0.59999999999999232</v>
      </c>
      <c r="I615">
        <f ca="1">INDEX(Aerodynamique!$Z$6:$Z$546,MATCH(G615,Aerodynamique!$Y$6:$Y$546,1))</f>
        <v>1.1844478861927663E-2</v>
      </c>
      <c r="J615">
        <f t="shared" ca="1" si="47"/>
        <v>3486.8231216841959</v>
      </c>
      <c r="K615" s="86">
        <f ca="1">INDEX(Aerodynamique!$AC$6:$AC$1006,MATCH(INDEX(Aerodynamique!$W$6:$W$546,MATCH(G615,Aerodynamique!$Y$6:$Y$546,1)),Aerodynamique!$AD$6:$AD$1006,-1))</f>
        <v>-2.8200000000000052</v>
      </c>
      <c r="L615">
        <f ca="1">Montée!$B$19*((E615-E614)/60)*J615/10</f>
        <v>11.148581474099979</v>
      </c>
      <c r="M615">
        <f t="shared" ca="1" si="49"/>
        <v>7567.5207705804078</v>
      </c>
    </row>
    <row r="616" spans="5:13">
      <c r="E616" s="210">
        <f t="shared" si="45"/>
        <v>611</v>
      </c>
      <c r="F616">
        <f t="shared" ca="1" si="48"/>
        <v>7125.6664903168967</v>
      </c>
      <c r="G616">
        <f t="shared" ca="1" si="46"/>
        <v>0.23623938583748144</v>
      </c>
      <c r="H616">
        <f ca="1">INDEX(Aerodynamique!$T$6:$T$546,MATCH(G616,Aerodynamique!$Y$6:$Y$546,1))</f>
        <v>-0.59999999999999232</v>
      </c>
      <c r="I616">
        <f ca="1">INDEX(Aerodynamique!$Z$6:$Z$546,MATCH(G616,Aerodynamique!$Y$6:$Y$546,1))</f>
        <v>1.1844478861927663E-2</v>
      </c>
      <c r="J616">
        <f t="shared" ca="1" si="47"/>
        <v>3486.8231216841959</v>
      </c>
      <c r="K616" s="86">
        <f ca="1">INDEX(Aerodynamique!$AC$6:$AC$1006,MATCH(INDEX(Aerodynamique!$W$6:$W$546,MATCH(G616,Aerodynamique!$Y$6:$Y$546,1)),Aerodynamique!$AD$6:$AD$1006,-1))</f>
        <v>-2.8200000000000052</v>
      </c>
      <c r="L616">
        <f ca="1">Montée!$B$19*((E616-E615)/60)*J616/10</f>
        <v>11.148581474099979</v>
      </c>
      <c r="M616">
        <f t="shared" ca="1" si="49"/>
        <v>7578.6693520545077</v>
      </c>
    </row>
    <row r="617" spans="5:13">
      <c r="E617" s="210">
        <f t="shared" si="45"/>
        <v>612</v>
      </c>
      <c r="F617">
        <f t="shared" ca="1" si="48"/>
        <v>7114.5179088427967</v>
      </c>
      <c r="G617">
        <f t="shared" ca="1" si="46"/>
        <v>0.23586977352907779</v>
      </c>
      <c r="H617">
        <f ca="1">INDEX(Aerodynamique!$T$6:$T$546,MATCH(G617,Aerodynamique!$Y$6:$Y$546,1))</f>
        <v>-0.59999999999999232</v>
      </c>
      <c r="I617">
        <f ca="1">INDEX(Aerodynamique!$Z$6:$Z$546,MATCH(G617,Aerodynamique!$Y$6:$Y$546,1))</f>
        <v>1.1844478861927663E-2</v>
      </c>
      <c r="J617">
        <f t="shared" ca="1" si="47"/>
        <v>3486.8231216841959</v>
      </c>
      <c r="K617" s="86">
        <f ca="1">INDEX(Aerodynamique!$AC$6:$AC$1006,MATCH(INDEX(Aerodynamique!$W$6:$W$546,MATCH(G617,Aerodynamique!$Y$6:$Y$546,1)),Aerodynamique!$AD$6:$AD$1006,-1))</f>
        <v>-2.8200000000000052</v>
      </c>
      <c r="L617">
        <f ca="1">Montée!$B$19*((E617-E616)/60)*J617/10</f>
        <v>11.148581474099979</v>
      </c>
      <c r="M617">
        <f t="shared" ca="1" si="49"/>
        <v>7589.8179335286077</v>
      </c>
    </row>
    <row r="618" spans="5:13">
      <c r="E618" s="210">
        <f t="shared" si="45"/>
        <v>613</v>
      </c>
      <c r="F618">
        <f t="shared" ca="1" si="48"/>
        <v>7103.3693273686968</v>
      </c>
      <c r="G618">
        <f t="shared" ca="1" si="46"/>
        <v>0.23550016122067416</v>
      </c>
      <c r="H618">
        <f ca="1">INDEX(Aerodynamique!$T$6:$T$546,MATCH(G618,Aerodynamique!$Y$6:$Y$546,1))</f>
        <v>-0.59999999999999232</v>
      </c>
      <c r="I618">
        <f ca="1">INDEX(Aerodynamique!$Z$6:$Z$546,MATCH(G618,Aerodynamique!$Y$6:$Y$546,1))</f>
        <v>1.1844478861927663E-2</v>
      </c>
      <c r="J618">
        <f t="shared" ca="1" si="47"/>
        <v>3486.8231216841959</v>
      </c>
      <c r="K618" s="86">
        <f ca="1">INDEX(Aerodynamique!$AC$6:$AC$1006,MATCH(INDEX(Aerodynamique!$W$6:$W$546,MATCH(G618,Aerodynamique!$Y$6:$Y$546,1)),Aerodynamique!$AD$6:$AD$1006,-1))</f>
        <v>-2.8200000000000052</v>
      </c>
      <c r="L618">
        <f ca="1">Montée!$B$19*((E618-E617)/60)*J618/10</f>
        <v>11.148581474099979</v>
      </c>
      <c r="M618">
        <f t="shared" ca="1" si="49"/>
        <v>7600.9665150027076</v>
      </c>
    </row>
    <row r="619" spans="5:13">
      <c r="E619" s="210">
        <f t="shared" si="45"/>
        <v>614</v>
      </c>
      <c r="F619">
        <f t="shared" ca="1" si="48"/>
        <v>7092.2207458945968</v>
      </c>
      <c r="G619">
        <f t="shared" ca="1" si="46"/>
        <v>0.2351305489122705</v>
      </c>
      <c r="H619">
        <f ca="1">INDEX(Aerodynamique!$T$6:$T$546,MATCH(G619,Aerodynamique!$Y$6:$Y$546,1))</f>
        <v>-0.59999999999999232</v>
      </c>
      <c r="I619">
        <f ca="1">INDEX(Aerodynamique!$Z$6:$Z$546,MATCH(G619,Aerodynamique!$Y$6:$Y$546,1))</f>
        <v>1.1844478861927663E-2</v>
      </c>
      <c r="J619">
        <f t="shared" ca="1" si="47"/>
        <v>3486.8231216841959</v>
      </c>
      <c r="K619" s="86">
        <f ca="1">INDEX(Aerodynamique!$AC$6:$AC$1006,MATCH(INDEX(Aerodynamique!$W$6:$W$546,MATCH(G619,Aerodynamique!$Y$6:$Y$546,1)),Aerodynamique!$AD$6:$AD$1006,-1))</f>
        <v>-2.8200000000000052</v>
      </c>
      <c r="L619">
        <f ca="1">Montée!$B$19*((E619-E618)/60)*J619/10</f>
        <v>11.148581474099979</v>
      </c>
      <c r="M619">
        <f t="shared" ca="1" si="49"/>
        <v>7612.1150964768076</v>
      </c>
    </row>
    <row r="620" spans="5:13">
      <c r="E620" s="210">
        <f t="shared" si="45"/>
        <v>615</v>
      </c>
      <c r="F620">
        <f t="shared" ca="1" si="48"/>
        <v>7081.0721644204968</v>
      </c>
      <c r="G620">
        <f t="shared" ca="1" si="46"/>
        <v>0.2347609366038669</v>
      </c>
      <c r="H620">
        <f ca="1">INDEX(Aerodynamique!$T$6:$T$546,MATCH(G620,Aerodynamique!$Y$6:$Y$546,1))</f>
        <v>-0.59999999999999232</v>
      </c>
      <c r="I620">
        <f ca="1">INDEX(Aerodynamique!$Z$6:$Z$546,MATCH(G620,Aerodynamique!$Y$6:$Y$546,1))</f>
        <v>1.1844478861927663E-2</v>
      </c>
      <c r="J620">
        <f t="shared" ca="1" si="47"/>
        <v>3486.8231216841959</v>
      </c>
      <c r="K620" s="86">
        <f ca="1">INDEX(Aerodynamique!$AC$6:$AC$1006,MATCH(INDEX(Aerodynamique!$W$6:$W$546,MATCH(G620,Aerodynamique!$Y$6:$Y$546,1)),Aerodynamique!$AD$6:$AD$1006,-1))</f>
        <v>-2.8200000000000052</v>
      </c>
      <c r="L620">
        <f ca="1">Montée!$B$19*((E620-E619)/60)*J620/10</f>
        <v>11.148581474099979</v>
      </c>
      <c r="M620">
        <f t="shared" ca="1" si="49"/>
        <v>7623.2636779509075</v>
      </c>
    </row>
    <row r="621" spans="5:13">
      <c r="E621" s="210">
        <f t="shared" si="45"/>
        <v>616</v>
      </c>
      <c r="F621">
        <f t="shared" ca="1" si="48"/>
        <v>7069.9235829463969</v>
      </c>
      <c r="G621">
        <f t="shared" ca="1" si="46"/>
        <v>0.23439132429546322</v>
      </c>
      <c r="H621">
        <f ca="1">INDEX(Aerodynamique!$T$6:$T$546,MATCH(G621,Aerodynamique!$Y$6:$Y$546,1))</f>
        <v>-0.59999999999999232</v>
      </c>
      <c r="I621">
        <f ca="1">INDEX(Aerodynamique!$Z$6:$Z$546,MATCH(G621,Aerodynamique!$Y$6:$Y$546,1))</f>
        <v>1.1844478861927663E-2</v>
      </c>
      <c r="J621">
        <f t="shared" ca="1" si="47"/>
        <v>3486.8231216841959</v>
      </c>
      <c r="K621" s="86">
        <f ca="1">INDEX(Aerodynamique!$AC$6:$AC$1006,MATCH(INDEX(Aerodynamique!$W$6:$W$546,MATCH(G621,Aerodynamique!$Y$6:$Y$546,1)),Aerodynamique!$AD$6:$AD$1006,-1))</f>
        <v>-2.8200000000000052</v>
      </c>
      <c r="L621">
        <f ca="1">Montée!$B$19*((E621-E620)/60)*J621/10</f>
        <v>11.148581474099979</v>
      </c>
      <c r="M621">
        <f t="shared" ca="1" si="49"/>
        <v>7634.4122594250075</v>
      </c>
    </row>
    <row r="622" spans="5:13">
      <c r="E622" s="210">
        <f t="shared" si="45"/>
        <v>617</v>
      </c>
      <c r="F622">
        <f t="shared" ca="1" si="48"/>
        <v>7058.7750014722969</v>
      </c>
      <c r="G622">
        <f t="shared" ca="1" si="46"/>
        <v>0.23402171198705962</v>
      </c>
      <c r="H622">
        <f ca="1">INDEX(Aerodynamique!$T$6:$T$546,MATCH(G622,Aerodynamique!$Y$6:$Y$546,1))</f>
        <v>-0.59999999999999232</v>
      </c>
      <c r="I622">
        <f ca="1">INDEX(Aerodynamique!$Z$6:$Z$546,MATCH(G622,Aerodynamique!$Y$6:$Y$546,1))</f>
        <v>1.1844478861927663E-2</v>
      </c>
      <c r="J622">
        <f t="shared" ca="1" si="47"/>
        <v>3486.8231216841959</v>
      </c>
      <c r="K622" s="86">
        <f ca="1">INDEX(Aerodynamique!$AC$6:$AC$1006,MATCH(INDEX(Aerodynamique!$W$6:$W$546,MATCH(G622,Aerodynamique!$Y$6:$Y$546,1)),Aerodynamique!$AD$6:$AD$1006,-1))</f>
        <v>-2.8200000000000052</v>
      </c>
      <c r="L622">
        <f ca="1">Montée!$B$19*((E622-E621)/60)*J622/10</f>
        <v>11.148581474099979</v>
      </c>
      <c r="M622">
        <f t="shared" ca="1" si="49"/>
        <v>7645.5608408991075</v>
      </c>
    </row>
    <row r="623" spans="5:13">
      <c r="E623" s="210">
        <f t="shared" si="45"/>
        <v>618</v>
      </c>
      <c r="F623">
        <f t="shared" ca="1" si="48"/>
        <v>7047.626419998197</v>
      </c>
      <c r="G623">
        <f t="shared" ca="1" si="46"/>
        <v>0.23365209967865594</v>
      </c>
      <c r="H623">
        <f ca="1">INDEX(Aerodynamique!$T$6:$T$546,MATCH(G623,Aerodynamique!$Y$6:$Y$546,1))</f>
        <v>-0.59999999999999232</v>
      </c>
      <c r="I623">
        <f ca="1">INDEX(Aerodynamique!$Z$6:$Z$546,MATCH(G623,Aerodynamique!$Y$6:$Y$546,1))</f>
        <v>1.1844478861927663E-2</v>
      </c>
      <c r="J623">
        <f t="shared" ca="1" si="47"/>
        <v>3486.8231216841959</v>
      </c>
      <c r="K623" s="86">
        <f ca="1">INDEX(Aerodynamique!$AC$6:$AC$1006,MATCH(INDEX(Aerodynamique!$W$6:$W$546,MATCH(G623,Aerodynamique!$Y$6:$Y$546,1)),Aerodynamique!$AD$6:$AD$1006,-1))</f>
        <v>-2.8200000000000052</v>
      </c>
      <c r="L623">
        <f ca="1">Montée!$B$19*((E623-E622)/60)*J623/10</f>
        <v>11.148581474099979</v>
      </c>
      <c r="M623">
        <f t="shared" ca="1" si="49"/>
        <v>7656.7094223732074</v>
      </c>
    </row>
    <row r="624" spans="5:13">
      <c r="E624" s="210">
        <f t="shared" si="45"/>
        <v>619</v>
      </c>
      <c r="F624">
        <f t="shared" ca="1" si="48"/>
        <v>7036.477838524097</v>
      </c>
      <c r="G624">
        <f t="shared" ca="1" si="46"/>
        <v>0.23328248737025234</v>
      </c>
      <c r="H624">
        <f ca="1">INDEX(Aerodynamique!$T$6:$T$546,MATCH(G624,Aerodynamique!$Y$6:$Y$546,1))</f>
        <v>-0.59999999999999232</v>
      </c>
      <c r="I624">
        <f ca="1">INDEX(Aerodynamique!$Z$6:$Z$546,MATCH(G624,Aerodynamique!$Y$6:$Y$546,1))</f>
        <v>1.1844478861927663E-2</v>
      </c>
      <c r="J624">
        <f t="shared" ca="1" si="47"/>
        <v>3486.8231216841959</v>
      </c>
      <c r="K624" s="86">
        <f ca="1">INDEX(Aerodynamique!$AC$6:$AC$1006,MATCH(INDEX(Aerodynamique!$W$6:$W$546,MATCH(G624,Aerodynamique!$Y$6:$Y$546,1)),Aerodynamique!$AD$6:$AD$1006,-1))</f>
        <v>-2.8200000000000052</v>
      </c>
      <c r="L624">
        <f ca="1">Montée!$B$19*((E624-E623)/60)*J624/10</f>
        <v>11.148581474099979</v>
      </c>
      <c r="M624">
        <f t="shared" ca="1" si="49"/>
        <v>7667.8580038473074</v>
      </c>
    </row>
    <row r="625" spans="5:13">
      <c r="E625" s="210">
        <f t="shared" si="45"/>
        <v>620</v>
      </c>
      <c r="F625">
        <f t="shared" ca="1" si="48"/>
        <v>7025.3292570499971</v>
      </c>
      <c r="G625">
        <f t="shared" ca="1" si="46"/>
        <v>0.23291287506184866</v>
      </c>
      <c r="H625">
        <f ca="1">INDEX(Aerodynamique!$T$6:$T$546,MATCH(G625,Aerodynamique!$Y$6:$Y$546,1))</f>
        <v>-0.59999999999999232</v>
      </c>
      <c r="I625">
        <f ca="1">INDEX(Aerodynamique!$Z$6:$Z$546,MATCH(G625,Aerodynamique!$Y$6:$Y$546,1))</f>
        <v>1.1844478861927663E-2</v>
      </c>
      <c r="J625">
        <f t="shared" ca="1" si="47"/>
        <v>3486.8231216841959</v>
      </c>
      <c r="K625" s="86">
        <f ca="1">INDEX(Aerodynamique!$AC$6:$AC$1006,MATCH(INDEX(Aerodynamique!$W$6:$W$546,MATCH(G625,Aerodynamique!$Y$6:$Y$546,1)),Aerodynamique!$AD$6:$AD$1006,-1))</f>
        <v>-2.8200000000000052</v>
      </c>
      <c r="L625">
        <f ca="1">Montée!$B$19*((E625-E624)/60)*J625/10</f>
        <v>11.148581474099979</v>
      </c>
      <c r="M625">
        <f t="shared" ca="1" si="49"/>
        <v>7679.0065853214073</v>
      </c>
    </row>
    <row r="626" spans="5:13">
      <c r="E626" s="210">
        <f t="shared" si="45"/>
        <v>621</v>
      </c>
      <c r="F626">
        <f t="shared" ca="1" si="48"/>
        <v>7014.1806755758971</v>
      </c>
      <c r="G626">
        <f t="shared" ca="1" si="46"/>
        <v>0.23254326275344506</v>
      </c>
      <c r="H626">
        <f ca="1">INDEX(Aerodynamique!$T$6:$T$546,MATCH(G626,Aerodynamique!$Y$6:$Y$546,1))</f>
        <v>-0.59999999999999232</v>
      </c>
      <c r="I626">
        <f ca="1">INDEX(Aerodynamique!$Z$6:$Z$546,MATCH(G626,Aerodynamique!$Y$6:$Y$546,1))</f>
        <v>1.1844478861927663E-2</v>
      </c>
      <c r="J626">
        <f t="shared" ca="1" si="47"/>
        <v>3486.8231216841959</v>
      </c>
      <c r="K626" s="86">
        <f ca="1">INDEX(Aerodynamique!$AC$6:$AC$1006,MATCH(INDEX(Aerodynamique!$W$6:$W$546,MATCH(G626,Aerodynamique!$Y$6:$Y$546,1)),Aerodynamique!$AD$6:$AD$1006,-1))</f>
        <v>-2.8200000000000052</v>
      </c>
      <c r="L626">
        <f ca="1">Montée!$B$19*((E626-E625)/60)*J626/10</f>
        <v>11.148581474099979</v>
      </c>
      <c r="M626">
        <f t="shared" ca="1" si="49"/>
        <v>7690.1551667955073</v>
      </c>
    </row>
    <row r="627" spans="5:13">
      <c r="E627" s="210">
        <f t="shared" si="45"/>
        <v>622</v>
      </c>
      <c r="F627">
        <f t="shared" ca="1" si="48"/>
        <v>7003.0320941017972</v>
      </c>
      <c r="G627">
        <f t="shared" ca="1" si="46"/>
        <v>0.23217365044504137</v>
      </c>
      <c r="H627">
        <f ca="1">INDEX(Aerodynamique!$T$6:$T$546,MATCH(G627,Aerodynamique!$Y$6:$Y$546,1))</f>
        <v>-0.59999999999999232</v>
      </c>
      <c r="I627">
        <f ca="1">INDEX(Aerodynamique!$Z$6:$Z$546,MATCH(G627,Aerodynamique!$Y$6:$Y$546,1))</f>
        <v>1.1844478861927663E-2</v>
      </c>
      <c r="J627">
        <f t="shared" ca="1" si="47"/>
        <v>3486.8231216841959</v>
      </c>
      <c r="K627" s="86">
        <f ca="1">INDEX(Aerodynamique!$AC$6:$AC$1006,MATCH(INDEX(Aerodynamique!$W$6:$W$546,MATCH(G627,Aerodynamique!$Y$6:$Y$546,1)),Aerodynamique!$AD$6:$AD$1006,-1))</f>
        <v>-2.8200000000000052</v>
      </c>
      <c r="L627">
        <f ca="1">Montée!$B$19*((E627-E626)/60)*J627/10</f>
        <v>11.148581474099979</v>
      </c>
      <c r="M627">
        <f t="shared" ca="1" si="49"/>
        <v>7701.3037482696072</v>
      </c>
    </row>
    <row r="628" spans="5:13">
      <c r="E628" s="210">
        <f t="shared" si="45"/>
        <v>623</v>
      </c>
      <c r="F628">
        <f t="shared" ca="1" si="48"/>
        <v>6991.8835126276972</v>
      </c>
      <c r="G628">
        <f t="shared" ca="1" si="46"/>
        <v>0.23180403813663777</v>
      </c>
      <c r="H628">
        <f ca="1">INDEX(Aerodynamique!$T$6:$T$546,MATCH(G628,Aerodynamique!$Y$6:$Y$546,1))</f>
        <v>-0.64999999999999236</v>
      </c>
      <c r="I628">
        <f ca="1">INDEX(Aerodynamique!$Z$6:$Z$546,MATCH(G628,Aerodynamique!$Y$6:$Y$546,1))</f>
        <v>1.1808860901100384E-2</v>
      </c>
      <c r="J628">
        <f t="shared" ca="1" si="47"/>
        <v>3476.3377697487049</v>
      </c>
      <c r="K628" s="86">
        <f ca="1">INDEX(Aerodynamique!$AC$6:$AC$1006,MATCH(INDEX(Aerodynamique!$W$6:$W$546,MATCH(G628,Aerodynamique!$Y$6:$Y$546,1)),Aerodynamique!$AD$6:$AD$1006,-1))</f>
        <v>-2.7800000000000051</v>
      </c>
      <c r="L628">
        <f ca="1">Montée!$B$19*((E628-E627)/60)*J628/10</f>
        <v>11.115056171479818</v>
      </c>
      <c r="M628">
        <f t="shared" ca="1" si="49"/>
        <v>7712.4188044410866</v>
      </c>
    </row>
    <row r="629" spans="5:13">
      <c r="E629" s="210">
        <f t="shared" si="45"/>
        <v>624</v>
      </c>
      <c r="F629">
        <f t="shared" ca="1" si="48"/>
        <v>6980.7684564562178</v>
      </c>
      <c r="G629">
        <f t="shared" ca="1" si="46"/>
        <v>0.23143553730277647</v>
      </c>
      <c r="H629">
        <f ca="1">INDEX(Aerodynamique!$T$6:$T$546,MATCH(G629,Aerodynamique!$Y$6:$Y$546,1))</f>
        <v>-0.64999999999999236</v>
      </c>
      <c r="I629">
        <f ca="1">INDEX(Aerodynamique!$Z$6:$Z$546,MATCH(G629,Aerodynamique!$Y$6:$Y$546,1))</f>
        <v>1.1808860901100384E-2</v>
      </c>
      <c r="J629">
        <f t="shared" ca="1" si="47"/>
        <v>3476.3377697487049</v>
      </c>
      <c r="K629" s="86">
        <f ca="1">INDEX(Aerodynamique!$AC$6:$AC$1006,MATCH(INDEX(Aerodynamique!$W$6:$W$546,MATCH(G629,Aerodynamique!$Y$6:$Y$546,1)),Aerodynamique!$AD$6:$AD$1006,-1))</f>
        <v>-2.7800000000000051</v>
      </c>
      <c r="L629">
        <f ca="1">Montée!$B$19*((E629-E628)/60)*J629/10</f>
        <v>11.115056171479818</v>
      </c>
      <c r="M629">
        <f t="shared" ca="1" si="49"/>
        <v>7723.5338606125661</v>
      </c>
    </row>
    <row r="630" spans="5:13">
      <c r="E630" s="210">
        <f t="shared" si="45"/>
        <v>625</v>
      </c>
      <c r="F630">
        <f t="shared" ca="1" si="48"/>
        <v>6969.6534002847384</v>
      </c>
      <c r="G630">
        <f t="shared" ca="1" si="46"/>
        <v>0.23106703646891516</v>
      </c>
      <c r="H630">
        <f ca="1">INDEX(Aerodynamique!$T$6:$T$546,MATCH(G630,Aerodynamique!$Y$6:$Y$546,1))</f>
        <v>-0.64999999999999236</v>
      </c>
      <c r="I630">
        <f ca="1">INDEX(Aerodynamique!$Z$6:$Z$546,MATCH(G630,Aerodynamique!$Y$6:$Y$546,1))</f>
        <v>1.1808860901100384E-2</v>
      </c>
      <c r="J630">
        <f t="shared" ca="1" si="47"/>
        <v>3476.3377697487049</v>
      </c>
      <c r="K630" s="86">
        <f ca="1">INDEX(Aerodynamique!$AC$6:$AC$1006,MATCH(INDEX(Aerodynamique!$W$6:$W$546,MATCH(G630,Aerodynamique!$Y$6:$Y$546,1)),Aerodynamique!$AD$6:$AD$1006,-1))</f>
        <v>-2.7800000000000051</v>
      </c>
      <c r="L630">
        <f ca="1">Montée!$B$19*((E630-E629)/60)*J630/10</f>
        <v>11.115056171479818</v>
      </c>
      <c r="M630">
        <f t="shared" ca="1" si="49"/>
        <v>7734.6489167840455</v>
      </c>
    </row>
    <row r="631" spans="5:13">
      <c r="E631" s="210">
        <f t="shared" si="45"/>
        <v>626</v>
      </c>
      <c r="F631">
        <f t="shared" ca="1" si="48"/>
        <v>6958.538344113259</v>
      </c>
      <c r="G631">
        <f t="shared" ca="1" si="46"/>
        <v>0.23069853563505383</v>
      </c>
      <c r="H631">
        <f ca="1">INDEX(Aerodynamique!$T$6:$T$546,MATCH(G631,Aerodynamique!$Y$6:$Y$546,1))</f>
        <v>-0.64999999999999236</v>
      </c>
      <c r="I631">
        <f ca="1">INDEX(Aerodynamique!$Z$6:$Z$546,MATCH(G631,Aerodynamique!$Y$6:$Y$546,1))</f>
        <v>1.1808860901100384E-2</v>
      </c>
      <c r="J631">
        <f t="shared" ca="1" si="47"/>
        <v>3476.3377697487049</v>
      </c>
      <c r="K631" s="86">
        <f ca="1">INDEX(Aerodynamique!$AC$6:$AC$1006,MATCH(INDEX(Aerodynamique!$W$6:$W$546,MATCH(G631,Aerodynamique!$Y$6:$Y$546,1)),Aerodynamique!$AD$6:$AD$1006,-1))</f>
        <v>-2.7800000000000051</v>
      </c>
      <c r="L631">
        <f ca="1">Montée!$B$19*((E631-E630)/60)*J631/10</f>
        <v>11.115056171479818</v>
      </c>
      <c r="M631">
        <f t="shared" ca="1" si="49"/>
        <v>7745.7639729555249</v>
      </c>
    </row>
    <row r="632" spans="5:13">
      <c r="E632" s="210">
        <f t="shared" si="45"/>
        <v>627</v>
      </c>
      <c r="F632">
        <f t="shared" ca="1" si="48"/>
        <v>6947.4232879417796</v>
      </c>
      <c r="G632">
        <f t="shared" ca="1" si="46"/>
        <v>0.23033003480119252</v>
      </c>
      <c r="H632">
        <f ca="1">INDEX(Aerodynamique!$T$6:$T$546,MATCH(G632,Aerodynamique!$Y$6:$Y$546,1))</f>
        <v>-0.64999999999999236</v>
      </c>
      <c r="I632">
        <f ca="1">INDEX(Aerodynamique!$Z$6:$Z$546,MATCH(G632,Aerodynamique!$Y$6:$Y$546,1))</f>
        <v>1.1808860901100384E-2</v>
      </c>
      <c r="J632">
        <f t="shared" ca="1" si="47"/>
        <v>3476.3377697487049</v>
      </c>
      <c r="K632" s="86">
        <f ca="1">INDEX(Aerodynamique!$AC$6:$AC$1006,MATCH(INDEX(Aerodynamique!$W$6:$W$546,MATCH(G632,Aerodynamique!$Y$6:$Y$546,1)),Aerodynamique!$AD$6:$AD$1006,-1))</f>
        <v>-2.7800000000000051</v>
      </c>
      <c r="L632">
        <f ca="1">Montée!$B$19*((E632-E631)/60)*J632/10</f>
        <v>11.115056171479818</v>
      </c>
      <c r="M632">
        <f t="shared" ca="1" si="49"/>
        <v>7756.8790291270043</v>
      </c>
    </row>
    <row r="633" spans="5:13">
      <c r="E633" s="210">
        <f t="shared" si="45"/>
        <v>628</v>
      </c>
      <c r="F633">
        <f t="shared" ca="1" si="48"/>
        <v>6936.3082317703002</v>
      </c>
      <c r="G633">
        <f t="shared" ca="1" si="46"/>
        <v>0.22996153396733116</v>
      </c>
      <c r="H633">
        <f ca="1">INDEX(Aerodynamique!$T$6:$T$546,MATCH(G633,Aerodynamique!$Y$6:$Y$546,1))</f>
        <v>-0.64999999999999236</v>
      </c>
      <c r="I633">
        <f ca="1">INDEX(Aerodynamique!$Z$6:$Z$546,MATCH(G633,Aerodynamique!$Y$6:$Y$546,1))</f>
        <v>1.1808860901100384E-2</v>
      </c>
      <c r="J633">
        <f t="shared" ca="1" si="47"/>
        <v>3476.3377697487049</v>
      </c>
      <c r="K633" s="86">
        <f ca="1">INDEX(Aerodynamique!$AC$6:$AC$1006,MATCH(INDEX(Aerodynamique!$W$6:$W$546,MATCH(G633,Aerodynamique!$Y$6:$Y$546,1)),Aerodynamique!$AD$6:$AD$1006,-1))</f>
        <v>-2.7800000000000051</v>
      </c>
      <c r="L633">
        <f ca="1">Montée!$B$19*((E633-E632)/60)*J633/10</f>
        <v>11.115056171479818</v>
      </c>
      <c r="M633">
        <f t="shared" ca="1" si="49"/>
        <v>7767.9940852984837</v>
      </c>
    </row>
    <row r="634" spans="5:13">
      <c r="E634" s="210">
        <f t="shared" si="45"/>
        <v>629</v>
      </c>
      <c r="F634">
        <f t="shared" ca="1" si="48"/>
        <v>6925.1931755988207</v>
      </c>
      <c r="G634">
        <f t="shared" ca="1" si="46"/>
        <v>0.22959303313346985</v>
      </c>
      <c r="H634">
        <f ca="1">INDEX(Aerodynamique!$T$6:$T$546,MATCH(G634,Aerodynamique!$Y$6:$Y$546,1))</f>
        <v>-0.64999999999999236</v>
      </c>
      <c r="I634">
        <f ca="1">INDEX(Aerodynamique!$Z$6:$Z$546,MATCH(G634,Aerodynamique!$Y$6:$Y$546,1))</f>
        <v>1.1808860901100384E-2</v>
      </c>
      <c r="J634">
        <f t="shared" ca="1" si="47"/>
        <v>3476.3377697487049</v>
      </c>
      <c r="K634" s="86">
        <f ca="1">INDEX(Aerodynamique!$AC$6:$AC$1006,MATCH(INDEX(Aerodynamique!$W$6:$W$546,MATCH(G634,Aerodynamique!$Y$6:$Y$546,1)),Aerodynamique!$AD$6:$AD$1006,-1))</f>
        <v>-2.7800000000000051</v>
      </c>
      <c r="L634">
        <f ca="1">Montée!$B$19*((E634-E633)/60)*J634/10</f>
        <v>11.115056171479818</v>
      </c>
      <c r="M634">
        <f t="shared" ca="1" si="49"/>
        <v>7779.1091414699631</v>
      </c>
    </row>
    <row r="635" spans="5:13">
      <c r="E635" s="210">
        <f t="shared" si="45"/>
        <v>630</v>
      </c>
      <c r="F635">
        <f t="shared" ca="1" si="48"/>
        <v>6914.0781194273413</v>
      </c>
      <c r="G635">
        <f t="shared" ca="1" si="46"/>
        <v>0.22922453229960854</v>
      </c>
      <c r="H635">
        <f ca="1">INDEX(Aerodynamique!$T$6:$T$546,MATCH(G635,Aerodynamique!$Y$6:$Y$546,1))</f>
        <v>-0.64999999999999236</v>
      </c>
      <c r="I635">
        <f ca="1">INDEX(Aerodynamique!$Z$6:$Z$546,MATCH(G635,Aerodynamique!$Y$6:$Y$546,1))</f>
        <v>1.1808860901100384E-2</v>
      </c>
      <c r="J635">
        <f t="shared" ca="1" si="47"/>
        <v>3476.3377697487049</v>
      </c>
      <c r="K635" s="86">
        <f ca="1">INDEX(Aerodynamique!$AC$6:$AC$1006,MATCH(INDEX(Aerodynamique!$W$6:$W$546,MATCH(G635,Aerodynamique!$Y$6:$Y$546,1)),Aerodynamique!$AD$6:$AD$1006,-1))</f>
        <v>-2.7800000000000051</v>
      </c>
      <c r="L635">
        <f ca="1">Montée!$B$19*((E635-E634)/60)*J635/10</f>
        <v>11.115056171479818</v>
      </c>
      <c r="M635">
        <f t="shared" ca="1" si="49"/>
        <v>7790.2241976414425</v>
      </c>
    </row>
    <row r="636" spans="5:13">
      <c r="E636" s="210">
        <f t="shared" si="45"/>
        <v>631</v>
      </c>
      <c r="F636">
        <f t="shared" ca="1" si="48"/>
        <v>6902.9630632558619</v>
      </c>
      <c r="G636">
        <f t="shared" ca="1" si="46"/>
        <v>0.22885603146574723</v>
      </c>
      <c r="H636">
        <f ca="1">INDEX(Aerodynamique!$T$6:$T$546,MATCH(G636,Aerodynamique!$Y$6:$Y$546,1))</f>
        <v>-0.64999999999999236</v>
      </c>
      <c r="I636">
        <f ca="1">INDEX(Aerodynamique!$Z$6:$Z$546,MATCH(G636,Aerodynamique!$Y$6:$Y$546,1))</f>
        <v>1.1808860901100384E-2</v>
      </c>
      <c r="J636">
        <f t="shared" ca="1" si="47"/>
        <v>3476.3377697487049</v>
      </c>
      <c r="K636" s="86">
        <f ca="1">INDEX(Aerodynamique!$AC$6:$AC$1006,MATCH(INDEX(Aerodynamique!$W$6:$W$546,MATCH(G636,Aerodynamique!$Y$6:$Y$546,1)),Aerodynamique!$AD$6:$AD$1006,-1))</f>
        <v>-2.7800000000000051</v>
      </c>
      <c r="L636">
        <f ca="1">Montée!$B$19*((E636-E635)/60)*J636/10</f>
        <v>11.115056171479818</v>
      </c>
      <c r="M636">
        <f t="shared" ca="1" si="49"/>
        <v>7801.3392538129219</v>
      </c>
    </row>
    <row r="637" spans="5:13">
      <c r="E637" s="210">
        <f t="shared" si="45"/>
        <v>632</v>
      </c>
      <c r="F637">
        <f t="shared" ca="1" si="48"/>
        <v>6891.8480070843825</v>
      </c>
      <c r="G637">
        <f t="shared" ca="1" si="46"/>
        <v>0.22848753063188593</v>
      </c>
      <c r="H637">
        <f ca="1">INDEX(Aerodynamique!$T$6:$T$546,MATCH(G637,Aerodynamique!$Y$6:$Y$546,1))</f>
        <v>-0.64999999999999236</v>
      </c>
      <c r="I637">
        <f ca="1">INDEX(Aerodynamique!$Z$6:$Z$546,MATCH(G637,Aerodynamique!$Y$6:$Y$546,1))</f>
        <v>1.1808860901100384E-2</v>
      </c>
      <c r="J637">
        <f t="shared" ca="1" si="47"/>
        <v>3476.3377697487049</v>
      </c>
      <c r="K637" s="86">
        <f ca="1">INDEX(Aerodynamique!$AC$6:$AC$1006,MATCH(INDEX(Aerodynamique!$W$6:$W$546,MATCH(G637,Aerodynamique!$Y$6:$Y$546,1)),Aerodynamique!$AD$6:$AD$1006,-1))</f>
        <v>-2.7800000000000051</v>
      </c>
      <c r="L637">
        <f ca="1">Montée!$B$19*((E637-E636)/60)*J637/10</f>
        <v>11.115056171479818</v>
      </c>
      <c r="M637">
        <f t="shared" ca="1" si="49"/>
        <v>7812.4543099844013</v>
      </c>
    </row>
    <row r="638" spans="5:13">
      <c r="E638" s="210">
        <f t="shared" si="45"/>
        <v>633</v>
      </c>
      <c r="F638">
        <f t="shared" ca="1" si="48"/>
        <v>6880.7329509129031</v>
      </c>
      <c r="G638">
        <f t="shared" ca="1" si="46"/>
        <v>0.22811902979802462</v>
      </c>
      <c r="H638">
        <f ca="1">INDEX(Aerodynamique!$T$6:$T$546,MATCH(G638,Aerodynamique!$Y$6:$Y$546,1))</f>
        <v>-0.64999999999999236</v>
      </c>
      <c r="I638">
        <f ca="1">INDEX(Aerodynamique!$Z$6:$Z$546,MATCH(G638,Aerodynamique!$Y$6:$Y$546,1))</f>
        <v>1.1808860901100384E-2</v>
      </c>
      <c r="J638">
        <f t="shared" ca="1" si="47"/>
        <v>3476.3377697487049</v>
      </c>
      <c r="K638" s="86">
        <f ca="1">INDEX(Aerodynamique!$AC$6:$AC$1006,MATCH(INDEX(Aerodynamique!$W$6:$W$546,MATCH(G638,Aerodynamique!$Y$6:$Y$546,1)),Aerodynamique!$AD$6:$AD$1006,-1))</f>
        <v>-2.7800000000000051</v>
      </c>
      <c r="L638">
        <f ca="1">Montée!$B$19*((E638-E637)/60)*J638/10</f>
        <v>11.115056171479818</v>
      </c>
      <c r="M638">
        <f t="shared" ca="1" si="49"/>
        <v>7823.5693661558807</v>
      </c>
    </row>
    <row r="639" spans="5:13">
      <c r="E639" s="210">
        <f t="shared" si="45"/>
        <v>634</v>
      </c>
      <c r="F639">
        <f t="shared" ca="1" si="48"/>
        <v>6869.6178947414237</v>
      </c>
      <c r="G639">
        <f t="shared" ca="1" si="46"/>
        <v>0.22775052896416331</v>
      </c>
      <c r="H639">
        <f ca="1">INDEX(Aerodynamique!$T$6:$T$546,MATCH(G639,Aerodynamique!$Y$6:$Y$546,1))</f>
        <v>-0.64999999999999236</v>
      </c>
      <c r="I639">
        <f ca="1">INDEX(Aerodynamique!$Z$6:$Z$546,MATCH(G639,Aerodynamique!$Y$6:$Y$546,1))</f>
        <v>1.1808860901100384E-2</v>
      </c>
      <c r="J639">
        <f t="shared" ca="1" si="47"/>
        <v>3476.3377697487049</v>
      </c>
      <c r="K639" s="86">
        <f ca="1">INDEX(Aerodynamique!$AC$6:$AC$1006,MATCH(INDEX(Aerodynamique!$W$6:$W$546,MATCH(G639,Aerodynamique!$Y$6:$Y$546,1)),Aerodynamique!$AD$6:$AD$1006,-1))</f>
        <v>-2.7800000000000051</v>
      </c>
      <c r="L639">
        <f ca="1">Montée!$B$19*((E639-E638)/60)*J639/10</f>
        <v>11.115056171479818</v>
      </c>
      <c r="M639">
        <f t="shared" ca="1" si="49"/>
        <v>7834.6844223273602</v>
      </c>
    </row>
    <row r="640" spans="5:13">
      <c r="E640" s="210">
        <f t="shared" si="45"/>
        <v>635</v>
      </c>
      <c r="F640">
        <f t="shared" ca="1" si="48"/>
        <v>6858.5028385699443</v>
      </c>
      <c r="G640">
        <f t="shared" ca="1" si="46"/>
        <v>0.22738202813030201</v>
      </c>
      <c r="H640">
        <f ca="1">INDEX(Aerodynamique!$T$6:$T$546,MATCH(G640,Aerodynamique!$Y$6:$Y$546,1))</f>
        <v>-0.64999999999999236</v>
      </c>
      <c r="I640">
        <f ca="1">INDEX(Aerodynamique!$Z$6:$Z$546,MATCH(G640,Aerodynamique!$Y$6:$Y$546,1))</f>
        <v>1.1808860901100384E-2</v>
      </c>
      <c r="J640">
        <f t="shared" ca="1" si="47"/>
        <v>3476.3377697487049</v>
      </c>
      <c r="K640" s="86">
        <f ca="1">INDEX(Aerodynamique!$AC$6:$AC$1006,MATCH(INDEX(Aerodynamique!$W$6:$W$546,MATCH(G640,Aerodynamique!$Y$6:$Y$546,1)),Aerodynamique!$AD$6:$AD$1006,-1))</f>
        <v>-2.7800000000000051</v>
      </c>
      <c r="L640">
        <f ca="1">Montée!$B$19*((E640-E639)/60)*J640/10</f>
        <v>11.115056171479818</v>
      </c>
      <c r="M640">
        <f t="shared" ca="1" si="49"/>
        <v>7845.7994784988396</v>
      </c>
    </row>
    <row r="641" spans="5:13">
      <c r="E641" s="210">
        <f t="shared" si="45"/>
        <v>636</v>
      </c>
      <c r="F641">
        <f t="shared" ca="1" si="48"/>
        <v>6847.3877823984649</v>
      </c>
      <c r="G641">
        <f t="shared" ca="1" si="46"/>
        <v>0.2270135272964407</v>
      </c>
      <c r="H641">
        <f ca="1">INDEX(Aerodynamique!$T$6:$T$546,MATCH(G641,Aerodynamique!$Y$6:$Y$546,1))</f>
        <v>-0.64999999999999236</v>
      </c>
      <c r="I641">
        <f ca="1">INDEX(Aerodynamique!$Z$6:$Z$546,MATCH(G641,Aerodynamique!$Y$6:$Y$546,1))</f>
        <v>1.1808860901100384E-2</v>
      </c>
      <c r="J641">
        <f t="shared" ca="1" si="47"/>
        <v>3476.3377697487049</v>
      </c>
      <c r="K641" s="86">
        <f ca="1">INDEX(Aerodynamique!$AC$6:$AC$1006,MATCH(INDEX(Aerodynamique!$W$6:$W$546,MATCH(G641,Aerodynamique!$Y$6:$Y$546,1)),Aerodynamique!$AD$6:$AD$1006,-1))</f>
        <v>-2.7800000000000051</v>
      </c>
      <c r="L641">
        <f ca="1">Montée!$B$19*((E641-E640)/60)*J641/10</f>
        <v>11.115056171479818</v>
      </c>
      <c r="M641">
        <f t="shared" ca="1" si="49"/>
        <v>7856.914534670319</v>
      </c>
    </row>
    <row r="642" spans="5:13">
      <c r="E642" s="210">
        <f t="shared" si="45"/>
        <v>637</v>
      </c>
      <c r="F642">
        <f t="shared" ca="1" si="48"/>
        <v>6836.2727262269855</v>
      </c>
      <c r="G642">
        <f t="shared" ca="1" si="46"/>
        <v>0.22664502646257939</v>
      </c>
      <c r="H642">
        <f ca="1">INDEX(Aerodynamique!$T$6:$T$546,MATCH(G642,Aerodynamique!$Y$6:$Y$546,1))</f>
        <v>-0.69999999999999241</v>
      </c>
      <c r="I642">
        <f ca="1">INDEX(Aerodynamique!$Z$6:$Z$546,MATCH(G642,Aerodynamique!$Y$6:$Y$546,1))</f>
        <v>1.1774310750285262E-2</v>
      </c>
      <c r="J642">
        <f t="shared" ca="1" si="47"/>
        <v>3466.1667638206113</v>
      </c>
      <c r="K642" s="86">
        <f ca="1">INDEX(Aerodynamique!$AC$6:$AC$1006,MATCH(INDEX(Aerodynamique!$W$6:$W$546,MATCH(G642,Aerodynamique!$Y$6:$Y$546,1)),Aerodynamique!$AD$6:$AD$1006,-1))</f>
        <v>-2.7400000000000051</v>
      </c>
      <c r="L642">
        <f ca="1">Montée!$B$19*((E642-E641)/60)*J642/10</f>
        <v>11.082535941945451</v>
      </c>
      <c r="M642">
        <f t="shared" ca="1" si="49"/>
        <v>7867.997070612264</v>
      </c>
    </row>
    <row r="643" spans="5:13">
      <c r="E643" s="210">
        <f t="shared" si="45"/>
        <v>638</v>
      </c>
      <c r="F643">
        <f t="shared" ca="1" si="48"/>
        <v>6825.1901902850404</v>
      </c>
      <c r="G643">
        <f t="shared" ca="1" si="46"/>
        <v>0.22627760378176701</v>
      </c>
      <c r="H643">
        <f ca="1">INDEX(Aerodynamique!$T$6:$T$546,MATCH(G643,Aerodynamique!$Y$6:$Y$546,1))</f>
        <v>-0.69999999999999241</v>
      </c>
      <c r="I643">
        <f ca="1">INDEX(Aerodynamique!$Z$6:$Z$546,MATCH(G643,Aerodynamique!$Y$6:$Y$546,1))</f>
        <v>1.1774310750285262E-2</v>
      </c>
      <c r="J643">
        <f t="shared" ca="1" si="47"/>
        <v>3466.1667638206113</v>
      </c>
      <c r="K643" s="86">
        <f ca="1">INDEX(Aerodynamique!$AC$6:$AC$1006,MATCH(INDEX(Aerodynamique!$W$6:$W$546,MATCH(G643,Aerodynamique!$Y$6:$Y$546,1)),Aerodynamique!$AD$6:$AD$1006,-1))</f>
        <v>-2.7400000000000051</v>
      </c>
      <c r="L643">
        <f ca="1">Montée!$B$19*((E643-E642)/60)*J643/10</f>
        <v>11.082535941945451</v>
      </c>
      <c r="M643">
        <f t="shared" ca="1" si="49"/>
        <v>7879.079606554209</v>
      </c>
    </row>
    <row r="644" spans="5:13">
      <c r="E644" s="210">
        <f t="shared" si="45"/>
        <v>639</v>
      </c>
      <c r="F644">
        <f t="shared" ca="1" si="48"/>
        <v>6814.1076543430954</v>
      </c>
      <c r="G644">
        <f t="shared" ca="1" si="46"/>
        <v>0.2259101811009547</v>
      </c>
      <c r="H644">
        <f ca="1">INDEX(Aerodynamique!$T$6:$T$546,MATCH(G644,Aerodynamique!$Y$6:$Y$546,1))</f>
        <v>-0.69999999999999241</v>
      </c>
      <c r="I644">
        <f ca="1">INDEX(Aerodynamique!$Z$6:$Z$546,MATCH(G644,Aerodynamique!$Y$6:$Y$546,1))</f>
        <v>1.1774310750285262E-2</v>
      </c>
      <c r="J644">
        <f t="shared" ca="1" si="47"/>
        <v>3466.1667638206113</v>
      </c>
      <c r="K644" s="86">
        <f ca="1">INDEX(Aerodynamique!$AC$6:$AC$1006,MATCH(INDEX(Aerodynamique!$W$6:$W$546,MATCH(G644,Aerodynamique!$Y$6:$Y$546,1)),Aerodynamique!$AD$6:$AD$1006,-1))</f>
        <v>-2.7400000000000051</v>
      </c>
      <c r="L644">
        <f ca="1">Montée!$B$19*((E644-E643)/60)*J644/10</f>
        <v>11.082535941945451</v>
      </c>
      <c r="M644">
        <f t="shared" ca="1" si="49"/>
        <v>7890.162142496154</v>
      </c>
    </row>
    <row r="645" spans="5:13">
      <c r="E645" s="210">
        <f t="shared" si="45"/>
        <v>640</v>
      </c>
      <c r="F645">
        <f t="shared" ca="1" si="48"/>
        <v>6803.0251184011504</v>
      </c>
      <c r="G645">
        <f t="shared" ca="1" si="46"/>
        <v>0.22554275842014232</v>
      </c>
      <c r="H645">
        <f ca="1">INDEX(Aerodynamique!$T$6:$T$546,MATCH(G645,Aerodynamique!$Y$6:$Y$546,1))</f>
        <v>-0.69999999999999241</v>
      </c>
      <c r="I645">
        <f ca="1">INDEX(Aerodynamique!$Z$6:$Z$546,MATCH(G645,Aerodynamique!$Y$6:$Y$546,1))</f>
        <v>1.1774310750285262E-2</v>
      </c>
      <c r="J645">
        <f t="shared" ca="1" si="47"/>
        <v>3466.1667638206113</v>
      </c>
      <c r="K645" s="86">
        <f ca="1">INDEX(Aerodynamique!$AC$6:$AC$1006,MATCH(INDEX(Aerodynamique!$W$6:$W$546,MATCH(G645,Aerodynamique!$Y$6:$Y$546,1)),Aerodynamique!$AD$6:$AD$1006,-1))</f>
        <v>-2.7400000000000051</v>
      </c>
      <c r="L645">
        <f ca="1">Montée!$B$19*((E645-E644)/60)*J645/10</f>
        <v>11.082535941945451</v>
      </c>
      <c r="M645">
        <f t="shared" ca="1" si="49"/>
        <v>7901.2446784380991</v>
      </c>
    </row>
    <row r="646" spans="5:13">
      <c r="E646" s="210">
        <f t="shared" ref="E646:E709" si="50">E645+$E$3</f>
        <v>641</v>
      </c>
      <c r="F646">
        <f t="shared" ca="1" si="48"/>
        <v>6791.9425824592054</v>
      </c>
      <c r="G646">
        <f t="shared" ref="G646:G709" ca="1" si="51">2*F646*g/(rho*V^2*SRef)</f>
        <v>0.22517533573933002</v>
      </c>
      <c r="H646">
        <f ca="1">INDEX(Aerodynamique!$T$6:$T$546,MATCH(G646,Aerodynamique!$Y$6:$Y$546,1))</f>
        <v>-0.69999999999999241</v>
      </c>
      <c r="I646">
        <f ca="1">INDEX(Aerodynamique!$Z$6:$Z$546,MATCH(G646,Aerodynamique!$Y$6:$Y$546,1))</f>
        <v>1.1774310750285262E-2</v>
      </c>
      <c r="J646">
        <f t="shared" ref="J646:J709" ca="1" si="52">(1/2)*rho*V^2*SRef*I646</f>
        <v>3466.1667638206113</v>
      </c>
      <c r="K646" s="86">
        <f ca="1">INDEX(Aerodynamique!$AC$6:$AC$1006,MATCH(INDEX(Aerodynamique!$W$6:$W$546,MATCH(G646,Aerodynamique!$Y$6:$Y$546,1)),Aerodynamique!$AD$6:$AD$1006,-1))</f>
        <v>-2.7400000000000051</v>
      </c>
      <c r="L646">
        <f ca="1">Montée!$B$19*((E646-E645)/60)*J646/10</f>
        <v>11.082535941945451</v>
      </c>
      <c r="M646">
        <f t="shared" ca="1" si="49"/>
        <v>7912.3272143800441</v>
      </c>
    </row>
    <row r="647" spans="5:13">
      <c r="E647" s="210">
        <f t="shared" si="50"/>
        <v>642</v>
      </c>
      <c r="F647">
        <f t="shared" ref="F647:F710" ca="1" si="53">F646-L646</f>
        <v>6780.8600465172603</v>
      </c>
      <c r="G647">
        <f t="shared" ca="1" si="51"/>
        <v>0.22480791305851763</v>
      </c>
      <c r="H647">
        <f ca="1">INDEX(Aerodynamique!$T$6:$T$546,MATCH(G647,Aerodynamique!$Y$6:$Y$546,1))</f>
        <v>-0.69999999999999241</v>
      </c>
      <c r="I647">
        <f ca="1">INDEX(Aerodynamique!$Z$6:$Z$546,MATCH(G647,Aerodynamique!$Y$6:$Y$546,1))</f>
        <v>1.1774310750285262E-2</v>
      </c>
      <c r="J647">
        <f t="shared" ca="1" si="52"/>
        <v>3466.1667638206113</v>
      </c>
      <c r="K647" s="86">
        <f ca="1">INDEX(Aerodynamique!$AC$6:$AC$1006,MATCH(INDEX(Aerodynamique!$W$6:$W$546,MATCH(G647,Aerodynamique!$Y$6:$Y$546,1)),Aerodynamique!$AD$6:$AD$1006,-1))</f>
        <v>-2.7400000000000051</v>
      </c>
      <c r="L647">
        <f ca="1">Montée!$B$19*((E647-E646)/60)*J647/10</f>
        <v>11.082535941945451</v>
      </c>
      <c r="M647">
        <f t="shared" ca="1" si="49"/>
        <v>7923.4097503219891</v>
      </c>
    </row>
    <row r="648" spans="5:13">
      <c r="E648" s="210">
        <f t="shared" si="50"/>
        <v>643</v>
      </c>
      <c r="F648">
        <f t="shared" ca="1" si="53"/>
        <v>6769.7775105753153</v>
      </c>
      <c r="G648">
        <f t="shared" ca="1" si="51"/>
        <v>0.22444049037770533</v>
      </c>
      <c r="H648">
        <f ca="1">INDEX(Aerodynamique!$T$6:$T$546,MATCH(G648,Aerodynamique!$Y$6:$Y$546,1))</f>
        <v>-0.69999999999999241</v>
      </c>
      <c r="I648">
        <f ca="1">INDEX(Aerodynamique!$Z$6:$Z$546,MATCH(G648,Aerodynamique!$Y$6:$Y$546,1))</f>
        <v>1.1774310750285262E-2</v>
      </c>
      <c r="J648">
        <f t="shared" ca="1" si="52"/>
        <v>3466.1667638206113</v>
      </c>
      <c r="K648" s="86">
        <f ca="1">INDEX(Aerodynamique!$AC$6:$AC$1006,MATCH(INDEX(Aerodynamique!$W$6:$W$546,MATCH(G648,Aerodynamique!$Y$6:$Y$546,1)),Aerodynamique!$AD$6:$AD$1006,-1))</f>
        <v>-2.7400000000000051</v>
      </c>
      <c r="L648">
        <f ca="1">Montée!$B$19*((E648-E647)/60)*J648/10</f>
        <v>11.082535941945451</v>
      </c>
      <c r="M648">
        <f t="shared" ref="M648:M711" ca="1" si="54">M647+L648</f>
        <v>7934.4922862639341</v>
      </c>
    </row>
    <row r="649" spans="5:13">
      <c r="E649" s="210">
        <f t="shared" si="50"/>
        <v>644</v>
      </c>
      <c r="F649">
        <f t="shared" ca="1" si="53"/>
        <v>6758.6949746333703</v>
      </c>
      <c r="G649">
        <f t="shared" ca="1" si="51"/>
        <v>0.22407306769689295</v>
      </c>
      <c r="H649">
        <f ca="1">INDEX(Aerodynamique!$T$6:$T$546,MATCH(G649,Aerodynamique!$Y$6:$Y$546,1))</f>
        <v>-0.69999999999999241</v>
      </c>
      <c r="I649">
        <f ca="1">INDEX(Aerodynamique!$Z$6:$Z$546,MATCH(G649,Aerodynamique!$Y$6:$Y$546,1))</f>
        <v>1.1774310750285262E-2</v>
      </c>
      <c r="J649">
        <f t="shared" ca="1" si="52"/>
        <v>3466.1667638206113</v>
      </c>
      <c r="K649" s="86">
        <f ca="1">INDEX(Aerodynamique!$AC$6:$AC$1006,MATCH(INDEX(Aerodynamique!$W$6:$W$546,MATCH(G649,Aerodynamique!$Y$6:$Y$546,1)),Aerodynamique!$AD$6:$AD$1006,-1))</f>
        <v>-2.7400000000000051</v>
      </c>
      <c r="L649">
        <f ca="1">Montée!$B$19*((E649-E648)/60)*J649/10</f>
        <v>11.082535941945451</v>
      </c>
      <c r="M649">
        <f t="shared" ca="1" si="54"/>
        <v>7945.5748222058792</v>
      </c>
    </row>
    <row r="650" spans="5:13">
      <c r="E650" s="210">
        <f t="shared" si="50"/>
        <v>645</v>
      </c>
      <c r="F650">
        <f t="shared" ca="1" si="53"/>
        <v>6747.6124386914253</v>
      </c>
      <c r="G650">
        <f t="shared" ca="1" si="51"/>
        <v>0.22370564501608065</v>
      </c>
      <c r="H650">
        <f ca="1">INDEX(Aerodynamique!$T$6:$T$546,MATCH(G650,Aerodynamique!$Y$6:$Y$546,1))</f>
        <v>-0.69999999999999241</v>
      </c>
      <c r="I650">
        <f ca="1">INDEX(Aerodynamique!$Z$6:$Z$546,MATCH(G650,Aerodynamique!$Y$6:$Y$546,1))</f>
        <v>1.1774310750285262E-2</v>
      </c>
      <c r="J650">
        <f t="shared" ca="1" si="52"/>
        <v>3466.1667638206113</v>
      </c>
      <c r="K650" s="86">
        <f ca="1">INDEX(Aerodynamique!$AC$6:$AC$1006,MATCH(INDEX(Aerodynamique!$W$6:$W$546,MATCH(G650,Aerodynamique!$Y$6:$Y$546,1)),Aerodynamique!$AD$6:$AD$1006,-1))</f>
        <v>-2.7400000000000051</v>
      </c>
      <c r="L650">
        <f ca="1">Montée!$B$19*((E650-E649)/60)*J650/10</f>
        <v>11.082535941945451</v>
      </c>
      <c r="M650">
        <f t="shared" ca="1" si="54"/>
        <v>7956.6573581478242</v>
      </c>
    </row>
    <row r="651" spans="5:13">
      <c r="E651" s="210">
        <f t="shared" si="50"/>
        <v>646</v>
      </c>
      <c r="F651">
        <f t="shared" ca="1" si="53"/>
        <v>6736.5299027494802</v>
      </c>
      <c r="G651">
        <f t="shared" ca="1" si="51"/>
        <v>0.22333822233526826</v>
      </c>
      <c r="H651">
        <f ca="1">INDEX(Aerodynamique!$T$6:$T$546,MATCH(G651,Aerodynamique!$Y$6:$Y$546,1))</f>
        <v>-0.69999999999999241</v>
      </c>
      <c r="I651">
        <f ca="1">INDEX(Aerodynamique!$Z$6:$Z$546,MATCH(G651,Aerodynamique!$Y$6:$Y$546,1))</f>
        <v>1.1774310750285262E-2</v>
      </c>
      <c r="J651">
        <f t="shared" ca="1" si="52"/>
        <v>3466.1667638206113</v>
      </c>
      <c r="K651" s="86">
        <f ca="1">INDEX(Aerodynamique!$AC$6:$AC$1006,MATCH(INDEX(Aerodynamique!$W$6:$W$546,MATCH(G651,Aerodynamique!$Y$6:$Y$546,1)),Aerodynamique!$AD$6:$AD$1006,-1))</f>
        <v>-2.7400000000000051</v>
      </c>
      <c r="L651">
        <f ca="1">Montée!$B$19*((E651-E650)/60)*J651/10</f>
        <v>11.082535941945451</v>
      </c>
      <c r="M651">
        <f t="shared" ca="1" si="54"/>
        <v>7967.7398940897692</v>
      </c>
    </row>
    <row r="652" spans="5:13">
      <c r="E652" s="210">
        <f t="shared" si="50"/>
        <v>647</v>
      </c>
      <c r="F652">
        <f t="shared" ca="1" si="53"/>
        <v>6725.4473668075352</v>
      </c>
      <c r="G652">
        <f t="shared" ca="1" si="51"/>
        <v>0.22297079965445596</v>
      </c>
      <c r="H652">
        <f ca="1">INDEX(Aerodynamique!$T$6:$T$546,MATCH(G652,Aerodynamique!$Y$6:$Y$546,1))</f>
        <v>-0.69999999999999241</v>
      </c>
      <c r="I652">
        <f ca="1">INDEX(Aerodynamique!$Z$6:$Z$546,MATCH(G652,Aerodynamique!$Y$6:$Y$546,1))</f>
        <v>1.1774310750285262E-2</v>
      </c>
      <c r="J652">
        <f t="shared" ca="1" si="52"/>
        <v>3466.1667638206113</v>
      </c>
      <c r="K652" s="86">
        <f ca="1">INDEX(Aerodynamique!$AC$6:$AC$1006,MATCH(INDEX(Aerodynamique!$W$6:$W$546,MATCH(G652,Aerodynamique!$Y$6:$Y$546,1)),Aerodynamique!$AD$6:$AD$1006,-1))</f>
        <v>-2.7400000000000051</v>
      </c>
      <c r="L652">
        <f ca="1">Montée!$B$19*((E652-E651)/60)*J652/10</f>
        <v>11.082535941945451</v>
      </c>
      <c r="M652">
        <f t="shared" ca="1" si="54"/>
        <v>7978.8224300317142</v>
      </c>
    </row>
    <row r="653" spans="5:13">
      <c r="E653" s="210">
        <f t="shared" si="50"/>
        <v>648</v>
      </c>
      <c r="F653">
        <f t="shared" ca="1" si="53"/>
        <v>6714.3648308655902</v>
      </c>
      <c r="G653">
        <f t="shared" ca="1" si="51"/>
        <v>0.2226033769736436</v>
      </c>
      <c r="H653">
        <f ca="1">INDEX(Aerodynamique!$T$6:$T$546,MATCH(G653,Aerodynamique!$Y$6:$Y$546,1))</f>
        <v>-0.69999999999999241</v>
      </c>
      <c r="I653">
        <f ca="1">INDEX(Aerodynamique!$Z$6:$Z$546,MATCH(G653,Aerodynamique!$Y$6:$Y$546,1))</f>
        <v>1.1774310750285262E-2</v>
      </c>
      <c r="J653">
        <f t="shared" ca="1" si="52"/>
        <v>3466.1667638206113</v>
      </c>
      <c r="K653" s="86">
        <f ca="1">INDEX(Aerodynamique!$AC$6:$AC$1006,MATCH(INDEX(Aerodynamique!$W$6:$W$546,MATCH(G653,Aerodynamique!$Y$6:$Y$546,1)),Aerodynamique!$AD$6:$AD$1006,-1))</f>
        <v>-2.7400000000000051</v>
      </c>
      <c r="L653">
        <f ca="1">Montée!$B$19*((E653-E652)/60)*J653/10</f>
        <v>11.082535941945451</v>
      </c>
      <c r="M653">
        <f t="shared" ca="1" si="54"/>
        <v>7989.9049659736593</v>
      </c>
    </row>
    <row r="654" spans="5:13">
      <c r="E654" s="210">
        <f t="shared" si="50"/>
        <v>649</v>
      </c>
      <c r="F654">
        <f t="shared" ca="1" si="53"/>
        <v>6703.2822949236452</v>
      </c>
      <c r="G654">
        <f t="shared" ca="1" si="51"/>
        <v>0.22223595429283127</v>
      </c>
      <c r="H654">
        <f ca="1">INDEX(Aerodynamique!$T$6:$T$546,MATCH(G654,Aerodynamique!$Y$6:$Y$546,1))</f>
        <v>-0.69999999999999241</v>
      </c>
      <c r="I654">
        <f ca="1">INDEX(Aerodynamique!$Z$6:$Z$546,MATCH(G654,Aerodynamique!$Y$6:$Y$546,1))</f>
        <v>1.1774310750285262E-2</v>
      </c>
      <c r="J654">
        <f t="shared" ca="1" si="52"/>
        <v>3466.1667638206113</v>
      </c>
      <c r="K654" s="86">
        <f ca="1">INDEX(Aerodynamique!$AC$6:$AC$1006,MATCH(INDEX(Aerodynamique!$W$6:$W$546,MATCH(G654,Aerodynamique!$Y$6:$Y$546,1)),Aerodynamique!$AD$6:$AD$1006,-1))</f>
        <v>-2.7400000000000051</v>
      </c>
      <c r="L654">
        <f ca="1">Montée!$B$19*((E654-E653)/60)*J654/10</f>
        <v>11.082535941945451</v>
      </c>
      <c r="M654">
        <f t="shared" ca="1" si="54"/>
        <v>8000.9875019156043</v>
      </c>
    </row>
    <row r="655" spans="5:13">
      <c r="E655" s="210">
        <f t="shared" si="50"/>
        <v>650</v>
      </c>
      <c r="F655">
        <f t="shared" ca="1" si="53"/>
        <v>6692.1997589817001</v>
      </c>
      <c r="G655">
        <f t="shared" ca="1" si="51"/>
        <v>0.22186853161201892</v>
      </c>
      <c r="H655">
        <f ca="1">INDEX(Aerodynamique!$T$6:$T$546,MATCH(G655,Aerodynamique!$Y$6:$Y$546,1))</f>
        <v>-0.74999999999999245</v>
      </c>
      <c r="I655">
        <f ca="1">INDEX(Aerodynamique!$Z$6:$Z$546,MATCH(G655,Aerodynamique!$Y$6:$Y$546,1))</f>
        <v>1.1740828409482299E-2</v>
      </c>
      <c r="J655">
        <f t="shared" ca="1" si="52"/>
        <v>3456.3101038999162</v>
      </c>
      <c r="K655" s="86">
        <f ca="1">INDEX(Aerodynamique!$AC$6:$AC$1006,MATCH(INDEX(Aerodynamique!$W$6:$W$546,MATCH(G655,Aerodynamique!$Y$6:$Y$546,1)),Aerodynamique!$AD$6:$AD$1006,-1))</f>
        <v>-2.7000000000000051</v>
      </c>
      <c r="L655">
        <f ca="1">Montée!$B$19*((E655-E654)/60)*J655/10</f>
        <v>11.051020785496883</v>
      </c>
      <c r="M655">
        <f t="shared" ca="1" si="54"/>
        <v>8012.0385227011011</v>
      </c>
    </row>
    <row r="656" spans="5:13">
      <c r="E656" s="210">
        <f t="shared" si="50"/>
        <v>651</v>
      </c>
      <c r="F656">
        <f t="shared" ca="1" si="53"/>
        <v>6681.1487381962033</v>
      </c>
      <c r="G656">
        <f t="shared" ca="1" si="51"/>
        <v>0.22150215376276217</v>
      </c>
      <c r="H656">
        <f ca="1">INDEX(Aerodynamique!$T$6:$T$546,MATCH(G656,Aerodynamique!$Y$6:$Y$546,1))</f>
        <v>-0.74999999999999245</v>
      </c>
      <c r="I656">
        <f ca="1">INDEX(Aerodynamique!$Z$6:$Z$546,MATCH(G656,Aerodynamique!$Y$6:$Y$546,1))</f>
        <v>1.1740828409482299E-2</v>
      </c>
      <c r="J656">
        <f t="shared" ca="1" si="52"/>
        <v>3456.3101038999162</v>
      </c>
      <c r="K656" s="86">
        <f ca="1">INDEX(Aerodynamique!$AC$6:$AC$1006,MATCH(INDEX(Aerodynamique!$W$6:$W$546,MATCH(G656,Aerodynamique!$Y$6:$Y$546,1)),Aerodynamique!$AD$6:$AD$1006,-1))</f>
        <v>-2.7000000000000051</v>
      </c>
      <c r="L656">
        <f ca="1">Montée!$B$19*((E656-E655)/60)*J656/10</f>
        <v>11.051020785496883</v>
      </c>
      <c r="M656">
        <f t="shared" ca="1" si="54"/>
        <v>8023.0895434865979</v>
      </c>
    </row>
    <row r="657" spans="5:13">
      <c r="E657" s="210">
        <f t="shared" si="50"/>
        <v>652</v>
      </c>
      <c r="F657">
        <f t="shared" ca="1" si="53"/>
        <v>6670.0977174107065</v>
      </c>
      <c r="G657">
        <f t="shared" ca="1" si="51"/>
        <v>0.22113577591350547</v>
      </c>
      <c r="H657">
        <f ca="1">INDEX(Aerodynamique!$T$6:$T$546,MATCH(G657,Aerodynamique!$Y$6:$Y$546,1))</f>
        <v>-0.74999999999999245</v>
      </c>
      <c r="I657">
        <f ca="1">INDEX(Aerodynamique!$Z$6:$Z$546,MATCH(G657,Aerodynamique!$Y$6:$Y$546,1))</f>
        <v>1.1740828409482299E-2</v>
      </c>
      <c r="J657">
        <f t="shared" ca="1" si="52"/>
        <v>3456.3101038999162</v>
      </c>
      <c r="K657" s="86">
        <f ca="1">INDEX(Aerodynamique!$AC$6:$AC$1006,MATCH(INDEX(Aerodynamique!$W$6:$W$546,MATCH(G657,Aerodynamique!$Y$6:$Y$546,1)),Aerodynamique!$AD$6:$AD$1006,-1))</f>
        <v>-2.7000000000000051</v>
      </c>
      <c r="L657">
        <f ca="1">Montée!$B$19*((E657-E656)/60)*J657/10</f>
        <v>11.051020785496883</v>
      </c>
      <c r="M657">
        <f t="shared" ca="1" si="54"/>
        <v>8034.1405642720947</v>
      </c>
    </row>
    <row r="658" spans="5:13">
      <c r="E658" s="210">
        <f t="shared" si="50"/>
        <v>653</v>
      </c>
      <c r="F658">
        <f t="shared" ca="1" si="53"/>
        <v>6659.0466966252097</v>
      </c>
      <c r="G658">
        <f t="shared" ca="1" si="51"/>
        <v>0.22076939806424875</v>
      </c>
      <c r="H658">
        <f ca="1">INDEX(Aerodynamique!$T$6:$T$546,MATCH(G658,Aerodynamique!$Y$6:$Y$546,1))</f>
        <v>-0.74999999999999245</v>
      </c>
      <c r="I658">
        <f ca="1">INDEX(Aerodynamique!$Z$6:$Z$546,MATCH(G658,Aerodynamique!$Y$6:$Y$546,1))</f>
        <v>1.1740828409482299E-2</v>
      </c>
      <c r="J658">
        <f t="shared" ca="1" si="52"/>
        <v>3456.3101038999162</v>
      </c>
      <c r="K658" s="86">
        <f ca="1">INDEX(Aerodynamique!$AC$6:$AC$1006,MATCH(INDEX(Aerodynamique!$W$6:$W$546,MATCH(G658,Aerodynamique!$Y$6:$Y$546,1)),Aerodynamique!$AD$6:$AD$1006,-1))</f>
        <v>-2.7000000000000051</v>
      </c>
      <c r="L658">
        <f ca="1">Montée!$B$19*((E658-E657)/60)*J658/10</f>
        <v>11.051020785496883</v>
      </c>
      <c r="M658">
        <f t="shared" ca="1" si="54"/>
        <v>8045.1915850575915</v>
      </c>
    </row>
    <row r="659" spans="5:13">
      <c r="E659" s="210">
        <f t="shared" si="50"/>
        <v>654</v>
      </c>
      <c r="F659">
        <f t="shared" ca="1" si="53"/>
        <v>6647.9956758397129</v>
      </c>
      <c r="G659">
        <f t="shared" ca="1" si="51"/>
        <v>0.22040302021499203</v>
      </c>
      <c r="H659">
        <f ca="1">INDEX(Aerodynamique!$T$6:$T$546,MATCH(G659,Aerodynamique!$Y$6:$Y$546,1))</f>
        <v>-0.74999999999999245</v>
      </c>
      <c r="I659">
        <f ca="1">INDEX(Aerodynamique!$Z$6:$Z$546,MATCH(G659,Aerodynamique!$Y$6:$Y$546,1))</f>
        <v>1.1740828409482299E-2</v>
      </c>
      <c r="J659">
        <f t="shared" ca="1" si="52"/>
        <v>3456.3101038999162</v>
      </c>
      <c r="K659" s="86">
        <f ca="1">INDEX(Aerodynamique!$AC$6:$AC$1006,MATCH(INDEX(Aerodynamique!$W$6:$W$546,MATCH(G659,Aerodynamique!$Y$6:$Y$546,1)),Aerodynamique!$AD$6:$AD$1006,-1))</f>
        <v>-2.7000000000000051</v>
      </c>
      <c r="L659">
        <f ca="1">Montée!$B$19*((E659-E658)/60)*J659/10</f>
        <v>11.051020785496883</v>
      </c>
      <c r="M659">
        <f t="shared" ca="1" si="54"/>
        <v>8056.2426058430883</v>
      </c>
    </row>
    <row r="660" spans="5:13">
      <c r="E660" s="210">
        <f t="shared" si="50"/>
        <v>655</v>
      </c>
      <c r="F660">
        <f t="shared" ca="1" si="53"/>
        <v>6636.9446550542161</v>
      </c>
      <c r="G660">
        <f t="shared" ca="1" si="51"/>
        <v>0.22003664236573528</v>
      </c>
      <c r="H660">
        <f ca="1">INDEX(Aerodynamique!$T$6:$T$546,MATCH(G660,Aerodynamique!$Y$6:$Y$546,1))</f>
        <v>-0.74999999999999245</v>
      </c>
      <c r="I660">
        <f ca="1">INDEX(Aerodynamique!$Z$6:$Z$546,MATCH(G660,Aerodynamique!$Y$6:$Y$546,1))</f>
        <v>1.1740828409482299E-2</v>
      </c>
      <c r="J660">
        <f t="shared" ca="1" si="52"/>
        <v>3456.3101038999162</v>
      </c>
      <c r="K660" s="86">
        <f ca="1">INDEX(Aerodynamique!$AC$6:$AC$1006,MATCH(INDEX(Aerodynamique!$W$6:$W$546,MATCH(G660,Aerodynamique!$Y$6:$Y$546,1)),Aerodynamique!$AD$6:$AD$1006,-1))</f>
        <v>-2.7000000000000051</v>
      </c>
      <c r="L660">
        <f ca="1">Montée!$B$19*((E660-E659)/60)*J660/10</f>
        <v>11.051020785496883</v>
      </c>
      <c r="M660">
        <f t="shared" ca="1" si="54"/>
        <v>8067.2936266285851</v>
      </c>
    </row>
    <row r="661" spans="5:13">
      <c r="E661" s="210">
        <f t="shared" si="50"/>
        <v>656</v>
      </c>
      <c r="F661">
        <f t="shared" ca="1" si="53"/>
        <v>6625.8936342687193</v>
      </c>
      <c r="G661">
        <f t="shared" ca="1" si="51"/>
        <v>0.21967026451647856</v>
      </c>
      <c r="H661">
        <f ca="1">INDEX(Aerodynamique!$T$6:$T$546,MATCH(G661,Aerodynamique!$Y$6:$Y$546,1))</f>
        <v>-0.74999999999999245</v>
      </c>
      <c r="I661">
        <f ca="1">INDEX(Aerodynamique!$Z$6:$Z$546,MATCH(G661,Aerodynamique!$Y$6:$Y$546,1))</f>
        <v>1.1740828409482299E-2</v>
      </c>
      <c r="J661">
        <f t="shared" ca="1" si="52"/>
        <v>3456.3101038999162</v>
      </c>
      <c r="K661" s="86">
        <f ca="1">INDEX(Aerodynamique!$AC$6:$AC$1006,MATCH(INDEX(Aerodynamique!$W$6:$W$546,MATCH(G661,Aerodynamique!$Y$6:$Y$546,1)),Aerodynamique!$AD$6:$AD$1006,-1))</f>
        <v>-2.7000000000000051</v>
      </c>
      <c r="L661">
        <f ca="1">Montée!$B$19*((E661-E660)/60)*J661/10</f>
        <v>11.051020785496883</v>
      </c>
      <c r="M661">
        <f t="shared" ca="1" si="54"/>
        <v>8078.3446474140819</v>
      </c>
    </row>
    <row r="662" spans="5:13">
      <c r="E662" s="210">
        <f t="shared" si="50"/>
        <v>657</v>
      </c>
      <c r="F662">
        <f t="shared" ca="1" si="53"/>
        <v>6614.8426134832225</v>
      </c>
      <c r="G662">
        <f t="shared" ca="1" si="51"/>
        <v>0.21930388666722186</v>
      </c>
      <c r="H662">
        <f ca="1">INDEX(Aerodynamique!$T$6:$T$546,MATCH(G662,Aerodynamique!$Y$6:$Y$546,1))</f>
        <v>-0.74999999999999245</v>
      </c>
      <c r="I662">
        <f ca="1">INDEX(Aerodynamique!$Z$6:$Z$546,MATCH(G662,Aerodynamique!$Y$6:$Y$546,1))</f>
        <v>1.1740828409482299E-2</v>
      </c>
      <c r="J662">
        <f t="shared" ca="1" si="52"/>
        <v>3456.3101038999162</v>
      </c>
      <c r="K662" s="86">
        <f ca="1">INDEX(Aerodynamique!$AC$6:$AC$1006,MATCH(INDEX(Aerodynamique!$W$6:$W$546,MATCH(G662,Aerodynamique!$Y$6:$Y$546,1)),Aerodynamique!$AD$6:$AD$1006,-1))</f>
        <v>-2.7000000000000051</v>
      </c>
      <c r="L662">
        <f ca="1">Montée!$B$19*((E662-E661)/60)*J662/10</f>
        <v>11.051020785496883</v>
      </c>
      <c r="M662">
        <f t="shared" ca="1" si="54"/>
        <v>8089.3956681995787</v>
      </c>
    </row>
    <row r="663" spans="5:13">
      <c r="E663" s="210">
        <f t="shared" si="50"/>
        <v>658</v>
      </c>
      <c r="F663">
        <f t="shared" ca="1" si="53"/>
        <v>6603.7915926977257</v>
      </c>
      <c r="G663">
        <f t="shared" ca="1" si="51"/>
        <v>0.21893750881796512</v>
      </c>
      <c r="H663">
        <f ca="1">INDEX(Aerodynamique!$T$6:$T$546,MATCH(G663,Aerodynamique!$Y$6:$Y$546,1))</f>
        <v>-0.74999999999999245</v>
      </c>
      <c r="I663">
        <f ca="1">INDEX(Aerodynamique!$Z$6:$Z$546,MATCH(G663,Aerodynamique!$Y$6:$Y$546,1))</f>
        <v>1.1740828409482299E-2</v>
      </c>
      <c r="J663">
        <f t="shared" ca="1" si="52"/>
        <v>3456.3101038999162</v>
      </c>
      <c r="K663" s="86">
        <f ca="1">INDEX(Aerodynamique!$AC$6:$AC$1006,MATCH(INDEX(Aerodynamique!$W$6:$W$546,MATCH(G663,Aerodynamique!$Y$6:$Y$546,1)),Aerodynamique!$AD$6:$AD$1006,-1))</f>
        <v>-2.7000000000000051</v>
      </c>
      <c r="L663">
        <f ca="1">Montée!$B$19*((E663-E662)/60)*J663/10</f>
        <v>11.051020785496883</v>
      </c>
      <c r="M663">
        <f t="shared" ca="1" si="54"/>
        <v>8100.4466889850755</v>
      </c>
    </row>
    <row r="664" spans="5:13">
      <c r="E664" s="210">
        <f t="shared" si="50"/>
        <v>659</v>
      </c>
      <c r="F664">
        <f t="shared" ca="1" si="53"/>
        <v>6592.7405719122289</v>
      </c>
      <c r="G664">
        <f t="shared" ca="1" si="51"/>
        <v>0.21857113096870839</v>
      </c>
      <c r="H664">
        <f ca="1">INDEX(Aerodynamique!$T$6:$T$546,MATCH(G664,Aerodynamique!$Y$6:$Y$546,1))</f>
        <v>-0.74999999999999245</v>
      </c>
      <c r="I664">
        <f ca="1">INDEX(Aerodynamique!$Z$6:$Z$546,MATCH(G664,Aerodynamique!$Y$6:$Y$546,1))</f>
        <v>1.1740828409482299E-2</v>
      </c>
      <c r="J664">
        <f t="shared" ca="1" si="52"/>
        <v>3456.3101038999162</v>
      </c>
      <c r="K664" s="86">
        <f ca="1">INDEX(Aerodynamique!$AC$6:$AC$1006,MATCH(INDEX(Aerodynamique!$W$6:$W$546,MATCH(G664,Aerodynamique!$Y$6:$Y$546,1)),Aerodynamique!$AD$6:$AD$1006,-1))</f>
        <v>-2.7000000000000051</v>
      </c>
      <c r="L664">
        <f ca="1">Montée!$B$19*((E664-E663)/60)*J664/10</f>
        <v>11.051020785496883</v>
      </c>
      <c r="M664">
        <f t="shared" ca="1" si="54"/>
        <v>8111.4977097705723</v>
      </c>
    </row>
    <row r="665" spans="5:13">
      <c r="E665" s="210">
        <f t="shared" si="50"/>
        <v>660</v>
      </c>
      <c r="F665">
        <f t="shared" ca="1" si="53"/>
        <v>6581.6895511267321</v>
      </c>
      <c r="G665">
        <f t="shared" ca="1" si="51"/>
        <v>0.21820475311945167</v>
      </c>
      <c r="H665">
        <f ca="1">INDEX(Aerodynamique!$T$6:$T$546,MATCH(G665,Aerodynamique!$Y$6:$Y$546,1))</f>
        <v>-0.74999999999999245</v>
      </c>
      <c r="I665">
        <f ca="1">INDEX(Aerodynamique!$Z$6:$Z$546,MATCH(G665,Aerodynamique!$Y$6:$Y$546,1))</f>
        <v>1.1740828409482299E-2</v>
      </c>
      <c r="J665">
        <f t="shared" ca="1" si="52"/>
        <v>3456.3101038999162</v>
      </c>
      <c r="K665" s="86">
        <f ca="1">INDEX(Aerodynamique!$AC$6:$AC$1006,MATCH(INDEX(Aerodynamique!$W$6:$W$546,MATCH(G665,Aerodynamique!$Y$6:$Y$546,1)),Aerodynamique!$AD$6:$AD$1006,-1))</f>
        <v>-2.7000000000000051</v>
      </c>
      <c r="L665">
        <f ca="1">Montée!$B$19*((E665-E664)/60)*J665/10</f>
        <v>11.051020785496883</v>
      </c>
      <c r="M665">
        <f t="shared" ca="1" si="54"/>
        <v>8122.5487305560691</v>
      </c>
    </row>
    <row r="666" spans="5:13">
      <c r="E666" s="210">
        <f t="shared" si="50"/>
        <v>661</v>
      </c>
      <c r="F666">
        <f t="shared" ca="1" si="53"/>
        <v>6570.6385303412353</v>
      </c>
      <c r="G666">
        <f t="shared" ca="1" si="51"/>
        <v>0.21783837527019498</v>
      </c>
      <c r="H666">
        <f ca="1">INDEX(Aerodynamique!$T$6:$T$546,MATCH(G666,Aerodynamique!$Y$6:$Y$546,1))</f>
        <v>-0.74999999999999245</v>
      </c>
      <c r="I666">
        <f ca="1">INDEX(Aerodynamique!$Z$6:$Z$546,MATCH(G666,Aerodynamique!$Y$6:$Y$546,1))</f>
        <v>1.1740828409482299E-2</v>
      </c>
      <c r="J666">
        <f t="shared" ca="1" si="52"/>
        <v>3456.3101038999162</v>
      </c>
      <c r="K666" s="86">
        <f ca="1">INDEX(Aerodynamique!$AC$6:$AC$1006,MATCH(INDEX(Aerodynamique!$W$6:$W$546,MATCH(G666,Aerodynamique!$Y$6:$Y$546,1)),Aerodynamique!$AD$6:$AD$1006,-1))</f>
        <v>-2.7000000000000051</v>
      </c>
      <c r="L666">
        <f ca="1">Montée!$B$19*((E666-E665)/60)*J666/10</f>
        <v>11.051020785496883</v>
      </c>
      <c r="M666">
        <f t="shared" ca="1" si="54"/>
        <v>8133.5997513415659</v>
      </c>
    </row>
    <row r="667" spans="5:13">
      <c r="E667" s="210">
        <f t="shared" si="50"/>
        <v>662</v>
      </c>
      <c r="F667">
        <f t="shared" ca="1" si="53"/>
        <v>6559.5875095557385</v>
      </c>
      <c r="G667">
        <f t="shared" ca="1" si="51"/>
        <v>0.21747199742093823</v>
      </c>
      <c r="H667">
        <f ca="1">INDEX(Aerodynamique!$T$6:$T$546,MATCH(G667,Aerodynamique!$Y$6:$Y$546,1))</f>
        <v>-0.74999999999999245</v>
      </c>
      <c r="I667">
        <f ca="1">INDEX(Aerodynamique!$Z$6:$Z$546,MATCH(G667,Aerodynamique!$Y$6:$Y$546,1))</f>
        <v>1.1740828409482299E-2</v>
      </c>
      <c r="J667">
        <f t="shared" ca="1" si="52"/>
        <v>3456.3101038999162</v>
      </c>
      <c r="K667" s="86">
        <f ca="1">INDEX(Aerodynamique!$AC$6:$AC$1006,MATCH(INDEX(Aerodynamique!$W$6:$W$546,MATCH(G667,Aerodynamique!$Y$6:$Y$546,1)),Aerodynamique!$AD$6:$AD$1006,-1))</f>
        <v>-2.7000000000000051</v>
      </c>
      <c r="L667">
        <f ca="1">Montée!$B$19*((E667-E666)/60)*J667/10</f>
        <v>11.051020785496883</v>
      </c>
      <c r="M667">
        <f t="shared" ca="1" si="54"/>
        <v>8144.6507721270627</v>
      </c>
    </row>
    <row r="668" spans="5:13">
      <c r="E668" s="210">
        <f t="shared" si="50"/>
        <v>663</v>
      </c>
      <c r="F668">
        <f t="shared" ca="1" si="53"/>
        <v>6548.5364887702417</v>
      </c>
      <c r="G668">
        <f t="shared" ca="1" si="51"/>
        <v>0.21710561957168151</v>
      </c>
      <c r="H668">
        <f ca="1">INDEX(Aerodynamique!$T$6:$T$546,MATCH(G668,Aerodynamique!$Y$6:$Y$546,1))</f>
        <v>-0.74999999999999245</v>
      </c>
      <c r="I668">
        <f ca="1">INDEX(Aerodynamique!$Z$6:$Z$546,MATCH(G668,Aerodynamique!$Y$6:$Y$546,1))</f>
        <v>1.1740828409482299E-2</v>
      </c>
      <c r="J668">
        <f t="shared" ca="1" si="52"/>
        <v>3456.3101038999162</v>
      </c>
      <c r="K668" s="86">
        <f ca="1">INDEX(Aerodynamique!$AC$6:$AC$1006,MATCH(INDEX(Aerodynamique!$W$6:$W$546,MATCH(G668,Aerodynamique!$Y$6:$Y$546,1)),Aerodynamique!$AD$6:$AD$1006,-1))</f>
        <v>-2.7000000000000051</v>
      </c>
      <c r="L668">
        <f ca="1">Montée!$B$19*((E668-E667)/60)*J668/10</f>
        <v>11.051020785496883</v>
      </c>
      <c r="M668">
        <f t="shared" ca="1" si="54"/>
        <v>8155.7017929125595</v>
      </c>
    </row>
    <row r="669" spans="5:13">
      <c r="E669" s="210">
        <f t="shared" si="50"/>
        <v>664</v>
      </c>
      <c r="F669">
        <f t="shared" ca="1" si="53"/>
        <v>6537.4854679847449</v>
      </c>
      <c r="G669">
        <f t="shared" ca="1" si="51"/>
        <v>0.21673924172242479</v>
      </c>
      <c r="H669">
        <f ca="1">INDEX(Aerodynamique!$T$6:$T$546,MATCH(G669,Aerodynamique!$Y$6:$Y$546,1))</f>
        <v>-0.79999999999999249</v>
      </c>
      <c r="I669">
        <f ca="1">INDEX(Aerodynamique!$Z$6:$Z$546,MATCH(G669,Aerodynamique!$Y$6:$Y$546,1))</f>
        <v>1.1708413878691494E-2</v>
      </c>
      <c r="J669">
        <f t="shared" ca="1" si="52"/>
        <v>3446.7677899866194</v>
      </c>
      <c r="K669" s="86">
        <f ca="1">INDEX(Aerodynamique!$AC$6:$AC$1006,MATCH(INDEX(Aerodynamique!$W$6:$W$546,MATCH(G669,Aerodynamique!$Y$6:$Y$546,1)),Aerodynamique!$AD$6:$AD$1006,-1))</f>
        <v>-2.660000000000005</v>
      </c>
      <c r="L669">
        <f ca="1">Montée!$B$19*((E669-E668)/60)*J669/10</f>
        <v>11.020510702134111</v>
      </c>
      <c r="M669">
        <f t="shared" ca="1" si="54"/>
        <v>8166.7223036146934</v>
      </c>
    </row>
    <row r="670" spans="5:13">
      <c r="E670" s="210">
        <f t="shared" si="50"/>
        <v>665</v>
      </c>
      <c r="F670">
        <f t="shared" ca="1" si="53"/>
        <v>6526.4649572826111</v>
      </c>
      <c r="G670">
        <f t="shared" ca="1" si="51"/>
        <v>0.21637387538323036</v>
      </c>
      <c r="H670">
        <f ca="1">INDEX(Aerodynamique!$T$6:$T$546,MATCH(G670,Aerodynamique!$Y$6:$Y$546,1))</f>
        <v>-0.79999999999999249</v>
      </c>
      <c r="I670">
        <f ca="1">INDEX(Aerodynamique!$Z$6:$Z$546,MATCH(G670,Aerodynamique!$Y$6:$Y$546,1))</f>
        <v>1.1708413878691494E-2</v>
      </c>
      <c r="J670">
        <f t="shared" ca="1" si="52"/>
        <v>3446.7677899866194</v>
      </c>
      <c r="K670" s="86">
        <f ca="1">INDEX(Aerodynamique!$AC$6:$AC$1006,MATCH(INDEX(Aerodynamique!$W$6:$W$546,MATCH(G670,Aerodynamique!$Y$6:$Y$546,1)),Aerodynamique!$AD$6:$AD$1006,-1))</f>
        <v>-2.660000000000005</v>
      </c>
      <c r="L670">
        <f ca="1">Montée!$B$19*((E670-E669)/60)*J670/10</f>
        <v>11.020510702134111</v>
      </c>
      <c r="M670">
        <f t="shared" ca="1" si="54"/>
        <v>8177.7428143168272</v>
      </c>
    </row>
    <row r="671" spans="5:13">
      <c r="E671" s="210">
        <f t="shared" si="50"/>
        <v>666</v>
      </c>
      <c r="F671">
        <f t="shared" ca="1" si="53"/>
        <v>6515.4444465804772</v>
      </c>
      <c r="G671">
        <f t="shared" ca="1" si="51"/>
        <v>0.21600850904403593</v>
      </c>
      <c r="H671">
        <f ca="1">INDEX(Aerodynamique!$T$6:$T$546,MATCH(G671,Aerodynamique!$Y$6:$Y$546,1))</f>
        <v>-0.79999999999999249</v>
      </c>
      <c r="I671">
        <f ca="1">INDEX(Aerodynamique!$Z$6:$Z$546,MATCH(G671,Aerodynamique!$Y$6:$Y$546,1))</f>
        <v>1.1708413878691494E-2</v>
      </c>
      <c r="J671">
        <f t="shared" ca="1" si="52"/>
        <v>3446.7677899866194</v>
      </c>
      <c r="K671" s="86">
        <f ca="1">INDEX(Aerodynamique!$AC$6:$AC$1006,MATCH(INDEX(Aerodynamique!$W$6:$W$546,MATCH(G671,Aerodynamique!$Y$6:$Y$546,1)),Aerodynamique!$AD$6:$AD$1006,-1))</f>
        <v>-2.660000000000005</v>
      </c>
      <c r="L671">
        <f ca="1">Montée!$B$19*((E671-E670)/60)*J671/10</f>
        <v>11.020510702134111</v>
      </c>
      <c r="M671">
        <f t="shared" ca="1" si="54"/>
        <v>8188.763325018961</v>
      </c>
    </row>
    <row r="672" spans="5:13">
      <c r="E672" s="210">
        <f t="shared" si="50"/>
        <v>667</v>
      </c>
      <c r="F672">
        <f t="shared" ca="1" si="53"/>
        <v>6504.4239358783434</v>
      </c>
      <c r="G672">
        <f t="shared" ca="1" si="51"/>
        <v>0.2156431427048415</v>
      </c>
      <c r="H672">
        <f ca="1">INDEX(Aerodynamique!$T$6:$T$546,MATCH(G672,Aerodynamique!$Y$6:$Y$546,1))</f>
        <v>-0.79999999999999249</v>
      </c>
      <c r="I672">
        <f ca="1">INDEX(Aerodynamique!$Z$6:$Z$546,MATCH(G672,Aerodynamique!$Y$6:$Y$546,1))</f>
        <v>1.1708413878691494E-2</v>
      </c>
      <c r="J672">
        <f t="shared" ca="1" si="52"/>
        <v>3446.7677899866194</v>
      </c>
      <c r="K672" s="86">
        <f ca="1">INDEX(Aerodynamique!$AC$6:$AC$1006,MATCH(INDEX(Aerodynamique!$W$6:$W$546,MATCH(G672,Aerodynamique!$Y$6:$Y$546,1)),Aerodynamique!$AD$6:$AD$1006,-1))</f>
        <v>-2.660000000000005</v>
      </c>
      <c r="L672">
        <f ca="1">Montée!$B$19*((E672-E671)/60)*J672/10</f>
        <v>11.020510702134111</v>
      </c>
      <c r="M672">
        <f t="shared" ca="1" si="54"/>
        <v>8199.7838357210949</v>
      </c>
    </row>
    <row r="673" spans="5:13">
      <c r="E673" s="210">
        <f t="shared" si="50"/>
        <v>668</v>
      </c>
      <c r="F673">
        <f t="shared" ca="1" si="53"/>
        <v>6493.4034251762096</v>
      </c>
      <c r="G673">
        <f t="shared" ca="1" si="51"/>
        <v>0.21527777636564707</v>
      </c>
      <c r="H673">
        <f ca="1">INDEX(Aerodynamique!$T$6:$T$546,MATCH(G673,Aerodynamique!$Y$6:$Y$546,1))</f>
        <v>-0.79999999999999249</v>
      </c>
      <c r="I673">
        <f ca="1">INDEX(Aerodynamique!$Z$6:$Z$546,MATCH(G673,Aerodynamique!$Y$6:$Y$546,1))</f>
        <v>1.1708413878691494E-2</v>
      </c>
      <c r="J673">
        <f t="shared" ca="1" si="52"/>
        <v>3446.7677899866194</v>
      </c>
      <c r="K673" s="86">
        <f ca="1">INDEX(Aerodynamique!$AC$6:$AC$1006,MATCH(INDEX(Aerodynamique!$W$6:$W$546,MATCH(G673,Aerodynamique!$Y$6:$Y$546,1)),Aerodynamique!$AD$6:$AD$1006,-1))</f>
        <v>-2.660000000000005</v>
      </c>
      <c r="L673">
        <f ca="1">Montée!$B$19*((E673-E672)/60)*J673/10</f>
        <v>11.020510702134111</v>
      </c>
      <c r="M673">
        <f t="shared" ca="1" si="54"/>
        <v>8210.8043464232287</v>
      </c>
    </row>
    <row r="674" spans="5:13">
      <c r="E674" s="210">
        <f t="shared" si="50"/>
        <v>669</v>
      </c>
      <c r="F674">
        <f t="shared" ca="1" si="53"/>
        <v>6482.3829144740757</v>
      </c>
      <c r="G674">
        <f t="shared" ca="1" si="51"/>
        <v>0.21491241002645264</v>
      </c>
      <c r="H674">
        <f ca="1">INDEX(Aerodynamique!$T$6:$T$546,MATCH(G674,Aerodynamique!$Y$6:$Y$546,1))</f>
        <v>-0.79999999999999249</v>
      </c>
      <c r="I674">
        <f ca="1">INDEX(Aerodynamique!$Z$6:$Z$546,MATCH(G674,Aerodynamique!$Y$6:$Y$546,1))</f>
        <v>1.1708413878691494E-2</v>
      </c>
      <c r="J674">
        <f t="shared" ca="1" si="52"/>
        <v>3446.7677899866194</v>
      </c>
      <c r="K674" s="86">
        <f ca="1">INDEX(Aerodynamique!$AC$6:$AC$1006,MATCH(INDEX(Aerodynamique!$W$6:$W$546,MATCH(G674,Aerodynamique!$Y$6:$Y$546,1)),Aerodynamique!$AD$6:$AD$1006,-1))</f>
        <v>-2.660000000000005</v>
      </c>
      <c r="L674">
        <f ca="1">Montée!$B$19*((E674-E673)/60)*J674/10</f>
        <v>11.020510702134111</v>
      </c>
      <c r="M674">
        <f t="shared" ca="1" si="54"/>
        <v>8221.8248571253625</v>
      </c>
    </row>
    <row r="675" spans="5:13">
      <c r="E675" s="210">
        <f t="shared" si="50"/>
        <v>670</v>
      </c>
      <c r="F675">
        <f t="shared" ca="1" si="53"/>
        <v>6471.3624037719419</v>
      </c>
      <c r="G675">
        <f t="shared" ca="1" si="51"/>
        <v>0.21454704368725822</v>
      </c>
      <c r="H675">
        <f ca="1">INDEX(Aerodynamique!$T$6:$T$546,MATCH(G675,Aerodynamique!$Y$6:$Y$546,1))</f>
        <v>-0.79999999999999249</v>
      </c>
      <c r="I675">
        <f ca="1">INDEX(Aerodynamique!$Z$6:$Z$546,MATCH(G675,Aerodynamique!$Y$6:$Y$546,1))</f>
        <v>1.1708413878691494E-2</v>
      </c>
      <c r="J675">
        <f t="shared" ca="1" si="52"/>
        <v>3446.7677899866194</v>
      </c>
      <c r="K675" s="86">
        <f ca="1">INDEX(Aerodynamique!$AC$6:$AC$1006,MATCH(INDEX(Aerodynamique!$W$6:$W$546,MATCH(G675,Aerodynamique!$Y$6:$Y$546,1)),Aerodynamique!$AD$6:$AD$1006,-1))</f>
        <v>-2.660000000000005</v>
      </c>
      <c r="L675">
        <f ca="1">Montée!$B$19*((E675-E674)/60)*J675/10</f>
        <v>11.020510702134111</v>
      </c>
      <c r="M675">
        <f t="shared" ca="1" si="54"/>
        <v>8232.8453678274964</v>
      </c>
    </row>
    <row r="676" spans="5:13">
      <c r="E676" s="210">
        <f t="shared" si="50"/>
        <v>671</v>
      </c>
      <c r="F676">
        <f t="shared" ca="1" si="53"/>
        <v>6460.3418930698081</v>
      </c>
      <c r="G676">
        <f t="shared" ca="1" si="51"/>
        <v>0.21418167734806379</v>
      </c>
      <c r="H676">
        <f ca="1">INDEX(Aerodynamique!$T$6:$T$546,MATCH(G676,Aerodynamique!$Y$6:$Y$546,1))</f>
        <v>-0.79999999999999249</v>
      </c>
      <c r="I676">
        <f ca="1">INDEX(Aerodynamique!$Z$6:$Z$546,MATCH(G676,Aerodynamique!$Y$6:$Y$546,1))</f>
        <v>1.1708413878691494E-2</v>
      </c>
      <c r="J676">
        <f t="shared" ca="1" si="52"/>
        <v>3446.7677899866194</v>
      </c>
      <c r="K676" s="86">
        <f ca="1">INDEX(Aerodynamique!$AC$6:$AC$1006,MATCH(INDEX(Aerodynamique!$W$6:$W$546,MATCH(G676,Aerodynamique!$Y$6:$Y$546,1)),Aerodynamique!$AD$6:$AD$1006,-1))</f>
        <v>-2.660000000000005</v>
      </c>
      <c r="L676">
        <f ca="1">Montée!$B$19*((E676-E675)/60)*J676/10</f>
        <v>11.020510702134111</v>
      </c>
      <c r="M676">
        <f t="shared" ca="1" si="54"/>
        <v>8243.8658785296302</v>
      </c>
    </row>
    <row r="677" spans="5:13">
      <c r="E677" s="210">
        <f t="shared" si="50"/>
        <v>672</v>
      </c>
      <c r="F677">
        <f t="shared" ca="1" si="53"/>
        <v>6449.3213823676742</v>
      </c>
      <c r="G677">
        <f t="shared" ca="1" si="51"/>
        <v>0.21381631100886939</v>
      </c>
      <c r="H677">
        <f ca="1">INDEX(Aerodynamique!$T$6:$T$546,MATCH(G677,Aerodynamique!$Y$6:$Y$546,1))</f>
        <v>-0.79999999999999249</v>
      </c>
      <c r="I677">
        <f ca="1">INDEX(Aerodynamique!$Z$6:$Z$546,MATCH(G677,Aerodynamique!$Y$6:$Y$546,1))</f>
        <v>1.1708413878691494E-2</v>
      </c>
      <c r="J677">
        <f t="shared" ca="1" si="52"/>
        <v>3446.7677899866194</v>
      </c>
      <c r="K677" s="86">
        <f ca="1">INDEX(Aerodynamique!$AC$6:$AC$1006,MATCH(INDEX(Aerodynamique!$W$6:$W$546,MATCH(G677,Aerodynamique!$Y$6:$Y$546,1)),Aerodynamique!$AD$6:$AD$1006,-1))</f>
        <v>-2.660000000000005</v>
      </c>
      <c r="L677">
        <f ca="1">Montée!$B$19*((E677-E676)/60)*J677/10</f>
        <v>11.020510702134111</v>
      </c>
      <c r="M677">
        <f t="shared" ca="1" si="54"/>
        <v>8254.886389231764</v>
      </c>
    </row>
    <row r="678" spans="5:13">
      <c r="E678" s="210">
        <f t="shared" si="50"/>
        <v>673</v>
      </c>
      <c r="F678">
        <f t="shared" ca="1" si="53"/>
        <v>6438.3008716655404</v>
      </c>
      <c r="G678">
        <f t="shared" ca="1" si="51"/>
        <v>0.21345094466967496</v>
      </c>
      <c r="H678">
        <f ca="1">INDEX(Aerodynamique!$T$6:$T$546,MATCH(G678,Aerodynamique!$Y$6:$Y$546,1))</f>
        <v>-0.79999999999999249</v>
      </c>
      <c r="I678">
        <f ca="1">INDEX(Aerodynamique!$Z$6:$Z$546,MATCH(G678,Aerodynamique!$Y$6:$Y$546,1))</f>
        <v>1.1708413878691494E-2</v>
      </c>
      <c r="J678">
        <f t="shared" ca="1" si="52"/>
        <v>3446.7677899866194</v>
      </c>
      <c r="K678" s="86">
        <f ca="1">INDEX(Aerodynamique!$AC$6:$AC$1006,MATCH(INDEX(Aerodynamique!$W$6:$W$546,MATCH(G678,Aerodynamique!$Y$6:$Y$546,1)),Aerodynamique!$AD$6:$AD$1006,-1))</f>
        <v>-2.660000000000005</v>
      </c>
      <c r="L678">
        <f ca="1">Montée!$B$19*((E678-E677)/60)*J678/10</f>
        <v>11.020510702134111</v>
      </c>
      <c r="M678">
        <f t="shared" ca="1" si="54"/>
        <v>8265.9068999338979</v>
      </c>
    </row>
    <row r="679" spans="5:13">
      <c r="E679" s="210">
        <f t="shared" si="50"/>
        <v>674</v>
      </c>
      <c r="F679">
        <f t="shared" ca="1" si="53"/>
        <v>6427.2803609634066</v>
      </c>
      <c r="G679">
        <f t="shared" ca="1" si="51"/>
        <v>0.21308557833048053</v>
      </c>
      <c r="H679">
        <f ca="1">INDEX(Aerodynamique!$T$6:$T$546,MATCH(G679,Aerodynamique!$Y$6:$Y$546,1))</f>
        <v>-0.79999999999999249</v>
      </c>
      <c r="I679">
        <f ca="1">INDEX(Aerodynamique!$Z$6:$Z$546,MATCH(G679,Aerodynamique!$Y$6:$Y$546,1))</f>
        <v>1.1708413878691494E-2</v>
      </c>
      <c r="J679">
        <f t="shared" ca="1" si="52"/>
        <v>3446.7677899866194</v>
      </c>
      <c r="K679" s="86">
        <f ca="1">INDEX(Aerodynamique!$AC$6:$AC$1006,MATCH(INDEX(Aerodynamique!$W$6:$W$546,MATCH(G679,Aerodynamique!$Y$6:$Y$546,1)),Aerodynamique!$AD$6:$AD$1006,-1))</f>
        <v>-2.660000000000005</v>
      </c>
      <c r="L679">
        <f ca="1">Montée!$B$19*((E679-E678)/60)*J679/10</f>
        <v>11.020510702134111</v>
      </c>
      <c r="M679">
        <f t="shared" ca="1" si="54"/>
        <v>8276.9274106360317</v>
      </c>
    </row>
    <row r="680" spans="5:13">
      <c r="E680" s="210">
        <f t="shared" si="50"/>
        <v>675</v>
      </c>
      <c r="F680">
        <f t="shared" ca="1" si="53"/>
        <v>6416.2598502612727</v>
      </c>
      <c r="G680">
        <f t="shared" ca="1" si="51"/>
        <v>0.2127202119912861</v>
      </c>
      <c r="H680">
        <f ca="1">INDEX(Aerodynamique!$T$6:$T$546,MATCH(G680,Aerodynamique!$Y$6:$Y$546,1))</f>
        <v>-0.79999999999999249</v>
      </c>
      <c r="I680">
        <f ca="1">INDEX(Aerodynamique!$Z$6:$Z$546,MATCH(G680,Aerodynamique!$Y$6:$Y$546,1))</f>
        <v>1.1708413878691494E-2</v>
      </c>
      <c r="J680">
        <f t="shared" ca="1" si="52"/>
        <v>3446.7677899866194</v>
      </c>
      <c r="K680" s="86">
        <f ca="1">INDEX(Aerodynamique!$AC$6:$AC$1006,MATCH(INDEX(Aerodynamique!$W$6:$W$546,MATCH(G680,Aerodynamique!$Y$6:$Y$546,1)),Aerodynamique!$AD$6:$AD$1006,-1))</f>
        <v>-2.660000000000005</v>
      </c>
      <c r="L680">
        <f ca="1">Montée!$B$19*((E680-E679)/60)*J680/10</f>
        <v>11.020510702134111</v>
      </c>
      <c r="M680">
        <f t="shared" ca="1" si="54"/>
        <v>8287.9479213381655</v>
      </c>
    </row>
    <row r="681" spans="5:13">
      <c r="E681" s="210">
        <f t="shared" si="50"/>
        <v>676</v>
      </c>
      <c r="F681">
        <f t="shared" ca="1" si="53"/>
        <v>6405.2393395591389</v>
      </c>
      <c r="G681">
        <f t="shared" ca="1" si="51"/>
        <v>0.21235484565209167</v>
      </c>
      <c r="H681">
        <f ca="1">INDEX(Aerodynamique!$T$6:$T$546,MATCH(G681,Aerodynamique!$Y$6:$Y$546,1))</f>
        <v>-0.79999999999999249</v>
      </c>
      <c r="I681">
        <f ca="1">INDEX(Aerodynamique!$Z$6:$Z$546,MATCH(G681,Aerodynamique!$Y$6:$Y$546,1))</f>
        <v>1.1708413878691494E-2</v>
      </c>
      <c r="J681">
        <f t="shared" ca="1" si="52"/>
        <v>3446.7677899866194</v>
      </c>
      <c r="K681" s="86">
        <f ca="1">INDEX(Aerodynamique!$AC$6:$AC$1006,MATCH(INDEX(Aerodynamique!$W$6:$W$546,MATCH(G681,Aerodynamique!$Y$6:$Y$546,1)),Aerodynamique!$AD$6:$AD$1006,-1))</f>
        <v>-2.660000000000005</v>
      </c>
      <c r="L681">
        <f ca="1">Montée!$B$19*((E681-E680)/60)*J681/10</f>
        <v>11.020510702134111</v>
      </c>
      <c r="M681">
        <f t="shared" ca="1" si="54"/>
        <v>8298.9684320402994</v>
      </c>
    </row>
    <row r="682" spans="5:13">
      <c r="E682" s="210">
        <f t="shared" si="50"/>
        <v>677</v>
      </c>
      <c r="F682">
        <f t="shared" ca="1" si="53"/>
        <v>6394.2188288570051</v>
      </c>
      <c r="G682">
        <f t="shared" ca="1" si="51"/>
        <v>0.21198947931289724</v>
      </c>
      <c r="H682">
        <f ca="1">INDEX(Aerodynamique!$T$6:$T$546,MATCH(G682,Aerodynamique!$Y$6:$Y$546,1))</f>
        <v>-0.84999999999999254</v>
      </c>
      <c r="I682">
        <f ca="1">INDEX(Aerodynamique!$Z$6:$Z$546,MATCH(G682,Aerodynamique!$Y$6:$Y$546,1))</f>
        <v>1.1677067157912849E-2</v>
      </c>
      <c r="J682">
        <f t="shared" ca="1" si="52"/>
        <v>3437.539822080721</v>
      </c>
      <c r="K682" s="86">
        <f ca="1">INDEX(Aerodynamique!$AC$6:$AC$1006,MATCH(INDEX(Aerodynamique!$W$6:$W$546,MATCH(G682,Aerodynamique!$Y$6:$Y$546,1)),Aerodynamique!$AD$6:$AD$1006,-1))</f>
        <v>-2.620000000000005</v>
      </c>
      <c r="L682">
        <f ca="1">Montée!$B$19*((E682-E681)/60)*J682/10</f>
        <v>10.991005691857135</v>
      </c>
      <c r="M682">
        <f t="shared" ca="1" si="54"/>
        <v>8309.9594377321573</v>
      </c>
    </row>
    <row r="683" spans="5:13">
      <c r="E683" s="210">
        <f t="shared" si="50"/>
        <v>678</v>
      </c>
      <c r="F683">
        <f t="shared" ca="1" si="53"/>
        <v>6383.227823165148</v>
      </c>
      <c r="G683">
        <f t="shared" ca="1" si="51"/>
        <v>0.21162509116227177</v>
      </c>
      <c r="H683">
        <f ca="1">INDEX(Aerodynamique!$T$6:$T$546,MATCH(G683,Aerodynamique!$Y$6:$Y$546,1))</f>
        <v>-0.84999999999999254</v>
      </c>
      <c r="I683">
        <f ca="1">INDEX(Aerodynamique!$Z$6:$Z$546,MATCH(G683,Aerodynamique!$Y$6:$Y$546,1))</f>
        <v>1.1677067157912849E-2</v>
      </c>
      <c r="J683">
        <f t="shared" ca="1" si="52"/>
        <v>3437.539822080721</v>
      </c>
      <c r="K683" s="86">
        <f ca="1">INDEX(Aerodynamique!$AC$6:$AC$1006,MATCH(INDEX(Aerodynamique!$W$6:$W$546,MATCH(G683,Aerodynamique!$Y$6:$Y$546,1)),Aerodynamique!$AD$6:$AD$1006,-1))</f>
        <v>-2.620000000000005</v>
      </c>
      <c r="L683">
        <f ca="1">Montée!$B$19*((E683-E682)/60)*J683/10</f>
        <v>10.991005691857135</v>
      </c>
      <c r="M683">
        <f t="shared" ca="1" si="54"/>
        <v>8320.9504434240152</v>
      </c>
    </row>
    <row r="684" spans="5:13">
      <c r="E684" s="210">
        <f t="shared" si="50"/>
        <v>679</v>
      </c>
      <c r="F684">
        <f t="shared" ca="1" si="53"/>
        <v>6372.236817473291</v>
      </c>
      <c r="G684">
        <f t="shared" ca="1" si="51"/>
        <v>0.21126070301164626</v>
      </c>
      <c r="H684">
        <f ca="1">INDEX(Aerodynamique!$T$6:$T$546,MATCH(G684,Aerodynamique!$Y$6:$Y$546,1))</f>
        <v>-0.84999999999999254</v>
      </c>
      <c r="I684">
        <f ca="1">INDEX(Aerodynamique!$Z$6:$Z$546,MATCH(G684,Aerodynamique!$Y$6:$Y$546,1))</f>
        <v>1.1677067157912849E-2</v>
      </c>
      <c r="J684">
        <f t="shared" ca="1" si="52"/>
        <v>3437.539822080721</v>
      </c>
      <c r="K684" s="86">
        <f ca="1">INDEX(Aerodynamique!$AC$6:$AC$1006,MATCH(INDEX(Aerodynamique!$W$6:$W$546,MATCH(G684,Aerodynamique!$Y$6:$Y$546,1)),Aerodynamique!$AD$6:$AD$1006,-1))</f>
        <v>-2.620000000000005</v>
      </c>
      <c r="L684">
        <f ca="1">Montée!$B$19*((E684-E683)/60)*J684/10</f>
        <v>10.991005691857135</v>
      </c>
      <c r="M684">
        <f t="shared" ca="1" si="54"/>
        <v>8331.9414491158732</v>
      </c>
    </row>
    <row r="685" spans="5:13">
      <c r="E685" s="210">
        <f t="shared" si="50"/>
        <v>680</v>
      </c>
      <c r="F685">
        <f t="shared" ca="1" si="53"/>
        <v>6361.245811781434</v>
      </c>
      <c r="G685">
        <f t="shared" ca="1" si="51"/>
        <v>0.21089631486102078</v>
      </c>
      <c r="H685">
        <f ca="1">INDEX(Aerodynamique!$T$6:$T$546,MATCH(G685,Aerodynamique!$Y$6:$Y$546,1))</f>
        <v>-0.84999999999999254</v>
      </c>
      <c r="I685">
        <f ca="1">INDEX(Aerodynamique!$Z$6:$Z$546,MATCH(G685,Aerodynamique!$Y$6:$Y$546,1))</f>
        <v>1.1677067157912849E-2</v>
      </c>
      <c r="J685">
        <f t="shared" ca="1" si="52"/>
        <v>3437.539822080721</v>
      </c>
      <c r="K685" s="86">
        <f ca="1">INDEX(Aerodynamique!$AC$6:$AC$1006,MATCH(INDEX(Aerodynamique!$W$6:$W$546,MATCH(G685,Aerodynamique!$Y$6:$Y$546,1)),Aerodynamique!$AD$6:$AD$1006,-1))</f>
        <v>-2.620000000000005</v>
      </c>
      <c r="L685">
        <f ca="1">Montée!$B$19*((E685-E684)/60)*J685/10</f>
        <v>10.991005691857135</v>
      </c>
      <c r="M685">
        <f t="shared" ca="1" si="54"/>
        <v>8342.9324548077311</v>
      </c>
    </row>
    <row r="686" spans="5:13">
      <c r="E686" s="210">
        <f t="shared" si="50"/>
        <v>681</v>
      </c>
      <c r="F686">
        <f t="shared" ca="1" si="53"/>
        <v>6350.254806089577</v>
      </c>
      <c r="G686">
        <f t="shared" ca="1" si="51"/>
        <v>0.21053192671039531</v>
      </c>
      <c r="H686">
        <f ca="1">INDEX(Aerodynamique!$T$6:$T$546,MATCH(G686,Aerodynamique!$Y$6:$Y$546,1))</f>
        <v>-0.84999999999999254</v>
      </c>
      <c r="I686">
        <f ca="1">INDEX(Aerodynamique!$Z$6:$Z$546,MATCH(G686,Aerodynamique!$Y$6:$Y$546,1))</f>
        <v>1.1677067157912849E-2</v>
      </c>
      <c r="J686">
        <f t="shared" ca="1" si="52"/>
        <v>3437.539822080721</v>
      </c>
      <c r="K686" s="86">
        <f ca="1">INDEX(Aerodynamique!$AC$6:$AC$1006,MATCH(INDEX(Aerodynamique!$W$6:$W$546,MATCH(G686,Aerodynamique!$Y$6:$Y$546,1)),Aerodynamique!$AD$6:$AD$1006,-1))</f>
        <v>-2.620000000000005</v>
      </c>
      <c r="L686">
        <f ca="1">Montée!$B$19*((E686-E685)/60)*J686/10</f>
        <v>10.991005691857135</v>
      </c>
      <c r="M686">
        <f t="shared" ca="1" si="54"/>
        <v>8353.9234604995891</v>
      </c>
    </row>
    <row r="687" spans="5:13">
      <c r="E687" s="210">
        <f t="shared" si="50"/>
        <v>682</v>
      </c>
      <c r="F687">
        <f t="shared" ca="1" si="53"/>
        <v>6339.2638003977199</v>
      </c>
      <c r="G687">
        <f t="shared" ca="1" si="51"/>
        <v>0.21016753855976983</v>
      </c>
      <c r="H687">
        <f ca="1">INDEX(Aerodynamique!$T$6:$T$546,MATCH(G687,Aerodynamique!$Y$6:$Y$546,1))</f>
        <v>-0.84999999999999254</v>
      </c>
      <c r="I687">
        <f ca="1">INDEX(Aerodynamique!$Z$6:$Z$546,MATCH(G687,Aerodynamique!$Y$6:$Y$546,1))</f>
        <v>1.1677067157912849E-2</v>
      </c>
      <c r="J687">
        <f t="shared" ca="1" si="52"/>
        <v>3437.539822080721</v>
      </c>
      <c r="K687" s="86">
        <f ca="1">INDEX(Aerodynamique!$AC$6:$AC$1006,MATCH(INDEX(Aerodynamique!$W$6:$W$546,MATCH(G687,Aerodynamique!$Y$6:$Y$546,1)),Aerodynamique!$AD$6:$AD$1006,-1))</f>
        <v>-2.620000000000005</v>
      </c>
      <c r="L687">
        <f ca="1">Montée!$B$19*((E687-E686)/60)*J687/10</f>
        <v>10.991005691857135</v>
      </c>
      <c r="M687">
        <f t="shared" ca="1" si="54"/>
        <v>8364.914466191447</v>
      </c>
    </row>
    <row r="688" spans="5:13">
      <c r="E688" s="210">
        <f t="shared" si="50"/>
        <v>683</v>
      </c>
      <c r="F688">
        <f t="shared" ca="1" si="53"/>
        <v>6328.2727947058629</v>
      </c>
      <c r="G688">
        <f t="shared" ca="1" si="51"/>
        <v>0.20980315040914432</v>
      </c>
      <c r="H688">
        <f ca="1">INDEX(Aerodynamique!$T$6:$T$546,MATCH(G688,Aerodynamique!$Y$6:$Y$546,1))</f>
        <v>-0.84999999999999254</v>
      </c>
      <c r="I688">
        <f ca="1">INDEX(Aerodynamique!$Z$6:$Z$546,MATCH(G688,Aerodynamique!$Y$6:$Y$546,1))</f>
        <v>1.1677067157912849E-2</v>
      </c>
      <c r="J688">
        <f t="shared" ca="1" si="52"/>
        <v>3437.539822080721</v>
      </c>
      <c r="K688" s="86">
        <f ca="1">INDEX(Aerodynamique!$AC$6:$AC$1006,MATCH(INDEX(Aerodynamique!$W$6:$W$546,MATCH(G688,Aerodynamique!$Y$6:$Y$546,1)),Aerodynamique!$AD$6:$AD$1006,-1))</f>
        <v>-2.620000000000005</v>
      </c>
      <c r="L688">
        <f ca="1">Montée!$B$19*((E688-E687)/60)*J688/10</f>
        <v>10.991005691857135</v>
      </c>
      <c r="M688">
        <f t="shared" ca="1" si="54"/>
        <v>8375.9054718833049</v>
      </c>
    </row>
    <row r="689" spans="5:13">
      <c r="E689" s="210">
        <f t="shared" si="50"/>
        <v>684</v>
      </c>
      <c r="F689">
        <f t="shared" ca="1" si="53"/>
        <v>6317.2817890140059</v>
      </c>
      <c r="G689">
        <f t="shared" ca="1" si="51"/>
        <v>0.20943876225851885</v>
      </c>
      <c r="H689">
        <f ca="1">INDEX(Aerodynamique!$T$6:$T$546,MATCH(G689,Aerodynamique!$Y$6:$Y$546,1))</f>
        <v>-0.84999999999999254</v>
      </c>
      <c r="I689">
        <f ca="1">INDEX(Aerodynamique!$Z$6:$Z$546,MATCH(G689,Aerodynamique!$Y$6:$Y$546,1))</f>
        <v>1.1677067157912849E-2</v>
      </c>
      <c r="J689">
        <f t="shared" ca="1" si="52"/>
        <v>3437.539822080721</v>
      </c>
      <c r="K689" s="86">
        <f ca="1">INDEX(Aerodynamique!$AC$6:$AC$1006,MATCH(INDEX(Aerodynamique!$W$6:$W$546,MATCH(G689,Aerodynamique!$Y$6:$Y$546,1)),Aerodynamique!$AD$6:$AD$1006,-1))</f>
        <v>-2.620000000000005</v>
      </c>
      <c r="L689">
        <f ca="1">Montée!$B$19*((E689-E688)/60)*J689/10</f>
        <v>10.991005691857135</v>
      </c>
      <c r="M689">
        <f t="shared" ca="1" si="54"/>
        <v>8386.8964775751629</v>
      </c>
    </row>
    <row r="690" spans="5:13">
      <c r="E690" s="210">
        <f t="shared" si="50"/>
        <v>685</v>
      </c>
      <c r="F690">
        <f t="shared" ca="1" si="53"/>
        <v>6306.2907833221489</v>
      </c>
      <c r="G690">
        <f t="shared" ca="1" si="51"/>
        <v>0.20907437410789334</v>
      </c>
      <c r="H690">
        <f ca="1">INDEX(Aerodynamique!$T$6:$T$546,MATCH(G690,Aerodynamique!$Y$6:$Y$546,1))</f>
        <v>-0.84999999999999254</v>
      </c>
      <c r="I690">
        <f ca="1">INDEX(Aerodynamique!$Z$6:$Z$546,MATCH(G690,Aerodynamique!$Y$6:$Y$546,1))</f>
        <v>1.1677067157912849E-2</v>
      </c>
      <c r="J690">
        <f t="shared" ca="1" si="52"/>
        <v>3437.539822080721</v>
      </c>
      <c r="K690" s="86">
        <f ca="1">INDEX(Aerodynamique!$AC$6:$AC$1006,MATCH(INDEX(Aerodynamique!$W$6:$W$546,MATCH(G690,Aerodynamique!$Y$6:$Y$546,1)),Aerodynamique!$AD$6:$AD$1006,-1))</f>
        <v>-2.620000000000005</v>
      </c>
      <c r="L690">
        <f ca="1">Montée!$B$19*((E690-E689)/60)*J690/10</f>
        <v>10.991005691857135</v>
      </c>
      <c r="M690">
        <f t="shared" ca="1" si="54"/>
        <v>8397.8874832670208</v>
      </c>
    </row>
    <row r="691" spans="5:13">
      <c r="E691" s="210">
        <f t="shared" si="50"/>
        <v>686</v>
      </c>
      <c r="F691">
        <f t="shared" ca="1" si="53"/>
        <v>6295.2997776302918</v>
      </c>
      <c r="G691">
        <f t="shared" ca="1" si="51"/>
        <v>0.20870998595726786</v>
      </c>
      <c r="H691">
        <f ca="1">INDEX(Aerodynamique!$T$6:$T$546,MATCH(G691,Aerodynamique!$Y$6:$Y$546,1))</f>
        <v>-0.84999999999999254</v>
      </c>
      <c r="I691">
        <f ca="1">INDEX(Aerodynamique!$Z$6:$Z$546,MATCH(G691,Aerodynamique!$Y$6:$Y$546,1))</f>
        <v>1.1677067157912849E-2</v>
      </c>
      <c r="J691">
        <f t="shared" ca="1" si="52"/>
        <v>3437.539822080721</v>
      </c>
      <c r="K691" s="86">
        <f ca="1">INDEX(Aerodynamique!$AC$6:$AC$1006,MATCH(INDEX(Aerodynamique!$W$6:$W$546,MATCH(G691,Aerodynamique!$Y$6:$Y$546,1)),Aerodynamique!$AD$6:$AD$1006,-1))</f>
        <v>-2.620000000000005</v>
      </c>
      <c r="L691">
        <f ca="1">Montée!$B$19*((E691-E690)/60)*J691/10</f>
        <v>10.991005691857135</v>
      </c>
      <c r="M691">
        <f t="shared" ca="1" si="54"/>
        <v>8408.8784889588787</v>
      </c>
    </row>
    <row r="692" spans="5:13">
      <c r="E692" s="210">
        <f t="shared" si="50"/>
        <v>687</v>
      </c>
      <c r="F692">
        <f t="shared" ca="1" si="53"/>
        <v>6284.3087719384348</v>
      </c>
      <c r="G692">
        <f t="shared" ca="1" si="51"/>
        <v>0.20834559780664236</v>
      </c>
      <c r="H692">
        <f ca="1">INDEX(Aerodynamique!$T$6:$T$546,MATCH(G692,Aerodynamique!$Y$6:$Y$546,1))</f>
        <v>-0.84999999999999254</v>
      </c>
      <c r="I692">
        <f ca="1">INDEX(Aerodynamique!$Z$6:$Z$546,MATCH(G692,Aerodynamique!$Y$6:$Y$546,1))</f>
        <v>1.1677067157912849E-2</v>
      </c>
      <c r="J692">
        <f t="shared" ca="1" si="52"/>
        <v>3437.539822080721</v>
      </c>
      <c r="K692" s="86">
        <f ca="1">INDEX(Aerodynamique!$AC$6:$AC$1006,MATCH(INDEX(Aerodynamique!$W$6:$W$546,MATCH(G692,Aerodynamique!$Y$6:$Y$546,1)),Aerodynamique!$AD$6:$AD$1006,-1))</f>
        <v>-2.620000000000005</v>
      </c>
      <c r="L692">
        <f ca="1">Montée!$B$19*((E692-E691)/60)*J692/10</f>
        <v>10.991005691857135</v>
      </c>
      <c r="M692">
        <f t="shared" ca="1" si="54"/>
        <v>8419.8694946507367</v>
      </c>
    </row>
    <row r="693" spans="5:13">
      <c r="E693" s="210">
        <f t="shared" si="50"/>
        <v>688</v>
      </c>
      <c r="F693">
        <f t="shared" ca="1" si="53"/>
        <v>6273.3177662465778</v>
      </c>
      <c r="G693">
        <f t="shared" ca="1" si="51"/>
        <v>0.20798120965601688</v>
      </c>
      <c r="H693">
        <f ca="1">INDEX(Aerodynamique!$T$6:$T$546,MATCH(G693,Aerodynamique!$Y$6:$Y$546,1))</f>
        <v>-0.84999999999999254</v>
      </c>
      <c r="I693">
        <f ca="1">INDEX(Aerodynamique!$Z$6:$Z$546,MATCH(G693,Aerodynamique!$Y$6:$Y$546,1))</f>
        <v>1.1677067157912849E-2</v>
      </c>
      <c r="J693">
        <f t="shared" ca="1" si="52"/>
        <v>3437.539822080721</v>
      </c>
      <c r="K693" s="86">
        <f ca="1">INDEX(Aerodynamique!$AC$6:$AC$1006,MATCH(INDEX(Aerodynamique!$W$6:$W$546,MATCH(G693,Aerodynamique!$Y$6:$Y$546,1)),Aerodynamique!$AD$6:$AD$1006,-1))</f>
        <v>-2.620000000000005</v>
      </c>
      <c r="L693">
        <f ca="1">Montée!$B$19*((E693-E692)/60)*J693/10</f>
        <v>10.991005691857135</v>
      </c>
      <c r="M693">
        <f t="shared" ca="1" si="54"/>
        <v>8430.8605003425946</v>
      </c>
    </row>
    <row r="694" spans="5:13">
      <c r="E694" s="210">
        <f t="shared" si="50"/>
        <v>689</v>
      </c>
      <c r="F694">
        <f t="shared" ca="1" si="53"/>
        <v>6262.3267605547207</v>
      </c>
      <c r="G694">
        <f t="shared" ca="1" si="51"/>
        <v>0.2076168215053914</v>
      </c>
      <c r="H694">
        <f ca="1">INDEX(Aerodynamique!$T$6:$T$546,MATCH(G694,Aerodynamique!$Y$6:$Y$546,1))</f>
        <v>-0.84999999999999254</v>
      </c>
      <c r="I694">
        <f ca="1">INDEX(Aerodynamique!$Z$6:$Z$546,MATCH(G694,Aerodynamique!$Y$6:$Y$546,1))</f>
        <v>1.1677067157912849E-2</v>
      </c>
      <c r="J694">
        <f t="shared" ca="1" si="52"/>
        <v>3437.539822080721</v>
      </c>
      <c r="K694" s="86">
        <f ca="1">INDEX(Aerodynamique!$AC$6:$AC$1006,MATCH(INDEX(Aerodynamique!$W$6:$W$546,MATCH(G694,Aerodynamique!$Y$6:$Y$546,1)),Aerodynamique!$AD$6:$AD$1006,-1))</f>
        <v>-2.620000000000005</v>
      </c>
      <c r="L694">
        <f ca="1">Montée!$B$19*((E694-E693)/60)*J694/10</f>
        <v>10.991005691857135</v>
      </c>
      <c r="M694">
        <f t="shared" ca="1" si="54"/>
        <v>8441.8515060344525</v>
      </c>
    </row>
    <row r="695" spans="5:13">
      <c r="E695" s="210">
        <f t="shared" si="50"/>
        <v>690</v>
      </c>
      <c r="F695">
        <f t="shared" ca="1" si="53"/>
        <v>6251.3357548628637</v>
      </c>
      <c r="G695">
        <f t="shared" ca="1" si="51"/>
        <v>0.20725243335476592</v>
      </c>
      <c r="H695">
        <f ca="1">INDEX(Aerodynamique!$T$6:$T$546,MATCH(G695,Aerodynamique!$Y$6:$Y$546,1))</f>
        <v>-0.84999999999999254</v>
      </c>
      <c r="I695">
        <f ca="1">INDEX(Aerodynamique!$Z$6:$Z$546,MATCH(G695,Aerodynamique!$Y$6:$Y$546,1))</f>
        <v>1.1677067157912849E-2</v>
      </c>
      <c r="J695">
        <f t="shared" ca="1" si="52"/>
        <v>3437.539822080721</v>
      </c>
      <c r="K695" s="86">
        <f ca="1">INDEX(Aerodynamique!$AC$6:$AC$1006,MATCH(INDEX(Aerodynamique!$W$6:$W$546,MATCH(G695,Aerodynamique!$Y$6:$Y$546,1)),Aerodynamique!$AD$6:$AD$1006,-1))</f>
        <v>-2.620000000000005</v>
      </c>
      <c r="L695">
        <f ca="1">Montée!$B$19*((E695-E694)/60)*J695/10</f>
        <v>10.991005691857135</v>
      </c>
      <c r="M695">
        <f t="shared" ca="1" si="54"/>
        <v>8452.8425117263105</v>
      </c>
    </row>
    <row r="696" spans="5:13">
      <c r="E696" s="210">
        <f t="shared" si="50"/>
        <v>691</v>
      </c>
      <c r="F696">
        <f t="shared" ca="1" si="53"/>
        <v>6240.3447491710067</v>
      </c>
      <c r="G696">
        <f t="shared" ca="1" si="51"/>
        <v>0.20688804520414042</v>
      </c>
      <c r="H696">
        <f ca="1">INDEX(Aerodynamique!$T$6:$T$546,MATCH(G696,Aerodynamique!$Y$6:$Y$546,1))</f>
        <v>-0.89999999999999258</v>
      </c>
      <c r="I696">
        <f ca="1">INDEX(Aerodynamique!$Z$6:$Z$546,MATCH(G696,Aerodynamique!$Y$6:$Y$546,1))</f>
        <v>1.1646788247146357E-2</v>
      </c>
      <c r="J696">
        <f t="shared" ca="1" si="52"/>
        <v>3428.6262001822197</v>
      </c>
      <c r="K696" s="86">
        <f ca="1">INDEX(Aerodynamique!$AC$6:$AC$1006,MATCH(INDEX(Aerodynamique!$W$6:$W$546,MATCH(G696,Aerodynamique!$Y$6:$Y$546,1)),Aerodynamique!$AD$6:$AD$1006,-1))</f>
        <v>-2.580000000000005</v>
      </c>
      <c r="L696">
        <f ca="1">Montée!$B$19*((E696-E695)/60)*J696/10</f>
        <v>10.962505754665951</v>
      </c>
      <c r="M696">
        <f t="shared" ca="1" si="54"/>
        <v>8463.8050174809759</v>
      </c>
    </row>
    <row r="697" spans="5:13">
      <c r="E697" s="210">
        <f t="shared" si="50"/>
        <v>692</v>
      </c>
      <c r="F697">
        <f t="shared" ca="1" si="53"/>
        <v>6229.3822434163403</v>
      </c>
      <c r="G697">
        <f t="shared" ca="1" si="51"/>
        <v>0.20652460192059055</v>
      </c>
      <c r="H697">
        <f ca="1">INDEX(Aerodynamique!$T$6:$T$546,MATCH(G697,Aerodynamique!$Y$6:$Y$546,1))</f>
        <v>-0.89999999999999258</v>
      </c>
      <c r="I697">
        <f ca="1">INDEX(Aerodynamique!$Z$6:$Z$546,MATCH(G697,Aerodynamique!$Y$6:$Y$546,1))</f>
        <v>1.1646788247146357E-2</v>
      </c>
      <c r="J697">
        <f t="shared" ca="1" si="52"/>
        <v>3428.6262001822197</v>
      </c>
      <c r="K697" s="86">
        <f ca="1">INDEX(Aerodynamique!$AC$6:$AC$1006,MATCH(INDEX(Aerodynamique!$W$6:$W$546,MATCH(G697,Aerodynamique!$Y$6:$Y$546,1)),Aerodynamique!$AD$6:$AD$1006,-1))</f>
        <v>-2.580000000000005</v>
      </c>
      <c r="L697">
        <f ca="1">Montée!$B$19*((E697-E696)/60)*J697/10</f>
        <v>10.962505754665951</v>
      </c>
      <c r="M697">
        <f t="shared" ca="1" si="54"/>
        <v>8474.7675232356414</v>
      </c>
    </row>
    <row r="698" spans="5:13">
      <c r="E698" s="210">
        <f t="shared" si="50"/>
        <v>693</v>
      </c>
      <c r="F698">
        <f t="shared" ca="1" si="53"/>
        <v>6218.4197376616739</v>
      </c>
      <c r="G698">
        <f t="shared" ca="1" si="51"/>
        <v>0.20616115863704065</v>
      </c>
      <c r="H698">
        <f ca="1">INDEX(Aerodynamique!$T$6:$T$546,MATCH(G698,Aerodynamique!$Y$6:$Y$546,1))</f>
        <v>-0.89999999999999258</v>
      </c>
      <c r="I698">
        <f ca="1">INDEX(Aerodynamique!$Z$6:$Z$546,MATCH(G698,Aerodynamique!$Y$6:$Y$546,1))</f>
        <v>1.1646788247146357E-2</v>
      </c>
      <c r="J698">
        <f t="shared" ca="1" si="52"/>
        <v>3428.6262001822197</v>
      </c>
      <c r="K698" s="86">
        <f ca="1">INDEX(Aerodynamique!$AC$6:$AC$1006,MATCH(INDEX(Aerodynamique!$W$6:$W$546,MATCH(G698,Aerodynamique!$Y$6:$Y$546,1)),Aerodynamique!$AD$6:$AD$1006,-1))</f>
        <v>-2.580000000000005</v>
      </c>
      <c r="L698">
        <f ca="1">Montée!$B$19*((E698-E697)/60)*J698/10</f>
        <v>10.962505754665951</v>
      </c>
      <c r="M698">
        <f t="shared" ca="1" si="54"/>
        <v>8485.7300289903069</v>
      </c>
    </row>
    <row r="699" spans="5:13">
      <c r="E699" s="210">
        <f t="shared" si="50"/>
        <v>694</v>
      </c>
      <c r="F699">
        <f t="shared" ca="1" si="53"/>
        <v>6207.4572319070076</v>
      </c>
      <c r="G699">
        <f t="shared" ca="1" si="51"/>
        <v>0.20579771535349076</v>
      </c>
      <c r="H699">
        <f ca="1">INDEX(Aerodynamique!$T$6:$T$546,MATCH(G699,Aerodynamique!$Y$6:$Y$546,1))</f>
        <v>-0.89999999999999258</v>
      </c>
      <c r="I699">
        <f ca="1">INDEX(Aerodynamique!$Z$6:$Z$546,MATCH(G699,Aerodynamique!$Y$6:$Y$546,1))</f>
        <v>1.1646788247146357E-2</v>
      </c>
      <c r="J699">
        <f t="shared" ca="1" si="52"/>
        <v>3428.6262001822197</v>
      </c>
      <c r="K699" s="86">
        <f ca="1">INDEX(Aerodynamique!$AC$6:$AC$1006,MATCH(INDEX(Aerodynamique!$W$6:$W$546,MATCH(G699,Aerodynamique!$Y$6:$Y$546,1)),Aerodynamique!$AD$6:$AD$1006,-1))</f>
        <v>-2.580000000000005</v>
      </c>
      <c r="L699">
        <f ca="1">Montée!$B$19*((E699-E698)/60)*J699/10</f>
        <v>10.962505754665951</v>
      </c>
      <c r="M699">
        <f t="shared" ca="1" si="54"/>
        <v>8496.6925347449724</v>
      </c>
    </row>
    <row r="700" spans="5:13">
      <c r="E700" s="210">
        <f t="shared" si="50"/>
        <v>695</v>
      </c>
      <c r="F700">
        <f t="shared" ca="1" si="53"/>
        <v>6196.4947261523412</v>
      </c>
      <c r="G700">
        <f t="shared" ca="1" si="51"/>
        <v>0.20543427206994086</v>
      </c>
      <c r="H700">
        <f ca="1">INDEX(Aerodynamique!$T$6:$T$546,MATCH(G700,Aerodynamique!$Y$6:$Y$546,1))</f>
        <v>-0.89999999999999258</v>
      </c>
      <c r="I700">
        <f ca="1">INDEX(Aerodynamique!$Z$6:$Z$546,MATCH(G700,Aerodynamique!$Y$6:$Y$546,1))</f>
        <v>1.1646788247146357E-2</v>
      </c>
      <c r="J700">
        <f t="shared" ca="1" si="52"/>
        <v>3428.6262001822197</v>
      </c>
      <c r="K700" s="86">
        <f ca="1">INDEX(Aerodynamique!$AC$6:$AC$1006,MATCH(INDEX(Aerodynamique!$W$6:$W$546,MATCH(G700,Aerodynamique!$Y$6:$Y$546,1)),Aerodynamique!$AD$6:$AD$1006,-1))</f>
        <v>-2.580000000000005</v>
      </c>
      <c r="L700">
        <f ca="1">Montée!$B$19*((E700-E699)/60)*J700/10</f>
        <v>10.962505754665951</v>
      </c>
      <c r="M700">
        <f t="shared" ca="1" si="54"/>
        <v>8507.6550404996378</v>
      </c>
    </row>
    <row r="701" spans="5:13">
      <c r="E701" s="210">
        <f t="shared" si="50"/>
        <v>696</v>
      </c>
      <c r="F701">
        <f t="shared" ca="1" si="53"/>
        <v>6185.5322203976748</v>
      </c>
      <c r="G701">
        <f t="shared" ca="1" si="51"/>
        <v>0.20507082878639096</v>
      </c>
      <c r="H701">
        <f ca="1">INDEX(Aerodynamique!$T$6:$T$546,MATCH(G701,Aerodynamique!$Y$6:$Y$546,1))</f>
        <v>-0.89999999999999258</v>
      </c>
      <c r="I701">
        <f ca="1">INDEX(Aerodynamique!$Z$6:$Z$546,MATCH(G701,Aerodynamique!$Y$6:$Y$546,1))</f>
        <v>1.1646788247146357E-2</v>
      </c>
      <c r="J701">
        <f t="shared" ca="1" si="52"/>
        <v>3428.6262001822197</v>
      </c>
      <c r="K701" s="86">
        <f ca="1">INDEX(Aerodynamique!$AC$6:$AC$1006,MATCH(INDEX(Aerodynamique!$W$6:$W$546,MATCH(G701,Aerodynamique!$Y$6:$Y$546,1)),Aerodynamique!$AD$6:$AD$1006,-1))</f>
        <v>-2.580000000000005</v>
      </c>
      <c r="L701">
        <f ca="1">Montée!$B$19*((E701-E700)/60)*J701/10</f>
        <v>10.962505754665951</v>
      </c>
      <c r="M701">
        <f t="shared" ca="1" si="54"/>
        <v>8518.6175462543033</v>
      </c>
    </row>
    <row r="702" spans="5:13">
      <c r="E702" s="210">
        <f t="shared" si="50"/>
        <v>697</v>
      </c>
      <c r="F702">
        <f t="shared" ca="1" si="53"/>
        <v>6174.5697146430084</v>
      </c>
      <c r="G702">
        <f t="shared" ca="1" si="51"/>
        <v>0.20470738550284107</v>
      </c>
      <c r="H702">
        <f ca="1">INDEX(Aerodynamique!$T$6:$T$546,MATCH(G702,Aerodynamique!$Y$6:$Y$546,1))</f>
        <v>-0.89999999999999258</v>
      </c>
      <c r="I702">
        <f ca="1">INDEX(Aerodynamique!$Z$6:$Z$546,MATCH(G702,Aerodynamique!$Y$6:$Y$546,1))</f>
        <v>1.1646788247146357E-2</v>
      </c>
      <c r="J702">
        <f t="shared" ca="1" si="52"/>
        <v>3428.6262001822197</v>
      </c>
      <c r="K702" s="86">
        <f ca="1">INDEX(Aerodynamique!$AC$6:$AC$1006,MATCH(INDEX(Aerodynamique!$W$6:$W$546,MATCH(G702,Aerodynamique!$Y$6:$Y$546,1)),Aerodynamique!$AD$6:$AD$1006,-1))</f>
        <v>-2.580000000000005</v>
      </c>
      <c r="L702">
        <f ca="1">Montée!$B$19*((E702-E701)/60)*J702/10</f>
        <v>10.962505754665951</v>
      </c>
      <c r="M702">
        <f t="shared" ca="1" si="54"/>
        <v>8529.5800520089688</v>
      </c>
    </row>
    <row r="703" spans="5:13">
      <c r="E703" s="210">
        <f t="shared" si="50"/>
        <v>698</v>
      </c>
      <c r="F703">
        <f t="shared" ca="1" si="53"/>
        <v>6163.607208888342</v>
      </c>
      <c r="G703">
        <f t="shared" ca="1" si="51"/>
        <v>0.20434394221929114</v>
      </c>
      <c r="H703">
        <f ca="1">INDEX(Aerodynamique!$T$6:$T$546,MATCH(G703,Aerodynamique!$Y$6:$Y$546,1))</f>
        <v>-0.89999999999999258</v>
      </c>
      <c r="I703">
        <f ca="1">INDEX(Aerodynamique!$Z$6:$Z$546,MATCH(G703,Aerodynamique!$Y$6:$Y$546,1))</f>
        <v>1.1646788247146357E-2</v>
      </c>
      <c r="J703">
        <f t="shared" ca="1" si="52"/>
        <v>3428.6262001822197</v>
      </c>
      <c r="K703" s="86">
        <f ca="1">INDEX(Aerodynamique!$AC$6:$AC$1006,MATCH(INDEX(Aerodynamique!$W$6:$W$546,MATCH(G703,Aerodynamique!$Y$6:$Y$546,1)),Aerodynamique!$AD$6:$AD$1006,-1))</f>
        <v>-2.580000000000005</v>
      </c>
      <c r="L703">
        <f ca="1">Montée!$B$19*((E703-E702)/60)*J703/10</f>
        <v>10.962505754665951</v>
      </c>
      <c r="M703">
        <f t="shared" ca="1" si="54"/>
        <v>8540.5425577636342</v>
      </c>
    </row>
    <row r="704" spans="5:13">
      <c r="E704" s="210">
        <f t="shared" si="50"/>
        <v>699</v>
      </c>
      <c r="F704">
        <f t="shared" ca="1" si="53"/>
        <v>6152.6447031336756</v>
      </c>
      <c r="G704">
        <f t="shared" ca="1" si="51"/>
        <v>0.20398049893574124</v>
      </c>
      <c r="H704">
        <f ca="1">INDEX(Aerodynamique!$T$6:$T$546,MATCH(G704,Aerodynamique!$Y$6:$Y$546,1))</f>
        <v>-0.89999999999999258</v>
      </c>
      <c r="I704">
        <f ca="1">INDEX(Aerodynamique!$Z$6:$Z$546,MATCH(G704,Aerodynamique!$Y$6:$Y$546,1))</f>
        <v>1.1646788247146357E-2</v>
      </c>
      <c r="J704">
        <f t="shared" ca="1" si="52"/>
        <v>3428.6262001822197</v>
      </c>
      <c r="K704" s="86">
        <f ca="1">INDEX(Aerodynamique!$AC$6:$AC$1006,MATCH(INDEX(Aerodynamique!$W$6:$W$546,MATCH(G704,Aerodynamique!$Y$6:$Y$546,1)),Aerodynamique!$AD$6:$AD$1006,-1))</f>
        <v>-2.580000000000005</v>
      </c>
      <c r="L704">
        <f ca="1">Montée!$B$19*((E704-E703)/60)*J704/10</f>
        <v>10.962505754665951</v>
      </c>
      <c r="M704">
        <f t="shared" ca="1" si="54"/>
        <v>8551.5050635182997</v>
      </c>
    </row>
    <row r="705" spans="5:13">
      <c r="E705" s="210">
        <f t="shared" si="50"/>
        <v>700</v>
      </c>
      <c r="F705">
        <f t="shared" ca="1" si="53"/>
        <v>6141.6821973790093</v>
      </c>
      <c r="G705">
        <f t="shared" ca="1" si="51"/>
        <v>0.20361705565219135</v>
      </c>
      <c r="H705">
        <f ca="1">INDEX(Aerodynamique!$T$6:$T$546,MATCH(G705,Aerodynamique!$Y$6:$Y$546,1))</f>
        <v>-0.89999999999999258</v>
      </c>
      <c r="I705">
        <f ca="1">INDEX(Aerodynamique!$Z$6:$Z$546,MATCH(G705,Aerodynamique!$Y$6:$Y$546,1))</f>
        <v>1.1646788247146357E-2</v>
      </c>
      <c r="J705">
        <f t="shared" ca="1" si="52"/>
        <v>3428.6262001822197</v>
      </c>
      <c r="K705" s="86">
        <f ca="1">INDEX(Aerodynamique!$AC$6:$AC$1006,MATCH(INDEX(Aerodynamique!$W$6:$W$546,MATCH(G705,Aerodynamique!$Y$6:$Y$546,1)),Aerodynamique!$AD$6:$AD$1006,-1))</f>
        <v>-2.580000000000005</v>
      </c>
      <c r="L705">
        <f ca="1">Montée!$B$19*((E705-E704)/60)*J705/10</f>
        <v>10.962505754665951</v>
      </c>
      <c r="M705">
        <f t="shared" ca="1" si="54"/>
        <v>8562.4675692729652</v>
      </c>
    </row>
    <row r="706" spans="5:13">
      <c r="E706" s="210">
        <f t="shared" si="50"/>
        <v>701</v>
      </c>
      <c r="F706">
        <f t="shared" ca="1" si="53"/>
        <v>6130.7196916243429</v>
      </c>
      <c r="G706">
        <f t="shared" ca="1" si="51"/>
        <v>0.20325361236864148</v>
      </c>
      <c r="H706">
        <f ca="1">INDEX(Aerodynamique!$T$6:$T$546,MATCH(G706,Aerodynamique!$Y$6:$Y$546,1))</f>
        <v>-0.89999999999999258</v>
      </c>
      <c r="I706">
        <f ca="1">INDEX(Aerodynamique!$Z$6:$Z$546,MATCH(G706,Aerodynamique!$Y$6:$Y$546,1))</f>
        <v>1.1646788247146357E-2</v>
      </c>
      <c r="J706">
        <f t="shared" ca="1" si="52"/>
        <v>3428.6262001822197</v>
      </c>
      <c r="K706" s="86">
        <f ca="1">INDEX(Aerodynamique!$AC$6:$AC$1006,MATCH(INDEX(Aerodynamique!$W$6:$W$546,MATCH(G706,Aerodynamique!$Y$6:$Y$546,1)),Aerodynamique!$AD$6:$AD$1006,-1))</f>
        <v>-2.580000000000005</v>
      </c>
      <c r="L706">
        <f ca="1">Montée!$B$19*((E706-E705)/60)*J706/10</f>
        <v>10.962505754665951</v>
      </c>
      <c r="M706">
        <f t="shared" ca="1" si="54"/>
        <v>8573.4300750276307</v>
      </c>
    </row>
    <row r="707" spans="5:13">
      <c r="E707" s="210">
        <f t="shared" si="50"/>
        <v>702</v>
      </c>
      <c r="F707">
        <f t="shared" ca="1" si="53"/>
        <v>6119.7571858696765</v>
      </c>
      <c r="G707">
        <f t="shared" ca="1" si="51"/>
        <v>0.20289016908509158</v>
      </c>
      <c r="H707">
        <f ca="1">INDEX(Aerodynamique!$T$6:$T$546,MATCH(G707,Aerodynamique!$Y$6:$Y$546,1))</f>
        <v>-0.89999999999999258</v>
      </c>
      <c r="I707">
        <f ca="1">INDEX(Aerodynamique!$Z$6:$Z$546,MATCH(G707,Aerodynamique!$Y$6:$Y$546,1))</f>
        <v>1.1646788247146357E-2</v>
      </c>
      <c r="J707">
        <f t="shared" ca="1" si="52"/>
        <v>3428.6262001822197</v>
      </c>
      <c r="K707" s="86">
        <f ca="1">INDEX(Aerodynamique!$AC$6:$AC$1006,MATCH(INDEX(Aerodynamique!$W$6:$W$546,MATCH(G707,Aerodynamique!$Y$6:$Y$546,1)),Aerodynamique!$AD$6:$AD$1006,-1))</f>
        <v>-2.580000000000005</v>
      </c>
      <c r="L707">
        <f ca="1">Montée!$B$19*((E707-E706)/60)*J707/10</f>
        <v>10.962505754665951</v>
      </c>
      <c r="M707">
        <f t="shared" ca="1" si="54"/>
        <v>8584.3925807822961</v>
      </c>
    </row>
    <row r="708" spans="5:13">
      <c r="E708" s="210">
        <f t="shared" si="50"/>
        <v>703</v>
      </c>
      <c r="F708">
        <f t="shared" ca="1" si="53"/>
        <v>6108.7946801150101</v>
      </c>
      <c r="G708">
        <f t="shared" ca="1" si="51"/>
        <v>0.20252672580154168</v>
      </c>
      <c r="H708">
        <f ca="1">INDEX(Aerodynamique!$T$6:$T$546,MATCH(G708,Aerodynamique!$Y$6:$Y$546,1))</f>
        <v>-0.89999999999999258</v>
      </c>
      <c r="I708">
        <f ca="1">INDEX(Aerodynamique!$Z$6:$Z$546,MATCH(G708,Aerodynamique!$Y$6:$Y$546,1))</f>
        <v>1.1646788247146357E-2</v>
      </c>
      <c r="J708">
        <f t="shared" ca="1" si="52"/>
        <v>3428.6262001822197</v>
      </c>
      <c r="K708" s="86">
        <f ca="1">INDEX(Aerodynamique!$AC$6:$AC$1006,MATCH(INDEX(Aerodynamique!$W$6:$W$546,MATCH(G708,Aerodynamique!$Y$6:$Y$546,1)),Aerodynamique!$AD$6:$AD$1006,-1))</f>
        <v>-2.580000000000005</v>
      </c>
      <c r="L708">
        <f ca="1">Montée!$B$19*((E708-E707)/60)*J708/10</f>
        <v>10.962505754665951</v>
      </c>
      <c r="M708">
        <f t="shared" ca="1" si="54"/>
        <v>8595.3550865369616</v>
      </c>
    </row>
    <row r="709" spans="5:13">
      <c r="E709" s="210">
        <f t="shared" si="50"/>
        <v>704</v>
      </c>
      <c r="F709">
        <f t="shared" ca="1" si="53"/>
        <v>6097.8321743603437</v>
      </c>
      <c r="G709">
        <f t="shared" ca="1" si="51"/>
        <v>0.20216328251799179</v>
      </c>
      <c r="H709">
        <f ca="1">INDEX(Aerodynamique!$T$6:$T$546,MATCH(G709,Aerodynamique!$Y$6:$Y$546,1))</f>
        <v>-0.89999999999999258</v>
      </c>
      <c r="I709">
        <f ca="1">INDEX(Aerodynamique!$Z$6:$Z$546,MATCH(G709,Aerodynamique!$Y$6:$Y$546,1))</f>
        <v>1.1646788247146357E-2</v>
      </c>
      <c r="J709">
        <f t="shared" ca="1" si="52"/>
        <v>3428.6262001822197</v>
      </c>
      <c r="K709" s="86">
        <f ca="1">INDEX(Aerodynamique!$AC$6:$AC$1006,MATCH(INDEX(Aerodynamique!$W$6:$W$546,MATCH(G709,Aerodynamique!$Y$6:$Y$546,1)),Aerodynamique!$AD$6:$AD$1006,-1))</f>
        <v>-2.580000000000005</v>
      </c>
      <c r="L709">
        <f ca="1">Montée!$B$19*((E709-E708)/60)*J709/10</f>
        <v>10.962505754665951</v>
      </c>
      <c r="M709">
        <f t="shared" ca="1" si="54"/>
        <v>8606.3175922916271</v>
      </c>
    </row>
    <row r="710" spans="5:13">
      <c r="E710" s="210">
        <f t="shared" ref="E710:E773" si="55">E709+$E$3</f>
        <v>705</v>
      </c>
      <c r="F710">
        <f t="shared" ca="1" si="53"/>
        <v>6086.8696686056774</v>
      </c>
      <c r="G710">
        <f t="shared" ref="G710:G773" ca="1" si="56">2*F710*g/(rho*V^2*SRef)</f>
        <v>0.20179983923444189</v>
      </c>
      <c r="H710">
        <f ca="1">INDEX(Aerodynamique!$T$6:$T$546,MATCH(G710,Aerodynamique!$Y$6:$Y$546,1))</f>
        <v>-0.94999999999999263</v>
      </c>
      <c r="I710">
        <f ca="1">INDEX(Aerodynamique!$Z$6:$Z$546,MATCH(G710,Aerodynamique!$Y$6:$Y$546,1))</f>
        <v>1.1617577146392027E-2</v>
      </c>
      <c r="J710">
        <f t="shared" ref="J710:J773" ca="1" si="57">(1/2)*rho*V^2*SRef*I710</f>
        <v>3420.0269242911177</v>
      </c>
      <c r="K710" s="86">
        <f ca="1">INDEX(Aerodynamique!$AC$6:$AC$1006,MATCH(INDEX(Aerodynamique!$W$6:$W$546,MATCH(G710,Aerodynamique!$Y$6:$Y$546,1)),Aerodynamique!$AD$6:$AD$1006,-1))</f>
        <v>-2.5400000000000049</v>
      </c>
      <c r="L710">
        <f ca="1">Montée!$B$19*((E710-E709)/60)*J710/10</f>
        <v>10.935010890560569</v>
      </c>
      <c r="M710">
        <f t="shared" ca="1" si="54"/>
        <v>8617.2526031821872</v>
      </c>
    </row>
    <row r="711" spans="5:13">
      <c r="E711" s="210">
        <f t="shared" si="55"/>
        <v>706</v>
      </c>
      <c r="F711">
        <f t="shared" ref="F711:F774" ca="1" si="58">F710-L710</f>
        <v>6075.9346577151164</v>
      </c>
      <c r="G711">
        <f t="shared" ca="1" si="56"/>
        <v>0.20143730749647423</v>
      </c>
      <c r="H711">
        <f ca="1">INDEX(Aerodynamique!$T$6:$T$546,MATCH(G711,Aerodynamique!$Y$6:$Y$546,1))</f>
        <v>-0.94999999999999263</v>
      </c>
      <c r="I711">
        <f ca="1">INDEX(Aerodynamique!$Z$6:$Z$546,MATCH(G711,Aerodynamique!$Y$6:$Y$546,1))</f>
        <v>1.1617577146392027E-2</v>
      </c>
      <c r="J711">
        <f t="shared" ca="1" si="57"/>
        <v>3420.0269242911177</v>
      </c>
      <c r="K711" s="86">
        <f ca="1">INDEX(Aerodynamique!$AC$6:$AC$1006,MATCH(INDEX(Aerodynamique!$W$6:$W$546,MATCH(G711,Aerodynamique!$Y$6:$Y$546,1)),Aerodynamique!$AD$6:$AD$1006,-1))</f>
        <v>-2.5400000000000049</v>
      </c>
      <c r="L711">
        <f ca="1">Montée!$B$19*((E711-E710)/60)*J711/10</f>
        <v>10.935010890560569</v>
      </c>
      <c r="M711">
        <f t="shared" ca="1" si="54"/>
        <v>8628.1876140727472</v>
      </c>
    </row>
    <row r="712" spans="5:13">
      <c r="E712" s="210">
        <f t="shared" si="55"/>
        <v>707</v>
      </c>
      <c r="F712">
        <f t="shared" ca="1" si="58"/>
        <v>6064.9996468245554</v>
      </c>
      <c r="G712">
        <f t="shared" ca="1" si="56"/>
        <v>0.20107477575850663</v>
      </c>
      <c r="H712">
        <f ca="1">INDEX(Aerodynamique!$T$6:$T$546,MATCH(G712,Aerodynamique!$Y$6:$Y$546,1))</f>
        <v>-0.94999999999999263</v>
      </c>
      <c r="I712">
        <f ca="1">INDEX(Aerodynamique!$Z$6:$Z$546,MATCH(G712,Aerodynamique!$Y$6:$Y$546,1))</f>
        <v>1.1617577146392027E-2</v>
      </c>
      <c r="J712">
        <f t="shared" ca="1" si="57"/>
        <v>3420.0269242911177</v>
      </c>
      <c r="K712" s="86">
        <f ca="1">INDEX(Aerodynamique!$AC$6:$AC$1006,MATCH(INDEX(Aerodynamique!$W$6:$W$546,MATCH(G712,Aerodynamique!$Y$6:$Y$546,1)),Aerodynamique!$AD$6:$AD$1006,-1))</f>
        <v>-2.5400000000000049</v>
      </c>
      <c r="L712">
        <f ca="1">Montée!$B$19*((E712-E711)/60)*J712/10</f>
        <v>10.935010890560569</v>
      </c>
      <c r="M712">
        <f t="shared" ref="M712:M775" ca="1" si="59">M711+L712</f>
        <v>8639.1226249633073</v>
      </c>
    </row>
    <row r="713" spans="5:13">
      <c r="E713" s="210">
        <f t="shared" si="55"/>
        <v>708</v>
      </c>
      <c r="F713">
        <f t="shared" ca="1" si="58"/>
        <v>6054.0646359339944</v>
      </c>
      <c r="G713">
        <f t="shared" ca="1" si="56"/>
        <v>0.200712244020539</v>
      </c>
      <c r="H713">
        <f ca="1">INDEX(Aerodynamique!$T$6:$T$546,MATCH(G713,Aerodynamique!$Y$6:$Y$546,1))</f>
        <v>-0.94999999999999263</v>
      </c>
      <c r="I713">
        <f ca="1">INDEX(Aerodynamique!$Z$6:$Z$546,MATCH(G713,Aerodynamique!$Y$6:$Y$546,1))</f>
        <v>1.1617577146392027E-2</v>
      </c>
      <c r="J713">
        <f t="shared" ca="1" si="57"/>
        <v>3420.0269242911177</v>
      </c>
      <c r="K713" s="86">
        <f ca="1">INDEX(Aerodynamique!$AC$6:$AC$1006,MATCH(INDEX(Aerodynamique!$W$6:$W$546,MATCH(G713,Aerodynamique!$Y$6:$Y$546,1)),Aerodynamique!$AD$6:$AD$1006,-1))</f>
        <v>-2.5400000000000049</v>
      </c>
      <c r="L713">
        <f ca="1">Montée!$B$19*((E713-E712)/60)*J713/10</f>
        <v>10.935010890560569</v>
      </c>
      <c r="M713">
        <f t="shared" ca="1" si="59"/>
        <v>8650.0576358538674</v>
      </c>
    </row>
    <row r="714" spans="5:13">
      <c r="E714" s="210">
        <f t="shared" si="55"/>
        <v>709</v>
      </c>
      <c r="F714">
        <f t="shared" ca="1" si="58"/>
        <v>6043.1296250434334</v>
      </c>
      <c r="G714">
        <f t="shared" ca="1" si="56"/>
        <v>0.20034971228257134</v>
      </c>
      <c r="H714">
        <f ca="1">INDEX(Aerodynamique!$T$6:$T$546,MATCH(G714,Aerodynamique!$Y$6:$Y$546,1))</f>
        <v>-0.94999999999999263</v>
      </c>
      <c r="I714">
        <f ca="1">INDEX(Aerodynamique!$Z$6:$Z$546,MATCH(G714,Aerodynamique!$Y$6:$Y$546,1))</f>
        <v>1.1617577146392027E-2</v>
      </c>
      <c r="J714">
        <f t="shared" ca="1" si="57"/>
        <v>3420.0269242911177</v>
      </c>
      <c r="K714" s="86">
        <f ca="1">INDEX(Aerodynamique!$AC$6:$AC$1006,MATCH(INDEX(Aerodynamique!$W$6:$W$546,MATCH(G714,Aerodynamique!$Y$6:$Y$546,1)),Aerodynamique!$AD$6:$AD$1006,-1))</f>
        <v>-2.5400000000000049</v>
      </c>
      <c r="L714">
        <f ca="1">Montée!$B$19*((E714-E713)/60)*J714/10</f>
        <v>10.935010890560569</v>
      </c>
      <c r="M714">
        <f t="shared" ca="1" si="59"/>
        <v>8660.9926467444275</v>
      </c>
    </row>
    <row r="715" spans="5:13">
      <c r="E715" s="210">
        <f t="shared" si="55"/>
        <v>710</v>
      </c>
      <c r="F715">
        <f t="shared" ca="1" si="58"/>
        <v>6032.1946141528724</v>
      </c>
      <c r="G715">
        <f t="shared" ca="1" si="56"/>
        <v>0.19998718054460374</v>
      </c>
      <c r="H715">
        <f ca="1">INDEX(Aerodynamique!$T$6:$T$546,MATCH(G715,Aerodynamique!$Y$6:$Y$546,1))</f>
        <v>-0.94999999999999263</v>
      </c>
      <c r="I715">
        <f ca="1">INDEX(Aerodynamique!$Z$6:$Z$546,MATCH(G715,Aerodynamique!$Y$6:$Y$546,1))</f>
        <v>1.1617577146392027E-2</v>
      </c>
      <c r="J715">
        <f t="shared" ca="1" si="57"/>
        <v>3420.0269242911177</v>
      </c>
      <c r="K715" s="86">
        <f ca="1">INDEX(Aerodynamique!$AC$6:$AC$1006,MATCH(INDEX(Aerodynamique!$W$6:$W$546,MATCH(G715,Aerodynamique!$Y$6:$Y$546,1)),Aerodynamique!$AD$6:$AD$1006,-1))</f>
        <v>-2.5400000000000049</v>
      </c>
      <c r="L715">
        <f ca="1">Montée!$B$19*((E715-E714)/60)*J715/10</f>
        <v>10.935010890560569</v>
      </c>
      <c r="M715">
        <f t="shared" ca="1" si="59"/>
        <v>8671.9276576349876</v>
      </c>
    </row>
    <row r="716" spans="5:13">
      <c r="E716" s="210">
        <f t="shared" si="55"/>
        <v>711</v>
      </c>
      <c r="F716">
        <f t="shared" ca="1" si="58"/>
        <v>6021.2596032623114</v>
      </c>
      <c r="G716">
        <f t="shared" ca="1" si="56"/>
        <v>0.19962464880663611</v>
      </c>
      <c r="H716">
        <f ca="1">INDEX(Aerodynamique!$T$6:$T$546,MATCH(G716,Aerodynamique!$Y$6:$Y$546,1))</f>
        <v>-0.94999999999999263</v>
      </c>
      <c r="I716">
        <f ca="1">INDEX(Aerodynamique!$Z$6:$Z$546,MATCH(G716,Aerodynamique!$Y$6:$Y$546,1))</f>
        <v>1.1617577146392027E-2</v>
      </c>
      <c r="J716">
        <f t="shared" ca="1" si="57"/>
        <v>3420.0269242911177</v>
      </c>
      <c r="K716" s="86">
        <f ca="1">INDEX(Aerodynamique!$AC$6:$AC$1006,MATCH(INDEX(Aerodynamique!$W$6:$W$546,MATCH(G716,Aerodynamique!$Y$6:$Y$546,1)),Aerodynamique!$AD$6:$AD$1006,-1))</f>
        <v>-2.5400000000000049</v>
      </c>
      <c r="L716">
        <f ca="1">Montée!$B$19*((E716-E715)/60)*J716/10</f>
        <v>10.935010890560569</v>
      </c>
      <c r="M716">
        <f t="shared" ca="1" si="59"/>
        <v>8682.8626685255476</v>
      </c>
    </row>
    <row r="717" spans="5:13">
      <c r="E717" s="210">
        <f t="shared" si="55"/>
        <v>712</v>
      </c>
      <c r="F717">
        <f t="shared" ca="1" si="58"/>
        <v>6010.3245923717504</v>
      </c>
      <c r="G717">
        <f t="shared" ca="1" si="56"/>
        <v>0.19926211706866845</v>
      </c>
      <c r="H717">
        <f ca="1">INDEX(Aerodynamique!$T$6:$T$546,MATCH(G717,Aerodynamique!$Y$6:$Y$546,1))</f>
        <v>-0.94999999999999263</v>
      </c>
      <c r="I717">
        <f ca="1">INDEX(Aerodynamique!$Z$6:$Z$546,MATCH(G717,Aerodynamique!$Y$6:$Y$546,1))</f>
        <v>1.1617577146392027E-2</v>
      </c>
      <c r="J717">
        <f t="shared" ca="1" si="57"/>
        <v>3420.0269242911177</v>
      </c>
      <c r="K717" s="86">
        <f ca="1">INDEX(Aerodynamique!$AC$6:$AC$1006,MATCH(INDEX(Aerodynamique!$W$6:$W$546,MATCH(G717,Aerodynamique!$Y$6:$Y$546,1)),Aerodynamique!$AD$6:$AD$1006,-1))</f>
        <v>-2.5400000000000049</v>
      </c>
      <c r="L717">
        <f ca="1">Montée!$B$19*((E717-E716)/60)*J717/10</f>
        <v>10.935010890560569</v>
      </c>
      <c r="M717">
        <f t="shared" ca="1" si="59"/>
        <v>8693.7976794161077</v>
      </c>
    </row>
    <row r="718" spans="5:13">
      <c r="E718" s="210">
        <f t="shared" si="55"/>
        <v>713</v>
      </c>
      <c r="F718">
        <f t="shared" ca="1" si="58"/>
        <v>5999.3895814811895</v>
      </c>
      <c r="G718">
        <f t="shared" ca="1" si="56"/>
        <v>0.19889958533070082</v>
      </c>
      <c r="H718">
        <f ca="1">INDEX(Aerodynamique!$T$6:$T$546,MATCH(G718,Aerodynamique!$Y$6:$Y$546,1))</f>
        <v>-0.94999999999999263</v>
      </c>
      <c r="I718">
        <f ca="1">INDEX(Aerodynamique!$Z$6:$Z$546,MATCH(G718,Aerodynamique!$Y$6:$Y$546,1))</f>
        <v>1.1617577146392027E-2</v>
      </c>
      <c r="J718">
        <f t="shared" ca="1" si="57"/>
        <v>3420.0269242911177</v>
      </c>
      <c r="K718" s="86">
        <f ca="1">INDEX(Aerodynamique!$AC$6:$AC$1006,MATCH(INDEX(Aerodynamique!$W$6:$W$546,MATCH(G718,Aerodynamique!$Y$6:$Y$546,1)),Aerodynamique!$AD$6:$AD$1006,-1))</f>
        <v>-2.5400000000000049</v>
      </c>
      <c r="L718">
        <f ca="1">Montée!$B$19*((E718-E717)/60)*J718/10</f>
        <v>10.935010890560569</v>
      </c>
      <c r="M718">
        <f t="shared" ca="1" si="59"/>
        <v>8704.7326903066678</v>
      </c>
    </row>
    <row r="719" spans="5:13">
      <c r="E719" s="210">
        <f t="shared" si="55"/>
        <v>714</v>
      </c>
      <c r="F719">
        <f t="shared" ca="1" si="58"/>
        <v>5988.4545705906285</v>
      </c>
      <c r="G719">
        <f t="shared" ca="1" si="56"/>
        <v>0.19853705359273321</v>
      </c>
      <c r="H719">
        <f ca="1">INDEX(Aerodynamique!$T$6:$T$546,MATCH(G719,Aerodynamique!$Y$6:$Y$546,1))</f>
        <v>-0.94999999999999263</v>
      </c>
      <c r="I719">
        <f ca="1">INDEX(Aerodynamique!$Z$6:$Z$546,MATCH(G719,Aerodynamique!$Y$6:$Y$546,1))</f>
        <v>1.1617577146392027E-2</v>
      </c>
      <c r="J719">
        <f t="shared" ca="1" si="57"/>
        <v>3420.0269242911177</v>
      </c>
      <c r="K719" s="86">
        <f ca="1">INDEX(Aerodynamique!$AC$6:$AC$1006,MATCH(INDEX(Aerodynamique!$W$6:$W$546,MATCH(G719,Aerodynamique!$Y$6:$Y$546,1)),Aerodynamique!$AD$6:$AD$1006,-1))</f>
        <v>-2.5400000000000049</v>
      </c>
      <c r="L719">
        <f ca="1">Montée!$B$19*((E719-E718)/60)*J719/10</f>
        <v>10.935010890560569</v>
      </c>
      <c r="M719">
        <f t="shared" ca="1" si="59"/>
        <v>8715.6677011972279</v>
      </c>
    </row>
    <row r="720" spans="5:13">
      <c r="E720" s="210">
        <f t="shared" si="55"/>
        <v>715</v>
      </c>
      <c r="F720">
        <f t="shared" ca="1" si="58"/>
        <v>5977.5195597000675</v>
      </c>
      <c r="G720">
        <f t="shared" ca="1" si="56"/>
        <v>0.19817452185476556</v>
      </c>
      <c r="H720">
        <f ca="1">INDEX(Aerodynamique!$T$6:$T$546,MATCH(G720,Aerodynamique!$Y$6:$Y$546,1))</f>
        <v>-0.94999999999999263</v>
      </c>
      <c r="I720">
        <f ca="1">INDEX(Aerodynamique!$Z$6:$Z$546,MATCH(G720,Aerodynamique!$Y$6:$Y$546,1))</f>
        <v>1.1617577146392027E-2</v>
      </c>
      <c r="J720">
        <f t="shared" ca="1" si="57"/>
        <v>3420.0269242911177</v>
      </c>
      <c r="K720" s="86">
        <f ca="1">INDEX(Aerodynamique!$AC$6:$AC$1006,MATCH(INDEX(Aerodynamique!$W$6:$W$546,MATCH(G720,Aerodynamique!$Y$6:$Y$546,1)),Aerodynamique!$AD$6:$AD$1006,-1))</f>
        <v>-2.5400000000000049</v>
      </c>
      <c r="L720">
        <f ca="1">Montée!$B$19*((E720-E719)/60)*J720/10</f>
        <v>10.935010890560569</v>
      </c>
      <c r="M720">
        <f t="shared" ca="1" si="59"/>
        <v>8726.6027120877879</v>
      </c>
    </row>
    <row r="721" spans="5:13">
      <c r="E721" s="210">
        <f t="shared" si="55"/>
        <v>716</v>
      </c>
      <c r="F721">
        <f t="shared" ca="1" si="58"/>
        <v>5966.5845488095065</v>
      </c>
      <c r="G721">
        <f t="shared" ca="1" si="56"/>
        <v>0.19781199011679793</v>
      </c>
      <c r="H721">
        <f ca="1">INDEX(Aerodynamique!$T$6:$T$546,MATCH(G721,Aerodynamique!$Y$6:$Y$546,1))</f>
        <v>-0.94999999999999263</v>
      </c>
      <c r="I721">
        <f ca="1">INDEX(Aerodynamique!$Z$6:$Z$546,MATCH(G721,Aerodynamique!$Y$6:$Y$546,1))</f>
        <v>1.1617577146392027E-2</v>
      </c>
      <c r="J721">
        <f t="shared" ca="1" si="57"/>
        <v>3420.0269242911177</v>
      </c>
      <c r="K721" s="86">
        <f ca="1">INDEX(Aerodynamique!$AC$6:$AC$1006,MATCH(INDEX(Aerodynamique!$W$6:$W$546,MATCH(G721,Aerodynamique!$Y$6:$Y$546,1)),Aerodynamique!$AD$6:$AD$1006,-1))</f>
        <v>-2.5400000000000049</v>
      </c>
      <c r="L721">
        <f ca="1">Montée!$B$19*((E721-E720)/60)*J721/10</f>
        <v>10.935010890560569</v>
      </c>
      <c r="M721">
        <f t="shared" ca="1" si="59"/>
        <v>8737.537722978348</v>
      </c>
    </row>
    <row r="722" spans="5:13">
      <c r="E722" s="210">
        <f t="shared" si="55"/>
        <v>717</v>
      </c>
      <c r="F722">
        <f t="shared" ca="1" si="58"/>
        <v>5955.6495379189455</v>
      </c>
      <c r="G722">
        <f t="shared" ca="1" si="56"/>
        <v>0.19744945837883032</v>
      </c>
      <c r="H722">
        <f ca="1">INDEX(Aerodynamique!$T$6:$T$546,MATCH(G722,Aerodynamique!$Y$6:$Y$546,1))</f>
        <v>-0.94999999999999263</v>
      </c>
      <c r="I722">
        <f ca="1">INDEX(Aerodynamique!$Z$6:$Z$546,MATCH(G722,Aerodynamique!$Y$6:$Y$546,1))</f>
        <v>1.1617577146392027E-2</v>
      </c>
      <c r="J722">
        <f t="shared" ca="1" si="57"/>
        <v>3420.0269242911177</v>
      </c>
      <c r="K722" s="86">
        <f ca="1">INDEX(Aerodynamique!$AC$6:$AC$1006,MATCH(INDEX(Aerodynamique!$W$6:$W$546,MATCH(G722,Aerodynamique!$Y$6:$Y$546,1)),Aerodynamique!$AD$6:$AD$1006,-1))</f>
        <v>-2.5400000000000049</v>
      </c>
      <c r="L722">
        <f ca="1">Montée!$B$19*((E722-E721)/60)*J722/10</f>
        <v>10.935010890560569</v>
      </c>
      <c r="M722">
        <f t="shared" ca="1" si="59"/>
        <v>8748.4727338689081</v>
      </c>
    </row>
    <row r="723" spans="5:13">
      <c r="E723" s="210">
        <f t="shared" si="55"/>
        <v>718</v>
      </c>
      <c r="F723">
        <f t="shared" ca="1" si="58"/>
        <v>5944.7145270283845</v>
      </c>
      <c r="G723">
        <f t="shared" ca="1" si="56"/>
        <v>0.19708692664086266</v>
      </c>
      <c r="H723">
        <f ca="1">INDEX(Aerodynamique!$T$6:$T$546,MATCH(G723,Aerodynamique!$Y$6:$Y$546,1))</f>
        <v>-0.99999999999999267</v>
      </c>
      <c r="I723">
        <f ca="1">INDEX(Aerodynamique!$Z$6:$Z$546,MATCH(G723,Aerodynamique!$Y$6:$Y$546,1))</f>
        <v>1.1589433855649854E-2</v>
      </c>
      <c r="J723">
        <f t="shared" ca="1" si="57"/>
        <v>3411.7419944074131</v>
      </c>
      <c r="K723" s="86">
        <f ca="1">INDEX(Aerodynamique!$AC$6:$AC$1006,MATCH(INDEX(Aerodynamique!$W$6:$W$546,MATCH(G723,Aerodynamique!$Y$6:$Y$546,1)),Aerodynamique!$AD$6:$AD$1006,-1))</f>
        <v>-2.5000000000000049</v>
      </c>
      <c r="L723">
        <f ca="1">Montée!$B$19*((E723-E722)/60)*J723/10</f>
        <v>10.90852109954098</v>
      </c>
      <c r="M723">
        <f t="shared" ca="1" si="59"/>
        <v>8759.3812549684499</v>
      </c>
    </row>
    <row r="724" spans="5:13">
      <c r="E724" s="210">
        <f t="shared" si="55"/>
        <v>719</v>
      </c>
      <c r="F724">
        <f t="shared" ca="1" si="58"/>
        <v>5933.8060059288437</v>
      </c>
      <c r="G724">
        <f t="shared" ca="1" si="56"/>
        <v>0.19672527312698396</v>
      </c>
      <c r="H724">
        <f ca="1">INDEX(Aerodynamique!$T$6:$T$546,MATCH(G724,Aerodynamique!$Y$6:$Y$546,1))</f>
        <v>-0.99999999999999267</v>
      </c>
      <c r="I724">
        <f ca="1">INDEX(Aerodynamique!$Z$6:$Z$546,MATCH(G724,Aerodynamique!$Y$6:$Y$546,1))</f>
        <v>1.1589433855649854E-2</v>
      </c>
      <c r="J724">
        <f t="shared" ca="1" si="57"/>
        <v>3411.7419944074131</v>
      </c>
      <c r="K724" s="86">
        <f ca="1">INDEX(Aerodynamique!$AC$6:$AC$1006,MATCH(INDEX(Aerodynamique!$W$6:$W$546,MATCH(G724,Aerodynamique!$Y$6:$Y$546,1)),Aerodynamique!$AD$6:$AD$1006,-1))</f>
        <v>-2.5000000000000049</v>
      </c>
      <c r="L724">
        <f ca="1">Montée!$B$19*((E724-E723)/60)*J724/10</f>
        <v>10.90852109954098</v>
      </c>
      <c r="M724">
        <f t="shared" ca="1" si="59"/>
        <v>8770.2897760679916</v>
      </c>
    </row>
    <row r="725" spans="5:13">
      <c r="E725" s="210">
        <f t="shared" si="55"/>
        <v>720</v>
      </c>
      <c r="F725">
        <f t="shared" ca="1" si="58"/>
        <v>5922.8974848293028</v>
      </c>
      <c r="G725">
        <f t="shared" ca="1" si="56"/>
        <v>0.19636361961310531</v>
      </c>
      <c r="H725">
        <f ca="1">INDEX(Aerodynamique!$T$6:$T$546,MATCH(G725,Aerodynamique!$Y$6:$Y$546,1))</f>
        <v>-0.99999999999999267</v>
      </c>
      <c r="I725">
        <f ca="1">INDEX(Aerodynamique!$Z$6:$Z$546,MATCH(G725,Aerodynamique!$Y$6:$Y$546,1))</f>
        <v>1.1589433855649854E-2</v>
      </c>
      <c r="J725">
        <f t="shared" ca="1" si="57"/>
        <v>3411.7419944074131</v>
      </c>
      <c r="K725" s="86">
        <f ca="1">INDEX(Aerodynamique!$AC$6:$AC$1006,MATCH(INDEX(Aerodynamique!$W$6:$W$546,MATCH(G725,Aerodynamique!$Y$6:$Y$546,1)),Aerodynamique!$AD$6:$AD$1006,-1))</f>
        <v>-2.5000000000000049</v>
      </c>
      <c r="L725">
        <f ca="1">Montée!$B$19*((E725-E724)/60)*J725/10</f>
        <v>10.90852109954098</v>
      </c>
      <c r="M725">
        <f t="shared" ca="1" si="59"/>
        <v>8781.1982971675334</v>
      </c>
    </row>
    <row r="726" spans="5:13">
      <c r="E726" s="210">
        <f t="shared" si="55"/>
        <v>721</v>
      </c>
      <c r="F726">
        <f t="shared" ca="1" si="58"/>
        <v>5911.988963729762</v>
      </c>
      <c r="G726">
        <f t="shared" ca="1" si="56"/>
        <v>0.1960019660992266</v>
      </c>
      <c r="H726">
        <f ca="1">INDEX(Aerodynamique!$T$6:$T$546,MATCH(G726,Aerodynamique!$Y$6:$Y$546,1))</f>
        <v>-0.99999999999999267</v>
      </c>
      <c r="I726">
        <f ca="1">INDEX(Aerodynamique!$Z$6:$Z$546,MATCH(G726,Aerodynamique!$Y$6:$Y$546,1))</f>
        <v>1.1589433855649854E-2</v>
      </c>
      <c r="J726">
        <f t="shared" ca="1" si="57"/>
        <v>3411.7419944074131</v>
      </c>
      <c r="K726" s="86">
        <f ca="1">INDEX(Aerodynamique!$AC$6:$AC$1006,MATCH(INDEX(Aerodynamique!$W$6:$W$546,MATCH(G726,Aerodynamique!$Y$6:$Y$546,1)),Aerodynamique!$AD$6:$AD$1006,-1))</f>
        <v>-2.5000000000000049</v>
      </c>
      <c r="L726">
        <f ca="1">Montée!$B$19*((E726-E725)/60)*J726/10</f>
        <v>10.90852109954098</v>
      </c>
      <c r="M726">
        <f t="shared" ca="1" si="59"/>
        <v>8792.1068182670751</v>
      </c>
    </row>
    <row r="727" spans="5:13">
      <c r="E727" s="210">
        <f t="shared" si="55"/>
        <v>722</v>
      </c>
      <c r="F727">
        <f t="shared" ca="1" si="58"/>
        <v>5901.0804426302211</v>
      </c>
      <c r="G727">
        <f t="shared" ca="1" si="56"/>
        <v>0.19564031258534792</v>
      </c>
      <c r="H727">
        <f ca="1">INDEX(Aerodynamique!$T$6:$T$546,MATCH(G727,Aerodynamique!$Y$6:$Y$546,1))</f>
        <v>-0.99999999999999267</v>
      </c>
      <c r="I727">
        <f ca="1">INDEX(Aerodynamique!$Z$6:$Z$546,MATCH(G727,Aerodynamique!$Y$6:$Y$546,1))</f>
        <v>1.1589433855649854E-2</v>
      </c>
      <c r="J727">
        <f t="shared" ca="1" si="57"/>
        <v>3411.7419944074131</v>
      </c>
      <c r="K727" s="86">
        <f ca="1">INDEX(Aerodynamique!$AC$6:$AC$1006,MATCH(INDEX(Aerodynamique!$W$6:$W$546,MATCH(G727,Aerodynamique!$Y$6:$Y$546,1)),Aerodynamique!$AD$6:$AD$1006,-1))</f>
        <v>-2.5000000000000049</v>
      </c>
      <c r="L727">
        <f ca="1">Montée!$B$19*((E727-E726)/60)*J727/10</f>
        <v>10.90852109954098</v>
      </c>
      <c r="M727">
        <f t="shared" ca="1" si="59"/>
        <v>8803.0153393666169</v>
      </c>
    </row>
    <row r="728" spans="5:13">
      <c r="E728" s="210">
        <f t="shared" si="55"/>
        <v>723</v>
      </c>
      <c r="F728">
        <f t="shared" ca="1" si="58"/>
        <v>5890.1719215306803</v>
      </c>
      <c r="G728">
        <f t="shared" ca="1" si="56"/>
        <v>0.19527865907146921</v>
      </c>
      <c r="H728">
        <f ca="1">INDEX(Aerodynamique!$T$6:$T$546,MATCH(G728,Aerodynamique!$Y$6:$Y$546,1))</f>
        <v>-0.99999999999999267</v>
      </c>
      <c r="I728">
        <f ca="1">INDEX(Aerodynamique!$Z$6:$Z$546,MATCH(G728,Aerodynamique!$Y$6:$Y$546,1))</f>
        <v>1.1589433855649854E-2</v>
      </c>
      <c r="J728">
        <f t="shared" ca="1" si="57"/>
        <v>3411.7419944074131</v>
      </c>
      <c r="K728" s="86">
        <f ca="1">INDEX(Aerodynamique!$AC$6:$AC$1006,MATCH(INDEX(Aerodynamique!$W$6:$W$546,MATCH(G728,Aerodynamique!$Y$6:$Y$546,1)),Aerodynamique!$AD$6:$AD$1006,-1))</f>
        <v>-2.5000000000000049</v>
      </c>
      <c r="L728">
        <f ca="1">Montée!$B$19*((E728-E727)/60)*J728/10</f>
        <v>10.90852109954098</v>
      </c>
      <c r="M728">
        <f t="shared" ca="1" si="59"/>
        <v>8813.9238604661587</v>
      </c>
    </row>
    <row r="729" spans="5:13">
      <c r="E729" s="210">
        <f t="shared" si="55"/>
        <v>724</v>
      </c>
      <c r="F729">
        <f t="shared" ca="1" si="58"/>
        <v>5879.2634004311394</v>
      </c>
      <c r="G729">
        <f t="shared" ca="1" si="56"/>
        <v>0.19491700555759053</v>
      </c>
      <c r="H729">
        <f ca="1">INDEX(Aerodynamique!$T$6:$T$546,MATCH(G729,Aerodynamique!$Y$6:$Y$546,1))</f>
        <v>-0.99999999999999267</v>
      </c>
      <c r="I729">
        <f ca="1">INDEX(Aerodynamique!$Z$6:$Z$546,MATCH(G729,Aerodynamique!$Y$6:$Y$546,1))</f>
        <v>1.1589433855649854E-2</v>
      </c>
      <c r="J729">
        <f t="shared" ca="1" si="57"/>
        <v>3411.7419944074131</v>
      </c>
      <c r="K729" s="86">
        <f ca="1">INDEX(Aerodynamique!$AC$6:$AC$1006,MATCH(INDEX(Aerodynamique!$W$6:$W$546,MATCH(G729,Aerodynamique!$Y$6:$Y$546,1)),Aerodynamique!$AD$6:$AD$1006,-1))</f>
        <v>-2.5000000000000049</v>
      </c>
      <c r="L729">
        <f ca="1">Montée!$B$19*((E729-E728)/60)*J729/10</f>
        <v>10.90852109954098</v>
      </c>
      <c r="M729">
        <f t="shared" ca="1" si="59"/>
        <v>8824.8323815657004</v>
      </c>
    </row>
    <row r="730" spans="5:13">
      <c r="E730" s="210">
        <f t="shared" si="55"/>
        <v>725</v>
      </c>
      <c r="F730">
        <f t="shared" ca="1" si="58"/>
        <v>5868.3548793315986</v>
      </c>
      <c r="G730">
        <f t="shared" ca="1" si="56"/>
        <v>0.19455535204371183</v>
      </c>
      <c r="H730">
        <f ca="1">INDEX(Aerodynamique!$T$6:$T$546,MATCH(G730,Aerodynamique!$Y$6:$Y$546,1))</f>
        <v>-0.99999999999999267</v>
      </c>
      <c r="I730">
        <f ca="1">INDEX(Aerodynamique!$Z$6:$Z$546,MATCH(G730,Aerodynamique!$Y$6:$Y$546,1))</f>
        <v>1.1589433855649854E-2</v>
      </c>
      <c r="J730">
        <f t="shared" ca="1" si="57"/>
        <v>3411.7419944074131</v>
      </c>
      <c r="K730" s="86">
        <f ca="1">INDEX(Aerodynamique!$AC$6:$AC$1006,MATCH(INDEX(Aerodynamique!$W$6:$W$546,MATCH(G730,Aerodynamique!$Y$6:$Y$546,1)),Aerodynamique!$AD$6:$AD$1006,-1))</f>
        <v>-2.5000000000000049</v>
      </c>
      <c r="L730">
        <f ca="1">Montée!$B$19*((E730-E729)/60)*J730/10</f>
        <v>10.90852109954098</v>
      </c>
      <c r="M730">
        <f t="shared" ca="1" si="59"/>
        <v>8835.7409026652422</v>
      </c>
    </row>
    <row r="731" spans="5:13">
      <c r="E731" s="210">
        <f t="shared" si="55"/>
        <v>726</v>
      </c>
      <c r="F731">
        <f t="shared" ca="1" si="58"/>
        <v>5857.4463582320577</v>
      </c>
      <c r="G731">
        <f t="shared" ca="1" si="56"/>
        <v>0.19419369852983315</v>
      </c>
      <c r="H731">
        <f ca="1">INDEX(Aerodynamique!$T$6:$T$546,MATCH(G731,Aerodynamique!$Y$6:$Y$546,1))</f>
        <v>-0.99999999999999267</v>
      </c>
      <c r="I731">
        <f ca="1">INDEX(Aerodynamique!$Z$6:$Z$546,MATCH(G731,Aerodynamique!$Y$6:$Y$546,1))</f>
        <v>1.1589433855649854E-2</v>
      </c>
      <c r="J731">
        <f t="shared" ca="1" si="57"/>
        <v>3411.7419944074131</v>
      </c>
      <c r="K731" s="86">
        <f ca="1">INDEX(Aerodynamique!$AC$6:$AC$1006,MATCH(INDEX(Aerodynamique!$W$6:$W$546,MATCH(G731,Aerodynamique!$Y$6:$Y$546,1)),Aerodynamique!$AD$6:$AD$1006,-1))</f>
        <v>-2.5000000000000049</v>
      </c>
      <c r="L731">
        <f ca="1">Montée!$B$19*((E731-E730)/60)*J731/10</f>
        <v>10.90852109954098</v>
      </c>
      <c r="M731">
        <f t="shared" ca="1" si="59"/>
        <v>8846.6494237647839</v>
      </c>
    </row>
    <row r="732" spans="5:13">
      <c r="E732" s="210">
        <f t="shared" si="55"/>
        <v>727</v>
      </c>
      <c r="F732">
        <f t="shared" ca="1" si="58"/>
        <v>5846.5378371325169</v>
      </c>
      <c r="G732">
        <f t="shared" ca="1" si="56"/>
        <v>0.19383204501595444</v>
      </c>
      <c r="H732">
        <f ca="1">INDEX(Aerodynamique!$T$6:$T$546,MATCH(G732,Aerodynamique!$Y$6:$Y$546,1))</f>
        <v>-0.99999999999999267</v>
      </c>
      <c r="I732">
        <f ca="1">INDEX(Aerodynamique!$Z$6:$Z$546,MATCH(G732,Aerodynamique!$Y$6:$Y$546,1))</f>
        <v>1.1589433855649854E-2</v>
      </c>
      <c r="J732">
        <f t="shared" ca="1" si="57"/>
        <v>3411.7419944074131</v>
      </c>
      <c r="K732" s="86">
        <f ca="1">INDEX(Aerodynamique!$AC$6:$AC$1006,MATCH(INDEX(Aerodynamique!$W$6:$W$546,MATCH(G732,Aerodynamique!$Y$6:$Y$546,1)),Aerodynamique!$AD$6:$AD$1006,-1))</f>
        <v>-2.5000000000000049</v>
      </c>
      <c r="L732">
        <f ca="1">Montée!$B$19*((E732-E731)/60)*J732/10</f>
        <v>10.90852109954098</v>
      </c>
      <c r="M732">
        <f t="shared" ca="1" si="59"/>
        <v>8857.5579448643257</v>
      </c>
    </row>
    <row r="733" spans="5:13">
      <c r="E733" s="210">
        <f t="shared" si="55"/>
        <v>728</v>
      </c>
      <c r="F733">
        <f t="shared" ca="1" si="58"/>
        <v>5835.629316032976</v>
      </c>
      <c r="G733">
        <f t="shared" ca="1" si="56"/>
        <v>0.19347039150207576</v>
      </c>
      <c r="H733">
        <f ca="1">INDEX(Aerodynamique!$T$6:$T$546,MATCH(G733,Aerodynamique!$Y$6:$Y$546,1))</f>
        <v>-0.99999999999999267</v>
      </c>
      <c r="I733">
        <f ca="1">INDEX(Aerodynamique!$Z$6:$Z$546,MATCH(G733,Aerodynamique!$Y$6:$Y$546,1))</f>
        <v>1.1589433855649854E-2</v>
      </c>
      <c r="J733">
        <f t="shared" ca="1" si="57"/>
        <v>3411.7419944074131</v>
      </c>
      <c r="K733" s="86">
        <f ca="1">INDEX(Aerodynamique!$AC$6:$AC$1006,MATCH(INDEX(Aerodynamique!$W$6:$W$546,MATCH(G733,Aerodynamique!$Y$6:$Y$546,1)),Aerodynamique!$AD$6:$AD$1006,-1))</f>
        <v>-2.5000000000000049</v>
      </c>
      <c r="L733">
        <f ca="1">Montée!$B$19*((E733-E732)/60)*J733/10</f>
        <v>10.90852109954098</v>
      </c>
      <c r="M733">
        <f t="shared" ca="1" si="59"/>
        <v>8868.4664659638674</v>
      </c>
    </row>
    <row r="734" spans="5:13">
      <c r="E734" s="210">
        <f t="shared" si="55"/>
        <v>729</v>
      </c>
      <c r="F734">
        <f t="shared" ca="1" si="58"/>
        <v>5824.7207949334352</v>
      </c>
      <c r="G734">
        <f t="shared" ca="1" si="56"/>
        <v>0.19310873798819708</v>
      </c>
      <c r="H734">
        <f ca="1">INDEX(Aerodynamique!$T$6:$T$546,MATCH(G734,Aerodynamique!$Y$6:$Y$546,1))</f>
        <v>-0.99999999999999267</v>
      </c>
      <c r="I734">
        <f ca="1">INDEX(Aerodynamique!$Z$6:$Z$546,MATCH(G734,Aerodynamique!$Y$6:$Y$546,1))</f>
        <v>1.1589433855649854E-2</v>
      </c>
      <c r="J734">
        <f t="shared" ca="1" si="57"/>
        <v>3411.7419944074131</v>
      </c>
      <c r="K734" s="86">
        <f ca="1">INDEX(Aerodynamique!$AC$6:$AC$1006,MATCH(INDEX(Aerodynamique!$W$6:$W$546,MATCH(G734,Aerodynamique!$Y$6:$Y$546,1)),Aerodynamique!$AD$6:$AD$1006,-1))</f>
        <v>-2.5000000000000049</v>
      </c>
      <c r="L734">
        <f ca="1">Montée!$B$19*((E734-E733)/60)*J734/10</f>
        <v>10.90852109954098</v>
      </c>
      <c r="M734">
        <f t="shared" ca="1" si="59"/>
        <v>8879.3749870634092</v>
      </c>
    </row>
    <row r="735" spans="5:13">
      <c r="E735" s="210">
        <f t="shared" si="55"/>
        <v>730</v>
      </c>
      <c r="F735">
        <f t="shared" ca="1" si="58"/>
        <v>5813.8122738338943</v>
      </c>
      <c r="G735">
        <f t="shared" ca="1" si="56"/>
        <v>0.1927470844743184</v>
      </c>
      <c r="H735">
        <f ca="1">INDEX(Aerodynamique!$T$6:$T$546,MATCH(G735,Aerodynamique!$Y$6:$Y$546,1))</f>
        <v>-0.99999999999999267</v>
      </c>
      <c r="I735">
        <f ca="1">INDEX(Aerodynamique!$Z$6:$Z$546,MATCH(G735,Aerodynamique!$Y$6:$Y$546,1))</f>
        <v>1.1589433855649854E-2</v>
      </c>
      <c r="J735">
        <f t="shared" ca="1" si="57"/>
        <v>3411.7419944074131</v>
      </c>
      <c r="K735" s="86">
        <f ca="1">INDEX(Aerodynamique!$AC$6:$AC$1006,MATCH(INDEX(Aerodynamique!$W$6:$W$546,MATCH(G735,Aerodynamique!$Y$6:$Y$546,1)),Aerodynamique!$AD$6:$AD$1006,-1))</f>
        <v>-2.5000000000000049</v>
      </c>
      <c r="L735">
        <f ca="1">Montée!$B$19*((E735-E734)/60)*J735/10</f>
        <v>10.90852109954098</v>
      </c>
      <c r="M735">
        <f t="shared" ca="1" si="59"/>
        <v>8890.283508162951</v>
      </c>
    </row>
    <row r="736" spans="5:13">
      <c r="E736" s="210">
        <f t="shared" si="55"/>
        <v>731</v>
      </c>
      <c r="F736">
        <f t="shared" ca="1" si="58"/>
        <v>5802.9037527343535</v>
      </c>
      <c r="G736">
        <f t="shared" ca="1" si="56"/>
        <v>0.1923854309604397</v>
      </c>
      <c r="H736">
        <f ca="1">INDEX(Aerodynamique!$T$6:$T$546,MATCH(G736,Aerodynamique!$Y$6:$Y$546,1))</f>
        <v>-0.99999999999999267</v>
      </c>
      <c r="I736">
        <f ca="1">INDEX(Aerodynamique!$Z$6:$Z$546,MATCH(G736,Aerodynamique!$Y$6:$Y$546,1))</f>
        <v>1.1589433855649854E-2</v>
      </c>
      <c r="J736">
        <f t="shared" ca="1" si="57"/>
        <v>3411.7419944074131</v>
      </c>
      <c r="K736" s="86">
        <f ca="1">INDEX(Aerodynamique!$AC$6:$AC$1006,MATCH(INDEX(Aerodynamique!$W$6:$W$546,MATCH(G736,Aerodynamique!$Y$6:$Y$546,1)),Aerodynamique!$AD$6:$AD$1006,-1))</f>
        <v>-2.5000000000000049</v>
      </c>
      <c r="L736">
        <f ca="1">Montée!$B$19*((E736-E735)/60)*J736/10</f>
        <v>10.90852109954098</v>
      </c>
      <c r="M736">
        <f t="shared" ca="1" si="59"/>
        <v>8901.1920292624927</v>
      </c>
    </row>
    <row r="737" spans="5:13">
      <c r="E737" s="210">
        <f t="shared" si="55"/>
        <v>732</v>
      </c>
      <c r="F737">
        <f t="shared" ca="1" si="58"/>
        <v>5791.9952316348126</v>
      </c>
      <c r="G737">
        <f t="shared" ca="1" si="56"/>
        <v>0.19202377744656102</v>
      </c>
      <c r="H737">
        <f ca="1">INDEX(Aerodynamique!$T$6:$T$546,MATCH(G737,Aerodynamique!$Y$6:$Y$546,1))</f>
        <v>-1.0499999999999927</v>
      </c>
      <c r="I737">
        <f ca="1">INDEX(Aerodynamique!$Z$6:$Z$546,MATCH(G737,Aerodynamique!$Y$6:$Y$546,1))</f>
        <v>1.156235837491984E-2</v>
      </c>
      <c r="J737">
        <f t="shared" ca="1" si="57"/>
        <v>3403.771410531107</v>
      </c>
      <c r="K737" s="86">
        <f ca="1">INDEX(Aerodynamique!$AC$6:$AC$1006,MATCH(INDEX(Aerodynamique!$W$6:$W$546,MATCH(G737,Aerodynamique!$Y$6:$Y$546,1)),Aerodynamique!$AD$6:$AD$1006,-1))</f>
        <v>-2.4600000000000048</v>
      </c>
      <c r="L737">
        <f ca="1">Montée!$B$19*((E737-E736)/60)*J737/10</f>
        <v>10.883036381607187</v>
      </c>
      <c r="M737">
        <f t="shared" ca="1" si="59"/>
        <v>8912.0750656440996</v>
      </c>
    </row>
    <row r="738" spans="5:13">
      <c r="E738" s="210">
        <f t="shared" si="55"/>
        <v>733</v>
      </c>
      <c r="F738">
        <f t="shared" ca="1" si="58"/>
        <v>5781.1121952532058</v>
      </c>
      <c r="G738">
        <f t="shared" ca="1" si="56"/>
        <v>0.19166296883527792</v>
      </c>
      <c r="H738">
        <f ca="1">INDEX(Aerodynamique!$T$6:$T$546,MATCH(G738,Aerodynamique!$Y$6:$Y$546,1))</f>
        <v>-1.0499999999999927</v>
      </c>
      <c r="I738">
        <f ca="1">INDEX(Aerodynamique!$Z$6:$Z$546,MATCH(G738,Aerodynamique!$Y$6:$Y$546,1))</f>
        <v>1.156235837491984E-2</v>
      </c>
      <c r="J738">
        <f t="shared" ca="1" si="57"/>
        <v>3403.771410531107</v>
      </c>
      <c r="K738" s="86">
        <f ca="1">INDEX(Aerodynamique!$AC$6:$AC$1006,MATCH(INDEX(Aerodynamique!$W$6:$W$546,MATCH(G738,Aerodynamique!$Y$6:$Y$546,1)),Aerodynamique!$AD$6:$AD$1006,-1))</f>
        <v>-2.4600000000000048</v>
      </c>
      <c r="L738">
        <f ca="1">Montée!$B$19*((E738-E737)/60)*J738/10</f>
        <v>10.883036381607187</v>
      </c>
      <c r="M738">
        <f t="shared" ca="1" si="59"/>
        <v>8922.9581020257065</v>
      </c>
    </row>
    <row r="739" spans="5:13">
      <c r="E739" s="210">
        <f t="shared" si="55"/>
        <v>734</v>
      </c>
      <c r="F739">
        <f t="shared" ca="1" si="58"/>
        <v>5770.2291588715989</v>
      </c>
      <c r="G739">
        <f t="shared" ca="1" si="56"/>
        <v>0.19130216022399482</v>
      </c>
      <c r="H739">
        <f ca="1">INDEX(Aerodynamique!$T$6:$T$546,MATCH(G739,Aerodynamique!$Y$6:$Y$546,1))</f>
        <v>-1.0499999999999927</v>
      </c>
      <c r="I739">
        <f ca="1">INDEX(Aerodynamique!$Z$6:$Z$546,MATCH(G739,Aerodynamique!$Y$6:$Y$546,1))</f>
        <v>1.156235837491984E-2</v>
      </c>
      <c r="J739">
        <f t="shared" ca="1" si="57"/>
        <v>3403.771410531107</v>
      </c>
      <c r="K739" s="86">
        <f ca="1">INDEX(Aerodynamique!$AC$6:$AC$1006,MATCH(INDEX(Aerodynamique!$W$6:$W$546,MATCH(G739,Aerodynamique!$Y$6:$Y$546,1)),Aerodynamique!$AD$6:$AD$1006,-1))</f>
        <v>-2.4600000000000048</v>
      </c>
      <c r="L739">
        <f ca="1">Montée!$B$19*((E739-E738)/60)*J739/10</f>
        <v>10.883036381607187</v>
      </c>
      <c r="M739">
        <f t="shared" ca="1" si="59"/>
        <v>8933.8411384073133</v>
      </c>
    </row>
    <row r="740" spans="5:13">
      <c r="E740" s="210">
        <f t="shared" si="55"/>
        <v>735</v>
      </c>
      <c r="F740">
        <f t="shared" ca="1" si="58"/>
        <v>5759.346122489992</v>
      </c>
      <c r="G740">
        <f t="shared" ca="1" si="56"/>
        <v>0.19094135161271172</v>
      </c>
      <c r="H740">
        <f ca="1">INDEX(Aerodynamique!$T$6:$T$546,MATCH(G740,Aerodynamique!$Y$6:$Y$546,1))</f>
        <v>-1.0499999999999927</v>
      </c>
      <c r="I740">
        <f ca="1">INDEX(Aerodynamique!$Z$6:$Z$546,MATCH(G740,Aerodynamique!$Y$6:$Y$546,1))</f>
        <v>1.156235837491984E-2</v>
      </c>
      <c r="J740">
        <f t="shared" ca="1" si="57"/>
        <v>3403.771410531107</v>
      </c>
      <c r="K740" s="86">
        <f ca="1">INDEX(Aerodynamique!$AC$6:$AC$1006,MATCH(INDEX(Aerodynamique!$W$6:$W$546,MATCH(G740,Aerodynamique!$Y$6:$Y$546,1)),Aerodynamique!$AD$6:$AD$1006,-1))</f>
        <v>-2.4600000000000048</v>
      </c>
      <c r="L740">
        <f ca="1">Montée!$B$19*((E740-E739)/60)*J740/10</f>
        <v>10.883036381607187</v>
      </c>
      <c r="M740">
        <f t="shared" ca="1" si="59"/>
        <v>8944.7241747889202</v>
      </c>
    </row>
    <row r="741" spans="5:13">
      <c r="E741" s="210">
        <f t="shared" si="55"/>
        <v>736</v>
      </c>
      <c r="F741">
        <f t="shared" ca="1" si="58"/>
        <v>5748.4630861083851</v>
      </c>
      <c r="G741">
        <f t="shared" ca="1" si="56"/>
        <v>0.19058054300142863</v>
      </c>
      <c r="H741">
        <f ca="1">INDEX(Aerodynamique!$T$6:$T$546,MATCH(G741,Aerodynamique!$Y$6:$Y$546,1))</f>
        <v>-1.0499999999999927</v>
      </c>
      <c r="I741">
        <f ca="1">INDEX(Aerodynamique!$Z$6:$Z$546,MATCH(G741,Aerodynamique!$Y$6:$Y$546,1))</f>
        <v>1.156235837491984E-2</v>
      </c>
      <c r="J741">
        <f t="shared" ca="1" si="57"/>
        <v>3403.771410531107</v>
      </c>
      <c r="K741" s="86">
        <f ca="1">INDEX(Aerodynamique!$AC$6:$AC$1006,MATCH(INDEX(Aerodynamique!$W$6:$W$546,MATCH(G741,Aerodynamique!$Y$6:$Y$546,1)),Aerodynamique!$AD$6:$AD$1006,-1))</f>
        <v>-2.4600000000000048</v>
      </c>
      <c r="L741">
        <f ca="1">Montée!$B$19*((E741-E740)/60)*J741/10</f>
        <v>10.883036381607187</v>
      </c>
      <c r="M741">
        <f t="shared" ca="1" si="59"/>
        <v>8955.6072111705271</v>
      </c>
    </row>
    <row r="742" spans="5:13">
      <c r="E742" s="210">
        <f t="shared" si="55"/>
        <v>737</v>
      </c>
      <c r="F742">
        <f t="shared" ca="1" si="58"/>
        <v>5737.5800497267783</v>
      </c>
      <c r="G742">
        <f t="shared" ca="1" si="56"/>
        <v>0.1902197343901455</v>
      </c>
      <c r="H742">
        <f ca="1">INDEX(Aerodynamique!$T$6:$T$546,MATCH(G742,Aerodynamique!$Y$6:$Y$546,1))</f>
        <v>-1.0499999999999927</v>
      </c>
      <c r="I742">
        <f ca="1">INDEX(Aerodynamique!$Z$6:$Z$546,MATCH(G742,Aerodynamique!$Y$6:$Y$546,1))</f>
        <v>1.156235837491984E-2</v>
      </c>
      <c r="J742">
        <f t="shared" ca="1" si="57"/>
        <v>3403.771410531107</v>
      </c>
      <c r="K742" s="86">
        <f ca="1">INDEX(Aerodynamique!$AC$6:$AC$1006,MATCH(INDEX(Aerodynamique!$W$6:$W$546,MATCH(G742,Aerodynamique!$Y$6:$Y$546,1)),Aerodynamique!$AD$6:$AD$1006,-1))</f>
        <v>-2.4600000000000048</v>
      </c>
      <c r="L742">
        <f ca="1">Montée!$B$19*((E742-E741)/60)*J742/10</f>
        <v>10.883036381607187</v>
      </c>
      <c r="M742">
        <f t="shared" ca="1" si="59"/>
        <v>8966.490247552134</v>
      </c>
    </row>
    <row r="743" spans="5:13">
      <c r="E743" s="210">
        <f t="shared" si="55"/>
        <v>738</v>
      </c>
      <c r="F743">
        <f t="shared" ca="1" si="58"/>
        <v>5726.6970133451714</v>
      </c>
      <c r="G743">
        <f t="shared" ca="1" si="56"/>
        <v>0.18985892577886238</v>
      </c>
      <c r="H743">
        <f ca="1">INDEX(Aerodynamique!$T$6:$T$546,MATCH(G743,Aerodynamique!$Y$6:$Y$546,1))</f>
        <v>-1.0499999999999927</v>
      </c>
      <c r="I743">
        <f ca="1">INDEX(Aerodynamique!$Z$6:$Z$546,MATCH(G743,Aerodynamique!$Y$6:$Y$546,1))</f>
        <v>1.156235837491984E-2</v>
      </c>
      <c r="J743">
        <f t="shared" ca="1" si="57"/>
        <v>3403.771410531107</v>
      </c>
      <c r="K743" s="86">
        <f ca="1">INDEX(Aerodynamique!$AC$6:$AC$1006,MATCH(INDEX(Aerodynamique!$W$6:$W$546,MATCH(G743,Aerodynamique!$Y$6:$Y$546,1)),Aerodynamique!$AD$6:$AD$1006,-1))</f>
        <v>-2.4600000000000048</v>
      </c>
      <c r="L743">
        <f ca="1">Montée!$B$19*((E743-E742)/60)*J743/10</f>
        <v>10.883036381607187</v>
      </c>
      <c r="M743">
        <f t="shared" ca="1" si="59"/>
        <v>8977.3732839337408</v>
      </c>
    </row>
    <row r="744" spans="5:13">
      <c r="E744" s="210">
        <f t="shared" si="55"/>
        <v>739</v>
      </c>
      <c r="F744">
        <f t="shared" ca="1" si="58"/>
        <v>5715.8139769635645</v>
      </c>
      <c r="G744">
        <f t="shared" ca="1" si="56"/>
        <v>0.18949811716757928</v>
      </c>
      <c r="H744">
        <f ca="1">INDEX(Aerodynamique!$T$6:$T$546,MATCH(G744,Aerodynamique!$Y$6:$Y$546,1))</f>
        <v>-1.0499999999999927</v>
      </c>
      <c r="I744">
        <f ca="1">INDEX(Aerodynamique!$Z$6:$Z$546,MATCH(G744,Aerodynamique!$Y$6:$Y$546,1))</f>
        <v>1.156235837491984E-2</v>
      </c>
      <c r="J744">
        <f t="shared" ca="1" si="57"/>
        <v>3403.771410531107</v>
      </c>
      <c r="K744" s="86">
        <f ca="1">INDEX(Aerodynamique!$AC$6:$AC$1006,MATCH(INDEX(Aerodynamique!$W$6:$W$546,MATCH(G744,Aerodynamique!$Y$6:$Y$546,1)),Aerodynamique!$AD$6:$AD$1006,-1))</f>
        <v>-2.4600000000000048</v>
      </c>
      <c r="L744">
        <f ca="1">Montée!$B$19*((E744-E743)/60)*J744/10</f>
        <v>10.883036381607187</v>
      </c>
      <c r="M744">
        <f t="shared" ca="1" si="59"/>
        <v>8988.2563203153477</v>
      </c>
    </row>
    <row r="745" spans="5:13">
      <c r="E745" s="210">
        <f t="shared" si="55"/>
        <v>740</v>
      </c>
      <c r="F745">
        <f t="shared" ca="1" si="58"/>
        <v>5704.9309405819577</v>
      </c>
      <c r="G745">
        <f t="shared" ca="1" si="56"/>
        <v>0.18913730855629618</v>
      </c>
      <c r="H745">
        <f ca="1">INDEX(Aerodynamique!$T$6:$T$546,MATCH(G745,Aerodynamique!$Y$6:$Y$546,1))</f>
        <v>-1.0499999999999927</v>
      </c>
      <c r="I745">
        <f ca="1">INDEX(Aerodynamique!$Z$6:$Z$546,MATCH(G745,Aerodynamique!$Y$6:$Y$546,1))</f>
        <v>1.156235837491984E-2</v>
      </c>
      <c r="J745">
        <f t="shared" ca="1" si="57"/>
        <v>3403.771410531107</v>
      </c>
      <c r="K745" s="86">
        <f ca="1">INDEX(Aerodynamique!$AC$6:$AC$1006,MATCH(INDEX(Aerodynamique!$W$6:$W$546,MATCH(G745,Aerodynamique!$Y$6:$Y$546,1)),Aerodynamique!$AD$6:$AD$1006,-1))</f>
        <v>-2.4600000000000048</v>
      </c>
      <c r="L745">
        <f ca="1">Montée!$B$19*((E745-E744)/60)*J745/10</f>
        <v>10.883036381607187</v>
      </c>
      <c r="M745">
        <f t="shared" ca="1" si="59"/>
        <v>8999.1393566969546</v>
      </c>
    </row>
    <row r="746" spans="5:13">
      <c r="E746" s="210">
        <f t="shared" si="55"/>
        <v>741</v>
      </c>
      <c r="F746">
        <f t="shared" ca="1" si="58"/>
        <v>5694.0479042003508</v>
      </c>
      <c r="G746">
        <f t="shared" ca="1" si="56"/>
        <v>0.18877649994501308</v>
      </c>
      <c r="H746">
        <f ca="1">INDEX(Aerodynamique!$T$6:$T$546,MATCH(G746,Aerodynamique!$Y$6:$Y$546,1))</f>
        <v>-1.0499999999999927</v>
      </c>
      <c r="I746">
        <f ca="1">INDEX(Aerodynamique!$Z$6:$Z$546,MATCH(G746,Aerodynamique!$Y$6:$Y$546,1))</f>
        <v>1.156235837491984E-2</v>
      </c>
      <c r="J746">
        <f t="shared" ca="1" si="57"/>
        <v>3403.771410531107</v>
      </c>
      <c r="K746" s="86">
        <f ca="1">INDEX(Aerodynamique!$AC$6:$AC$1006,MATCH(INDEX(Aerodynamique!$W$6:$W$546,MATCH(G746,Aerodynamique!$Y$6:$Y$546,1)),Aerodynamique!$AD$6:$AD$1006,-1))</f>
        <v>-2.4600000000000048</v>
      </c>
      <c r="L746">
        <f ca="1">Montée!$B$19*((E746-E745)/60)*J746/10</f>
        <v>10.883036381607187</v>
      </c>
      <c r="M746">
        <f t="shared" ca="1" si="59"/>
        <v>9010.0223930785614</v>
      </c>
    </row>
    <row r="747" spans="5:13">
      <c r="E747" s="210">
        <f t="shared" si="55"/>
        <v>742</v>
      </c>
      <c r="F747">
        <f t="shared" ca="1" si="58"/>
        <v>5683.1648678187439</v>
      </c>
      <c r="G747">
        <f t="shared" ca="1" si="56"/>
        <v>0.18841569133372998</v>
      </c>
      <c r="H747">
        <f ca="1">INDEX(Aerodynamique!$T$6:$T$546,MATCH(G747,Aerodynamique!$Y$6:$Y$546,1))</f>
        <v>-1.0499999999999927</v>
      </c>
      <c r="I747">
        <f ca="1">INDEX(Aerodynamique!$Z$6:$Z$546,MATCH(G747,Aerodynamique!$Y$6:$Y$546,1))</f>
        <v>1.156235837491984E-2</v>
      </c>
      <c r="J747">
        <f t="shared" ca="1" si="57"/>
        <v>3403.771410531107</v>
      </c>
      <c r="K747" s="86">
        <f ca="1">INDEX(Aerodynamique!$AC$6:$AC$1006,MATCH(INDEX(Aerodynamique!$W$6:$W$546,MATCH(G747,Aerodynamique!$Y$6:$Y$546,1)),Aerodynamique!$AD$6:$AD$1006,-1))</f>
        <v>-2.4600000000000048</v>
      </c>
      <c r="L747">
        <f ca="1">Montée!$B$19*((E747-E746)/60)*J747/10</f>
        <v>10.883036381607187</v>
      </c>
      <c r="M747">
        <f t="shared" ca="1" si="59"/>
        <v>9020.9054294601683</v>
      </c>
    </row>
    <row r="748" spans="5:13">
      <c r="E748" s="210">
        <f t="shared" si="55"/>
        <v>743</v>
      </c>
      <c r="F748">
        <f t="shared" ca="1" si="58"/>
        <v>5672.281831437137</v>
      </c>
      <c r="G748">
        <f t="shared" ca="1" si="56"/>
        <v>0.18805488272244689</v>
      </c>
      <c r="H748">
        <f ca="1">INDEX(Aerodynamique!$T$6:$T$546,MATCH(G748,Aerodynamique!$Y$6:$Y$546,1))</f>
        <v>-1.0499999999999927</v>
      </c>
      <c r="I748">
        <f ca="1">INDEX(Aerodynamique!$Z$6:$Z$546,MATCH(G748,Aerodynamique!$Y$6:$Y$546,1))</f>
        <v>1.156235837491984E-2</v>
      </c>
      <c r="J748">
        <f t="shared" ca="1" si="57"/>
        <v>3403.771410531107</v>
      </c>
      <c r="K748" s="86">
        <f ca="1">INDEX(Aerodynamique!$AC$6:$AC$1006,MATCH(INDEX(Aerodynamique!$W$6:$W$546,MATCH(G748,Aerodynamique!$Y$6:$Y$546,1)),Aerodynamique!$AD$6:$AD$1006,-1))</f>
        <v>-2.4600000000000048</v>
      </c>
      <c r="L748">
        <f ca="1">Montée!$B$19*((E748-E747)/60)*J748/10</f>
        <v>10.883036381607187</v>
      </c>
      <c r="M748">
        <f t="shared" ca="1" si="59"/>
        <v>9031.7884658417752</v>
      </c>
    </row>
    <row r="749" spans="5:13">
      <c r="E749" s="210">
        <f t="shared" si="55"/>
        <v>744</v>
      </c>
      <c r="F749">
        <f t="shared" ca="1" si="58"/>
        <v>5661.3987950555302</v>
      </c>
      <c r="G749">
        <f t="shared" ca="1" si="56"/>
        <v>0.18769407411116379</v>
      </c>
      <c r="H749">
        <f ca="1">INDEX(Aerodynamique!$T$6:$T$546,MATCH(G749,Aerodynamique!$Y$6:$Y$546,1))</f>
        <v>-1.0499999999999927</v>
      </c>
      <c r="I749">
        <f ca="1">INDEX(Aerodynamique!$Z$6:$Z$546,MATCH(G749,Aerodynamique!$Y$6:$Y$546,1))</f>
        <v>1.156235837491984E-2</v>
      </c>
      <c r="J749">
        <f t="shared" ca="1" si="57"/>
        <v>3403.771410531107</v>
      </c>
      <c r="K749" s="86">
        <f ca="1">INDEX(Aerodynamique!$AC$6:$AC$1006,MATCH(INDEX(Aerodynamique!$W$6:$W$546,MATCH(G749,Aerodynamique!$Y$6:$Y$546,1)),Aerodynamique!$AD$6:$AD$1006,-1))</f>
        <v>-2.4600000000000048</v>
      </c>
      <c r="L749">
        <f ca="1">Montée!$B$19*((E749-E748)/60)*J749/10</f>
        <v>10.883036381607187</v>
      </c>
      <c r="M749">
        <f t="shared" ca="1" si="59"/>
        <v>9042.671502223382</v>
      </c>
    </row>
    <row r="750" spans="5:13">
      <c r="E750" s="210">
        <f t="shared" si="55"/>
        <v>745</v>
      </c>
      <c r="F750">
        <f t="shared" ca="1" si="58"/>
        <v>5650.5157586739233</v>
      </c>
      <c r="G750">
        <f t="shared" ca="1" si="56"/>
        <v>0.18733326549988069</v>
      </c>
      <c r="H750">
        <f ca="1">INDEX(Aerodynamique!$T$6:$T$546,MATCH(G750,Aerodynamique!$Y$6:$Y$546,1))</f>
        <v>-1.0499999999999927</v>
      </c>
      <c r="I750">
        <f ca="1">INDEX(Aerodynamique!$Z$6:$Z$546,MATCH(G750,Aerodynamique!$Y$6:$Y$546,1))</f>
        <v>1.156235837491984E-2</v>
      </c>
      <c r="J750">
        <f t="shared" ca="1" si="57"/>
        <v>3403.771410531107</v>
      </c>
      <c r="K750" s="86">
        <f ca="1">INDEX(Aerodynamique!$AC$6:$AC$1006,MATCH(INDEX(Aerodynamique!$W$6:$W$546,MATCH(G750,Aerodynamique!$Y$6:$Y$546,1)),Aerodynamique!$AD$6:$AD$1006,-1))</f>
        <v>-2.4600000000000048</v>
      </c>
      <c r="L750">
        <f ca="1">Montée!$B$19*((E750-E749)/60)*J750/10</f>
        <v>10.883036381607187</v>
      </c>
      <c r="M750">
        <f t="shared" ca="1" si="59"/>
        <v>9053.5545386049889</v>
      </c>
    </row>
    <row r="751" spans="5:13">
      <c r="E751" s="210">
        <f t="shared" si="55"/>
        <v>746</v>
      </c>
      <c r="F751">
        <f t="shared" ca="1" si="58"/>
        <v>5639.6327222923164</v>
      </c>
      <c r="G751">
        <f t="shared" ca="1" si="56"/>
        <v>0.18697245688859759</v>
      </c>
      <c r="H751">
        <f ca="1">INDEX(Aerodynamique!$T$6:$T$546,MATCH(G751,Aerodynamique!$Y$6:$Y$546,1))</f>
        <v>-1.0999999999999928</v>
      </c>
      <c r="I751">
        <f ca="1">INDEX(Aerodynamique!$Z$6:$Z$546,MATCH(G751,Aerodynamique!$Y$6:$Y$546,1))</f>
        <v>1.1536350704201984E-2</v>
      </c>
      <c r="J751">
        <f t="shared" ca="1" si="57"/>
        <v>3396.1151726621993</v>
      </c>
      <c r="K751" s="86">
        <f ca="1">INDEX(Aerodynamique!$AC$6:$AC$1006,MATCH(INDEX(Aerodynamique!$W$6:$W$546,MATCH(G751,Aerodynamique!$Y$6:$Y$546,1)),Aerodynamique!$AD$6:$AD$1006,-1))</f>
        <v>-2.4200000000000048</v>
      </c>
      <c r="L751">
        <f ca="1">Montée!$B$19*((E751-E750)/60)*J751/10</f>
        <v>10.858556736759192</v>
      </c>
      <c r="M751">
        <f t="shared" ca="1" si="59"/>
        <v>9064.413095341748</v>
      </c>
    </row>
    <row r="752" spans="5:13">
      <c r="E752" s="210">
        <f t="shared" si="55"/>
        <v>747</v>
      </c>
      <c r="F752">
        <f t="shared" ca="1" si="58"/>
        <v>5628.7741655555574</v>
      </c>
      <c r="G752">
        <f t="shared" ca="1" si="56"/>
        <v>0.18661245985841671</v>
      </c>
      <c r="H752">
        <f ca="1">INDEX(Aerodynamique!$T$6:$T$546,MATCH(G752,Aerodynamique!$Y$6:$Y$546,1))</f>
        <v>-1.0999999999999928</v>
      </c>
      <c r="I752">
        <f ca="1">INDEX(Aerodynamique!$Z$6:$Z$546,MATCH(G752,Aerodynamique!$Y$6:$Y$546,1))</f>
        <v>1.1536350704201984E-2</v>
      </c>
      <c r="J752">
        <f t="shared" ca="1" si="57"/>
        <v>3396.1151726621993</v>
      </c>
      <c r="K752" s="86">
        <f ca="1">INDEX(Aerodynamique!$AC$6:$AC$1006,MATCH(INDEX(Aerodynamique!$W$6:$W$546,MATCH(G752,Aerodynamique!$Y$6:$Y$546,1)),Aerodynamique!$AD$6:$AD$1006,-1))</f>
        <v>-2.4200000000000048</v>
      </c>
      <c r="L752">
        <f ca="1">Montée!$B$19*((E752-E751)/60)*J752/10</f>
        <v>10.858556736759192</v>
      </c>
      <c r="M752">
        <f t="shared" ca="1" si="59"/>
        <v>9075.271652078507</v>
      </c>
    </row>
    <row r="753" spans="5:13">
      <c r="E753" s="210">
        <f t="shared" si="55"/>
        <v>748</v>
      </c>
      <c r="F753">
        <f t="shared" ca="1" si="58"/>
        <v>5617.9156088187983</v>
      </c>
      <c r="G753">
        <f t="shared" ca="1" si="56"/>
        <v>0.18625246282823585</v>
      </c>
      <c r="H753">
        <f ca="1">INDEX(Aerodynamique!$T$6:$T$546,MATCH(G753,Aerodynamique!$Y$6:$Y$546,1))</f>
        <v>-1.0999999999999928</v>
      </c>
      <c r="I753">
        <f ca="1">INDEX(Aerodynamique!$Z$6:$Z$546,MATCH(G753,Aerodynamique!$Y$6:$Y$546,1))</f>
        <v>1.1536350704201984E-2</v>
      </c>
      <c r="J753">
        <f t="shared" ca="1" si="57"/>
        <v>3396.1151726621993</v>
      </c>
      <c r="K753" s="86">
        <f ca="1">INDEX(Aerodynamique!$AC$6:$AC$1006,MATCH(INDEX(Aerodynamique!$W$6:$W$546,MATCH(G753,Aerodynamique!$Y$6:$Y$546,1)),Aerodynamique!$AD$6:$AD$1006,-1))</f>
        <v>-2.4200000000000048</v>
      </c>
      <c r="L753">
        <f ca="1">Montée!$B$19*((E753-E752)/60)*J753/10</f>
        <v>10.858556736759192</v>
      </c>
      <c r="M753">
        <f t="shared" ca="1" si="59"/>
        <v>9086.1302088152661</v>
      </c>
    </row>
    <row r="754" spans="5:13">
      <c r="E754" s="210">
        <f t="shared" si="55"/>
        <v>749</v>
      </c>
      <c r="F754">
        <f t="shared" ca="1" si="58"/>
        <v>5607.0570520820393</v>
      </c>
      <c r="G754">
        <f t="shared" ca="1" si="56"/>
        <v>0.18589246579805499</v>
      </c>
      <c r="H754">
        <f ca="1">INDEX(Aerodynamique!$T$6:$T$546,MATCH(G754,Aerodynamique!$Y$6:$Y$546,1))</f>
        <v>-1.0999999999999928</v>
      </c>
      <c r="I754">
        <f ca="1">INDEX(Aerodynamique!$Z$6:$Z$546,MATCH(G754,Aerodynamique!$Y$6:$Y$546,1))</f>
        <v>1.1536350704201984E-2</v>
      </c>
      <c r="J754">
        <f t="shared" ca="1" si="57"/>
        <v>3396.1151726621993</v>
      </c>
      <c r="K754" s="86">
        <f ca="1">INDEX(Aerodynamique!$AC$6:$AC$1006,MATCH(INDEX(Aerodynamique!$W$6:$W$546,MATCH(G754,Aerodynamique!$Y$6:$Y$546,1)),Aerodynamique!$AD$6:$AD$1006,-1))</f>
        <v>-2.4200000000000048</v>
      </c>
      <c r="L754">
        <f ca="1">Montée!$B$19*((E754-E753)/60)*J754/10</f>
        <v>10.858556736759192</v>
      </c>
      <c r="M754">
        <f t="shared" ca="1" si="59"/>
        <v>9096.9887655520251</v>
      </c>
    </row>
    <row r="755" spans="5:13">
      <c r="E755" s="210">
        <f t="shared" si="55"/>
        <v>750</v>
      </c>
      <c r="F755">
        <f t="shared" ca="1" si="58"/>
        <v>5596.1984953452802</v>
      </c>
      <c r="G755">
        <f t="shared" ca="1" si="56"/>
        <v>0.18553246876787413</v>
      </c>
      <c r="H755">
        <f ca="1">INDEX(Aerodynamique!$T$6:$T$546,MATCH(G755,Aerodynamique!$Y$6:$Y$546,1))</f>
        <v>-1.0999999999999928</v>
      </c>
      <c r="I755">
        <f ca="1">INDEX(Aerodynamique!$Z$6:$Z$546,MATCH(G755,Aerodynamique!$Y$6:$Y$546,1))</f>
        <v>1.1536350704201984E-2</v>
      </c>
      <c r="J755">
        <f t="shared" ca="1" si="57"/>
        <v>3396.1151726621993</v>
      </c>
      <c r="K755" s="86">
        <f ca="1">INDEX(Aerodynamique!$AC$6:$AC$1006,MATCH(INDEX(Aerodynamique!$W$6:$W$546,MATCH(G755,Aerodynamique!$Y$6:$Y$546,1)),Aerodynamique!$AD$6:$AD$1006,-1))</f>
        <v>-2.4200000000000048</v>
      </c>
      <c r="L755">
        <f ca="1">Montée!$B$19*((E755-E754)/60)*J755/10</f>
        <v>10.858556736759192</v>
      </c>
      <c r="M755">
        <f t="shared" ca="1" si="59"/>
        <v>9107.8473222887842</v>
      </c>
    </row>
    <row r="756" spans="5:13">
      <c r="E756" s="210">
        <f t="shared" si="55"/>
        <v>751</v>
      </c>
      <c r="F756">
        <f t="shared" ca="1" si="58"/>
        <v>5585.3399386085212</v>
      </c>
      <c r="G756">
        <f t="shared" ca="1" si="56"/>
        <v>0.18517247173769324</v>
      </c>
      <c r="H756">
        <f ca="1">INDEX(Aerodynamique!$T$6:$T$546,MATCH(G756,Aerodynamique!$Y$6:$Y$546,1))</f>
        <v>-1.0999999999999928</v>
      </c>
      <c r="I756">
        <f ca="1">INDEX(Aerodynamique!$Z$6:$Z$546,MATCH(G756,Aerodynamique!$Y$6:$Y$546,1))</f>
        <v>1.1536350704201984E-2</v>
      </c>
      <c r="J756">
        <f t="shared" ca="1" si="57"/>
        <v>3396.1151726621993</v>
      </c>
      <c r="K756" s="86">
        <f ca="1">INDEX(Aerodynamique!$AC$6:$AC$1006,MATCH(INDEX(Aerodynamique!$W$6:$W$546,MATCH(G756,Aerodynamique!$Y$6:$Y$546,1)),Aerodynamique!$AD$6:$AD$1006,-1))</f>
        <v>-2.4200000000000048</v>
      </c>
      <c r="L756">
        <f ca="1">Montée!$B$19*((E756-E755)/60)*J756/10</f>
        <v>10.858556736759192</v>
      </c>
      <c r="M756">
        <f t="shared" ca="1" si="59"/>
        <v>9118.7058790255433</v>
      </c>
    </row>
    <row r="757" spans="5:13">
      <c r="E757" s="210">
        <f t="shared" si="55"/>
        <v>752</v>
      </c>
      <c r="F757">
        <f t="shared" ca="1" si="58"/>
        <v>5574.4813818717621</v>
      </c>
      <c r="G757">
        <f t="shared" ca="1" si="56"/>
        <v>0.18481247470751239</v>
      </c>
      <c r="H757">
        <f ca="1">INDEX(Aerodynamique!$T$6:$T$546,MATCH(G757,Aerodynamique!$Y$6:$Y$546,1))</f>
        <v>-1.0999999999999928</v>
      </c>
      <c r="I757">
        <f ca="1">INDEX(Aerodynamique!$Z$6:$Z$546,MATCH(G757,Aerodynamique!$Y$6:$Y$546,1))</f>
        <v>1.1536350704201984E-2</v>
      </c>
      <c r="J757">
        <f t="shared" ca="1" si="57"/>
        <v>3396.1151726621993</v>
      </c>
      <c r="K757" s="86">
        <f ca="1">INDEX(Aerodynamique!$AC$6:$AC$1006,MATCH(INDEX(Aerodynamique!$W$6:$W$546,MATCH(G757,Aerodynamique!$Y$6:$Y$546,1)),Aerodynamique!$AD$6:$AD$1006,-1))</f>
        <v>-2.4200000000000048</v>
      </c>
      <c r="L757">
        <f ca="1">Montée!$B$19*((E757-E756)/60)*J757/10</f>
        <v>10.858556736759192</v>
      </c>
      <c r="M757">
        <f t="shared" ca="1" si="59"/>
        <v>9129.5644357623023</v>
      </c>
    </row>
    <row r="758" spans="5:13">
      <c r="E758" s="210">
        <f t="shared" si="55"/>
        <v>753</v>
      </c>
      <c r="F758">
        <f t="shared" ca="1" si="58"/>
        <v>5563.622825135003</v>
      </c>
      <c r="G758">
        <f t="shared" ca="1" si="56"/>
        <v>0.18445247767733153</v>
      </c>
      <c r="H758">
        <f ca="1">INDEX(Aerodynamique!$T$6:$T$546,MATCH(G758,Aerodynamique!$Y$6:$Y$546,1))</f>
        <v>-1.0999999999999928</v>
      </c>
      <c r="I758">
        <f ca="1">INDEX(Aerodynamique!$Z$6:$Z$546,MATCH(G758,Aerodynamique!$Y$6:$Y$546,1))</f>
        <v>1.1536350704201984E-2</v>
      </c>
      <c r="J758">
        <f t="shared" ca="1" si="57"/>
        <v>3396.1151726621993</v>
      </c>
      <c r="K758" s="86">
        <f ca="1">INDEX(Aerodynamique!$AC$6:$AC$1006,MATCH(INDEX(Aerodynamique!$W$6:$W$546,MATCH(G758,Aerodynamique!$Y$6:$Y$546,1)),Aerodynamique!$AD$6:$AD$1006,-1))</f>
        <v>-2.4200000000000048</v>
      </c>
      <c r="L758">
        <f ca="1">Montée!$B$19*((E758-E757)/60)*J758/10</f>
        <v>10.858556736759192</v>
      </c>
      <c r="M758">
        <f t="shared" ca="1" si="59"/>
        <v>9140.4229924990614</v>
      </c>
    </row>
    <row r="759" spans="5:13">
      <c r="E759" s="210">
        <f t="shared" si="55"/>
        <v>754</v>
      </c>
      <c r="F759">
        <f t="shared" ca="1" si="58"/>
        <v>5552.764268398244</v>
      </c>
      <c r="G759">
        <f t="shared" ca="1" si="56"/>
        <v>0.18409248064715064</v>
      </c>
      <c r="H759">
        <f ca="1">INDEX(Aerodynamique!$T$6:$T$546,MATCH(G759,Aerodynamique!$Y$6:$Y$546,1))</f>
        <v>-1.0999999999999928</v>
      </c>
      <c r="I759">
        <f ca="1">INDEX(Aerodynamique!$Z$6:$Z$546,MATCH(G759,Aerodynamique!$Y$6:$Y$546,1))</f>
        <v>1.1536350704201984E-2</v>
      </c>
      <c r="J759">
        <f t="shared" ca="1" si="57"/>
        <v>3396.1151726621993</v>
      </c>
      <c r="K759" s="86">
        <f ca="1">INDEX(Aerodynamique!$AC$6:$AC$1006,MATCH(INDEX(Aerodynamique!$W$6:$W$546,MATCH(G759,Aerodynamique!$Y$6:$Y$546,1)),Aerodynamique!$AD$6:$AD$1006,-1))</f>
        <v>-2.4200000000000048</v>
      </c>
      <c r="L759">
        <f ca="1">Montée!$B$19*((E759-E758)/60)*J759/10</f>
        <v>10.858556736759192</v>
      </c>
      <c r="M759">
        <f t="shared" ca="1" si="59"/>
        <v>9151.2815492358204</v>
      </c>
    </row>
    <row r="760" spans="5:13">
      <c r="E760" s="210">
        <f t="shared" si="55"/>
        <v>755</v>
      </c>
      <c r="F760">
        <f t="shared" ca="1" si="58"/>
        <v>5541.9057116614849</v>
      </c>
      <c r="G760">
        <f t="shared" ca="1" si="56"/>
        <v>0.18373248361696978</v>
      </c>
      <c r="H760">
        <f ca="1">INDEX(Aerodynamique!$T$6:$T$546,MATCH(G760,Aerodynamique!$Y$6:$Y$546,1))</f>
        <v>-1.0999999999999928</v>
      </c>
      <c r="I760">
        <f ca="1">INDEX(Aerodynamique!$Z$6:$Z$546,MATCH(G760,Aerodynamique!$Y$6:$Y$546,1))</f>
        <v>1.1536350704201984E-2</v>
      </c>
      <c r="J760">
        <f t="shared" ca="1" si="57"/>
        <v>3396.1151726621993</v>
      </c>
      <c r="K760" s="86">
        <f ca="1">INDEX(Aerodynamique!$AC$6:$AC$1006,MATCH(INDEX(Aerodynamique!$W$6:$W$546,MATCH(G760,Aerodynamique!$Y$6:$Y$546,1)),Aerodynamique!$AD$6:$AD$1006,-1))</f>
        <v>-2.4200000000000048</v>
      </c>
      <c r="L760">
        <f ca="1">Montée!$B$19*((E760-E759)/60)*J760/10</f>
        <v>10.858556736759192</v>
      </c>
      <c r="M760">
        <f t="shared" ca="1" si="59"/>
        <v>9162.1401059725795</v>
      </c>
    </row>
    <row r="761" spans="5:13">
      <c r="E761" s="210">
        <f t="shared" si="55"/>
        <v>756</v>
      </c>
      <c r="F761">
        <f t="shared" ca="1" si="58"/>
        <v>5531.0471549247259</v>
      </c>
      <c r="G761">
        <f t="shared" ca="1" si="56"/>
        <v>0.1833724865867889</v>
      </c>
      <c r="H761">
        <f ca="1">INDEX(Aerodynamique!$T$6:$T$546,MATCH(G761,Aerodynamique!$Y$6:$Y$546,1))</f>
        <v>-1.0999999999999928</v>
      </c>
      <c r="I761">
        <f ca="1">INDEX(Aerodynamique!$Z$6:$Z$546,MATCH(G761,Aerodynamique!$Y$6:$Y$546,1))</f>
        <v>1.1536350704201984E-2</v>
      </c>
      <c r="J761">
        <f t="shared" ca="1" si="57"/>
        <v>3396.1151726621993</v>
      </c>
      <c r="K761" s="86">
        <f ca="1">INDEX(Aerodynamique!$AC$6:$AC$1006,MATCH(INDEX(Aerodynamique!$W$6:$W$546,MATCH(G761,Aerodynamique!$Y$6:$Y$546,1)),Aerodynamique!$AD$6:$AD$1006,-1))</f>
        <v>-2.4200000000000048</v>
      </c>
      <c r="L761">
        <f ca="1">Montée!$B$19*((E761-E760)/60)*J761/10</f>
        <v>10.858556736759192</v>
      </c>
      <c r="M761">
        <f t="shared" ca="1" si="59"/>
        <v>9172.9986627093385</v>
      </c>
    </row>
    <row r="762" spans="5:13">
      <c r="E762" s="210">
        <f t="shared" si="55"/>
        <v>757</v>
      </c>
      <c r="F762">
        <f t="shared" ca="1" si="58"/>
        <v>5520.1885981879668</v>
      </c>
      <c r="G762">
        <f t="shared" ca="1" si="56"/>
        <v>0.18301248955660804</v>
      </c>
      <c r="H762">
        <f ca="1">INDEX(Aerodynamique!$T$6:$T$546,MATCH(G762,Aerodynamique!$Y$6:$Y$546,1))</f>
        <v>-1.0999999999999928</v>
      </c>
      <c r="I762">
        <f ca="1">INDEX(Aerodynamique!$Z$6:$Z$546,MATCH(G762,Aerodynamique!$Y$6:$Y$546,1))</f>
        <v>1.1536350704201984E-2</v>
      </c>
      <c r="J762">
        <f t="shared" ca="1" si="57"/>
        <v>3396.1151726621993</v>
      </c>
      <c r="K762" s="86">
        <f ca="1">INDEX(Aerodynamique!$AC$6:$AC$1006,MATCH(INDEX(Aerodynamique!$W$6:$W$546,MATCH(G762,Aerodynamique!$Y$6:$Y$546,1)),Aerodynamique!$AD$6:$AD$1006,-1))</f>
        <v>-2.4200000000000048</v>
      </c>
      <c r="L762">
        <f ca="1">Montée!$B$19*((E762-E761)/60)*J762/10</f>
        <v>10.858556736759192</v>
      </c>
      <c r="M762">
        <f t="shared" ca="1" si="59"/>
        <v>9183.8572194460976</v>
      </c>
    </row>
    <row r="763" spans="5:13">
      <c r="E763" s="210">
        <f t="shared" si="55"/>
        <v>758</v>
      </c>
      <c r="F763">
        <f t="shared" ca="1" si="58"/>
        <v>5509.3300414512078</v>
      </c>
      <c r="G763">
        <f t="shared" ca="1" si="56"/>
        <v>0.18265249252642718</v>
      </c>
      <c r="H763">
        <f ca="1">INDEX(Aerodynamique!$T$6:$T$546,MATCH(G763,Aerodynamique!$Y$6:$Y$546,1))</f>
        <v>-1.0999999999999928</v>
      </c>
      <c r="I763">
        <f ca="1">INDEX(Aerodynamique!$Z$6:$Z$546,MATCH(G763,Aerodynamique!$Y$6:$Y$546,1))</f>
        <v>1.1536350704201984E-2</v>
      </c>
      <c r="J763">
        <f t="shared" ca="1" si="57"/>
        <v>3396.1151726621993</v>
      </c>
      <c r="K763" s="86">
        <f ca="1">INDEX(Aerodynamique!$AC$6:$AC$1006,MATCH(INDEX(Aerodynamique!$W$6:$W$546,MATCH(G763,Aerodynamique!$Y$6:$Y$546,1)),Aerodynamique!$AD$6:$AD$1006,-1))</f>
        <v>-2.4200000000000048</v>
      </c>
      <c r="L763">
        <f ca="1">Montée!$B$19*((E763-E762)/60)*J763/10</f>
        <v>10.858556736759192</v>
      </c>
      <c r="M763">
        <f t="shared" ca="1" si="59"/>
        <v>9194.7157761828566</v>
      </c>
    </row>
    <row r="764" spans="5:13">
      <c r="E764" s="210">
        <f t="shared" si="55"/>
        <v>759</v>
      </c>
      <c r="F764">
        <f t="shared" ca="1" si="58"/>
        <v>5498.4714847144487</v>
      </c>
      <c r="G764">
        <f t="shared" ca="1" si="56"/>
        <v>0.18229249549624632</v>
      </c>
      <c r="H764">
        <f ca="1">INDEX(Aerodynamique!$T$6:$T$546,MATCH(G764,Aerodynamique!$Y$6:$Y$546,1))</f>
        <v>-1.1499999999999928</v>
      </c>
      <c r="I764">
        <f ca="1">INDEX(Aerodynamique!$Z$6:$Z$546,MATCH(G764,Aerodynamique!$Y$6:$Y$546,1))</f>
        <v>1.1511410843496283E-2</v>
      </c>
      <c r="J764">
        <f t="shared" ca="1" si="57"/>
        <v>3388.7732808006886</v>
      </c>
      <c r="K764" s="86">
        <f ca="1">INDEX(Aerodynamique!$AC$6:$AC$1006,MATCH(INDEX(Aerodynamique!$W$6:$W$546,MATCH(G764,Aerodynamique!$Y$6:$Y$546,1)),Aerodynamique!$AD$6:$AD$1006,-1))</f>
        <v>-2.3600000000000048</v>
      </c>
      <c r="L764">
        <f ca="1">Montée!$B$19*((E764-E763)/60)*J764/10</f>
        <v>10.835082164996988</v>
      </c>
      <c r="M764">
        <f t="shared" ca="1" si="59"/>
        <v>9205.5508583478531</v>
      </c>
    </row>
    <row r="765" spans="5:13">
      <c r="E765" s="210">
        <f t="shared" si="55"/>
        <v>760</v>
      </c>
      <c r="F765">
        <f t="shared" ca="1" si="58"/>
        <v>5487.6364025494513</v>
      </c>
      <c r="G765">
        <f t="shared" ca="1" si="56"/>
        <v>0.18193327672567433</v>
      </c>
      <c r="H765">
        <f ca="1">INDEX(Aerodynamique!$T$6:$T$546,MATCH(G765,Aerodynamique!$Y$6:$Y$546,1))</f>
        <v>-1.1499999999999928</v>
      </c>
      <c r="I765">
        <f ca="1">INDEX(Aerodynamique!$Z$6:$Z$546,MATCH(G765,Aerodynamique!$Y$6:$Y$546,1))</f>
        <v>1.1511410843496283E-2</v>
      </c>
      <c r="J765">
        <f t="shared" ca="1" si="57"/>
        <v>3388.7732808006886</v>
      </c>
      <c r="K765" s="86">
        <f ca="1">INDEX(Aerodynamique!$AC$6:$AC$1006,MATCH(INDEX(Aerodynamique!$W$6:$W$546,MATCH(G765,Aerodynamique!$Y$6:$Y$546,1)),Aerodynamique!$AD$6:$AD$1006,-1))</f>
        <v>-2.3600000000000048</v>
      </c>
      <c r="L765">
        <f ca="1">Montée!$B$19*((E765-E764)/60)*J765/10</f>
        <v>10.835082164996988</v>
      </c>
      <c r="M765">
        <f t="shared" ca="1" si="59"/>
        <v>9216.3859405128496</v>
      </c>
    </row>
    <row r="766" spans="5:13">
      <c r="E766" s="210">
        <f t="shared" si="55"/>
        <v>761</v>
      </c>
      <c r="F766">
        <f t="shared" ca="1" si="58"/>
        <v>5476.8013203844539</v>
      </c>
      <c r="G766">
        <f t="shared" ca="1" si="56"/>
        <v>0.18157405795510234</v>
      </c>
      <c r="H766">
        <f ca="1">INDEX(Aerodynamique!$T$6:$T$546,MATCH(G766,Aerodynamique!$Y$6:$Y$546,1))</f>
        <v>-1.1499999999999928</v>
      </c>
      <c r="I766">
        <f ca="1">INDEX(Aerodynamique!$Z$6:$Z$546,MATCH(G766,Aerodynamique!$Y$6:$Y$546,1))</f>
        <v>1.1511410843496283E-2</v>
      </c>
      <c r="J766">
        <f t="shared" ca="1" si="57"/>
        <v>3388.7732808006886</v>
      </c>
      <c r="K766" s="86">
        <f ca="1">INDEX(Aerodynamique!$AC$6:$AC$1006,MATCH(INDEX(Aerodynamique!$W$6:$W$546,MATCH(G766,Aerodynamique!$Y$6:$Y$546,1)),Aerodynamique!$AD$6:$AD$1006,-1))</f>
        <v>-2.3600000000000048</v>
      </c>
      <c r="L766">
        <f ca="1">Montée!$B$19*((E766-E765)/60)*J766/10</f>
        <v>10.835082164996988</v>
      </c>
      <c r="M766">
        <f t="shared" ca="1" si="59"/>
        <v>9227.2210226778461</v>
      </c>
    </row>
    <row r="767" spans="5:13">
      <c r="E767" s="210">
        <f t="shared" si="55"/>
        <v>762</v>
      </c>
      <c r="F767">
        <f t="shared" ca="1" si="58"/>
        <v>5465.9662382194565</v>
      </c>
      <c r="G767">
        <f t="shared" ca="1" si="56"/>
        <v>0.18121483918453035</v>
      </c>
      <c r="H767">
        <f ca="1">INDEX(Aerodynamique!$T$6:$T$546,MATCH(G767,Aerodynamique!$Y$6:$Y$546,1))</f>
        <v>-1.1499999999999928</v>
      </c>
      <c r="I767">
        <f ca="1">INDEX(Aerodynamique!$Z$6:$Z$546,MATCH(G767,Aerodynamique!$Y$6:$Y$546,1))</f>
        <v>1.1511410843496283E-2</v>
      </c>
      <c r="J767">
        <f t="shared" ca="1" si="57"/>
        <v>3388.7732808006886</v>
      </c>
      <c r="K767" s="86">
        <f ca="1">INDEX(Aerodynamique!$AC$6:$AC$1006,MATCH(INDEX(Aerodynamique!$W$6:$W$546,MATCH(G767,Aerodynamique!$Y$6:$Y$546,1)),Aerodynamique!$AD$6:$AD$1006,-1))</f>
        <v>-2.3600000000000048</v>
      </c>
      <c r="L767">
        <f ca="1">Montée!$B$19*((E767-E766)/60)*J767/10</f>
        <v>10.835082164996988</v>
      </c>
      <c r="M767">
        <f t="shared" ca="1" si="59"/>
        <v>9238.0561048428426</v>
      </c>
    </row>
    <row r="768" spans="5:13">
      <c r="E768" s="210">
        <f t="shared" si="55"/>
        <v>763</v>
      </c>
      <c r="F768">
        <f t="shared" ca="1" si="58"/>
        <v>5455.1311560544591</v>
      </c>
      <c r="G768">
        <f t="shared" ca="1" si="56"/>
        <v>0.18085562041395839</v>
      </c>
      <c r="H768">
        <f ca="1">INDEX(Aerodynamique!$T$6:$T$546,MATCH(G768,Aerodynamique!$Y$6:$Y$546,1))</f>
        <v>-1.1499999999999928</v>
      </c>
      <c r="I768">
        <f ca="1">INDEX(Aerodynamique!$Z$6:$Z$546,MATCH(G768,Aerodynamique!$Y$6:$Y$546,1))</f>
        <v>1.1511410843496283E-2</v>
      </c>
      <c r="J768">
        <f t="shared" ca="1" si="57"/>
        <v>3388.7732808006886</v>
      </c>
      <c r="K768" s="86">
        <f ca="1">INDEX(Aerodynamique!$AC$6:$AC$1006,MATCH(INDEX(Aerodynamique!$W$6:$W$546,MATCH(G768,Aerodynamique!$Y$6:$Y$546,1)),Aerodynamique!$AD$6:$AD$1006,-1))</f>
        <v>-2.3600000000000048</v>
      </c>
      <c r="L768">
        <f ca="1">Montée!$B$19*((E768-E767)/60)*J768/10</f>
        <v>10.835082164996988</v>
      </c>
      <c r="M768">
        <f t="shared" ca="1" si="59"/>
        <v>9248.8911870078391</v>
      </c>
    </row>
    <row r="769" spans="5:13">
      <c r="E769" s="210">
        <f t="shared" si="55"/>
        <v>764</v>
      </c>
      <c r="F769">
        <f t="shared" ca="1" si="58"/>
        <v>5444.2960738894617</v>
      </c>
      <c r="G769">
        <f t="shared" ca="1" si="56"/>
        <v>0.18049640164338637</v>
      </c>
      <c r="H769">
        <f ca="1">INDEX(Aerodynamique!$T$6:$T$546,MATCH(G769,Aerodynamique!$Y$6:$Y$546,1))</f>
        <v>-1.1499999999999928</v>
      </c>
      <c r="I769">
        <f ca="1">INDEX(Aerodynamique!$Z$6:$Z$546,MATCH(G769,Aerodynamique!$Y$6:$Y$546,1))</f>
        <v>1.1511410843496283E-2</v>
      </c>
      <c r="J769">
        <f t="shared" ca="1" si="57"/>
        <v>3388.7732808006886</v>
      </c>
      <c r="K769" s="86">
        <f ca="1">INDEX(Aerodynamique!$AC$6:$AC$1006,MATCH(INDEX(Aerodynamique!$W$6:$W$546,MATCH(G769,Aerodynamique!$Y$6:$Y$546,1)),Aerodynamique!$AD$6:$AD$1006,-1))</f>
        <v>-2.3600000000000048</v>
      </c>
      <c r="L769">
        <f ca="1">Montée!$B$19*((E769-E768)/60)*J769/10</f>
        <v>10.835082164996988</v>
      </c>
      <c r="M769">
        <f t="shared" ca="1" si="59"/>
        <v>9259.7262691728356</v>
      </c>
    </row>
    <row r="770" spans="5:13">
      <c r="E770" s="210">
        <f t="shared" si="55"/>
        <v>765</v>
      </c>
      <c r="F770">
        <f t="shared" ca="1" si="58"/>
        <v>5433.4609917244643</v>
      </c>
      <c r="G770">
        <f t="shared" ca="1" si="56"/>
        <v>0.18013718287281438</v>
      </c>
      <c r="H770">
        <f ca="1">INDEX(Aerodynamique!$T$6:$T$546,MATCH(G770,Aerodynamique!$Y$6:$Y$546,1))</f>
        <v>-1.1499999999999928</v>
      </c>
      <c r="I770">
        <f ca="1">INDEX(Aerodynamique!$Z$6:$Z$546,MATCH(G770,Aerodynamique!$Y$6:$Y$546,1))</f>
        <v>1.1511410843496283E-2</v>
      </c>
      <c r="J770">
        <f t="shared" ca="1" si="57"/>
        <v>3388.7732808006886</v>
      </c>
      <c r="K770" s="86">
        <f ca="1">INDEX(Aerodynamique!$AC$6:$AC$1006,MATCH(INDEX(Aerodynamique!$W$6:$W$546,MATCH(G770,Aerodynamique!$Y$6:$Y$546,1)),Aerodynamique!$AD$6:$AD$1006,-1))</f>
        <v>-2.3600000000000048</v>
      </c>
      <c r="L770">
        <f ca="1">Montée!$B$19*((E770-E769)/60)*J770/10</f>
        <v>10.835082164996988</v>
      </c>
      <c r="M770">
        <f t="shared" ca="1" si="59"/>
        <v>9270.5613513378321</v>
      </c>
    </row>
    <row r="771" spans="5:13">
      <c r="E771" s="210">
        <f t="shared" si="55"/>
        <v>766</v>
      </c>
      <c r="F771">
        <f t="shared" ca="1" si="58"/>
        <v>5422.6259095594669</v>
      </c>
      <c r="G771">
        <f t="shared" ca="1" si="56"/>
        <v>0.17977796410224239</v>
      </c>
      <c r="H771">
        <f ca="1">INDEX(Aerodynamique!$T$6:$T$546,MATCH(G771,Aerodynamique!$Y$6:$Y$546,1))</f>
        <v>-1.1499999999999928</v>
      </c>
      <c r="I771">
        <f ca="1">INDEX(Aerodynamique!$Z$6:$Z$546,MATCH(G771,Aerodynamique!$Y$6:$Y$546,1))</f>
        <v>1.1511410843496283E-2</v>
      </c>
      <c r="J771">
        <f t="shared" ca="1" si="57"/>
        <v>3388.7732808006886</v>
      </c>
      <c r="K771" s="86">
        <f ca="1">INDEX(Aerodynamique!$AC$6:$AC$1006,MATCH(INDEX(Aerodynamique!$W$6:$W$546,MATCH(G771,Aerodynamique!$Y$6:$Y$546,1)),Aerodynamique!$AD$6:$AD$1006,-1))</f>
        <v>-2.3600000000000048</v>
      </c>
      <c r="L771">
        <f ca="1">Montée!$B$19*((E771-E770)/60)*J771/10</f>
        <v>10.835082164996988</v>
      </c>
      <c r="M771">
        <f t="shared" ca="1" si="59"/>
        <v>9281.3964335028286</v>
      </c>
    </row>
    <row r="772" spans="5:13">
      <c r="E772" s="210">
        <f t="shared" si="55"/>
        <v>767</v>
      </c>
      <c r="F772">
        <f t="shared" ca="1" si="58"/>
        <v>5411.7908273944695</v>
      </c>
      <c r="G772">
        <f t="shared" ca="1" si="56"/>
        <v>0.1794187453316704</v>
      </c>
      <c r="H772">
        <f ca="1">INDEX(Aerodynamique!$T$6:$T$546,MATCH(G772,Aerodynamique!$Y$6:$Y$546,1))</f>
        <v>-1.1499999999999928</v>
      </c>
      <c r="I772">
        <f ca="1">INDEX(Aerodynamique!$Z$6:$Z$546,MATCH(G772,Aerodynamique!$Y$6:$Y$546,1))</f>
        <v>1.1511410843496283E-2</v>
      </c>
      <c r="J772">
        <f t="shared" ca="1" si="57"/>
        <v>3388.7732808006886</v>
      </c>
      <c r="K772" s="86">
        <f ca="1">INDEX(Aerodynamique!$AC$6:$AC$1006,MATCH(INDEX(Aerodynamique!$W$6:$W$546,MATCH(G772,Aerodynamique!$Y$6:$Y$546,1)),Aerodynamique!$AD$6:$AD$1006,-1))</f>
        <v>-2.3600000000000048</v>
      </c>
      <c r="L772">
        <f ca="1">Montée!$B$19*((E772-E771)/60)*J772/10</f>
        <v>10.835082164996988</v>
      </c>
      <c r="M772">
        <f t="shared" ca="1" si="59"/>
        <v>9292.2315156678251</v>
      </c>
    </row>
    <row r="773" spans="5:13">
      <c r="E773" s="210">
        <f t="shared" si="55"/>
        <v>768</v>
      </c>
      <c r="F773">
        <f t="shared" ca="1" si="58"/>
        <v>5400.9557452294721</v>
      </c>
      <c r="G773">
        <f t="shared" ca="1" si="56"/>
        <v>0.17905952656109844</v>
      </c>
      <c r="H773">
        <f ca="1">INDEX(Aerodynamique!$T$6:$T$546,MATCH(G773,Aerodynamique!$Y$6:$Y$546,1))</f>
        <v>-1.1499999999999928</v>
      </c>
      <c r="I773">
        <f ca="1">INDEX(Aerodynamique!$Z$6:$Z$546,MATCH(G773,Aerodynamique!$Y$6:$Y$546,1))</f>
        <v>1.1511410843496283E-2</v>
      </c>
      <c r="J773">
        <f t="shared" ca="1" si="57"/>
        <v>3388.7732808006886</v>
      </c>
      <c r="K773" s="86">
        <f ca="1">INDEX(Aerodynamique!$AC$6:$AC$1006,MATCH(INDEX(Aerodynamique!$W$6:$W$546,MATCH(G773,Aerodynamique!$Y$6:$Y$546,1)),Aerodynamique!$AD$6:$AD$1006,-1))</f>
        <v>-2.3600000000000048</v>
      </c>
      <c r="L773">
        <f ca="1">Montée!$B$19*((E773-E772)/60)*J773/10</f>
        <v>10.835082164996988</v>
      </c>
      <c r="M773">
        <f t="shared" ca="1" si="59"/>
        <v>9303.0665978328216</v>
      </c>
    </row>
    <row r="774" spans="5:13">
      <c r="E774" s="210">
        <f t="shared" ref="E774:E782" si="60">E773+$E$3</f>
        <v>769</v>
      </c>
      <c r="F774">
        <f t="shared" ca="1" si="58"/>
        <v>5390.1206630644747</v>
      </c>
      <c r="G774">
        <f t="shared" ref="G774:G782" ca="1" si="61">2*F774*g/(rho*V^2*SRef)</f>
        <v>0.17870030779052645</v>
      </c>
      <c r="H774">
        <f ca="1">INDEX(Aerodynamique!$T$6:$T$546,MATCH(G774,Aerodynamique!$Y$6:$Y$546,1))</f>
        <v>-1.1499999999999928</v>
      </c>
      <c r="I774">
        <f ca="1">INDEX(Aerodynamique!$Z$6:$Z$546,MATCH(G774,Aerodynamique!$Y$6:$Y$546,1))</f>
        <v>1.1511410843496283E-2</v>
      </c>
      <c r="J774">
        <f t="shared" ref="J774:J782" ca="1" si="62">(1/2)*rho*V^2*SRef*I774</f>
        <v>3388.7732808006886</v>
      </c>
      <c r="K774" s="86">
        <f ca="1">INDEX(Aerodynamique!$AC$6:$AC$1006,MATCH(INDEX(Aerodynamique!$W$6:$W$546,MATCH(G774,Aerodynamique!$Y$6:$Y$546,1)),Aerodynamique!$AD$6:$AD$1006,-1))</f>
        <v>-2.3600000000000048</v>
      </c>
      <c r="L774">
        <f ca="1">Montée!$B$19*((E774-E773)/60)*J774/10</f>
        <v>10.835082164996988</v>
      </c>
      <c r="M774">
        <f t="shared" ca="1" si="59"/>
        <v>9313.9016799978181</v>
      </c>
    </row>
    <row r="775" spans="5:13">
      <c r="E775" s="210">
        <f t="shared" si="60"/>
        <v>770</v>
      </c>
      <c r="F775">
        <f t="shared" ref="F775:F782" ca="1" si="63">F774-L774</f>
        <v>5379.2855808994773</v>
      </c>
      <c r="G775">
        <f t="shared" ca="1" si="61"/>
        <v>0.17834108901995446</v>
      </c>
      <c r="H775">
        <f ca="1">INDEX(Aerodynamique!$T$6:$T$546,MATCH(G775,Aerodynamique!$Y$6:$Y$546,1))</f>
        <v>-1.1499999999999928</v>
      </c>
      <c r="I775">
        <f ca="1">INDEX(Aerodynamique!$Z$6:$Z$546,MATCH(G775,Aerodynamique!$Y$6:$Y$546,1))</f>
        <v>1.1511410843496283E-2</v>
      </c>
      <c r="J775">
        <f t="shared" ca="1" si="62"/>
        <v>3388.7732808006886</v>
      </c>
      <c r="K775" s="86">
        <f ca="1">INDEX(Aerodynamique!$AC$6:$AC$1006,MATCH(INDEX(Aerodynamique!$W$6:$W$546,MATCH(G775,Aerodynamique!$Y$6:$Y$546,1)),Aerodynamique!$AD$6:$AD$1006,-1))</f>
        <v>-2.3600000000000048</v>
      </c>
      <c r="L775">
        <f ca="1">Montée!$B$19*((E775-E774)/60)*J775/10</f>
        <v>10.835082164996988</v>
      </c>
      <c r="M775">
        <f t="shared" ca="1" si="59"/>
        <v>9324.7367621628146</v>
      </c>
    </row>
    <row r="776" spans="5:13">
      <c r="E776" s="210">
        <f t="shared" si="60"/>
        <v>771</v>
      </c>
      <c r="F776">
        <f t="shared" ca="1" si="63"/>
        <v>5368.4504987344799</v>
      </c>
      <c r="G776">
        <f t="shared" ca="1" si="61"/>
        <v>0.17798187024938247</v>
      </c>
      <c r="H776">
        <f ca="1">INDEX(Aerodynamique!$T$6:$T$546,MATCH(G776,Aerodynamique!$Y$6:$Y$546,1))</f>
        <v>-1.1499999999999928</v>
      </c>
      <c r="I776">
        <f ca="1">INDEX(Aerodynamique!$Z$6:$Z$546,MATCH(G776,Aerodynamique!$Y$6:$Y$546,1))</f>
        <v>1.1511410843496283E-2</v>
      </c>
      <c r="J776">
        <f t="shared" ca="1" si="62"/>
        <v>3388.7732808006886</v>
      </c>
      <c r="K776" s="86">
        <f ca="1">INDEX(Aerodynamique!$AC$6:$AC$1006,MATCH(INDEX(Aerodynamique!$W$6:$W$546,MATCH(G776,Aerodynamique!$Y$6:$Y$546,1)),Aerodynamique!$AD$6:$AD$1006,-1))</f>
        <v>-2.3600000000000048</v>
      </c>
      <c r="L776">
        <f ca="1">Montée!$B$19*((E776-E775)/60)*J776/10</f>
        <v>10.835082164996988</v>
      </c>
      <c r="M776">
        <f t="shared" ref="M776:M782" ca="1" si="64">M775+L776</f>
        <v>9335.571844327811</v>
      </c>
    </row>
    <row r="777" spans="5:13">
      <c r="E777" s="210">
        <f t="shared" si="60"/>
        <v>772</v>
      </c>
      <c r="F777">
        <f t="shared" ca="1" si="63"/>
        <v>5357.6154165694825</v>
      </c>
      <c r="G777">
        <f t="shared" ca="1" si="61"/>
        <v>0.17762265147881048</v>
      </c>
      <c r="H777">
        <f ca="1">INDEX(Aerodynamique!$T$6:$T$546,MATCH(G777,Aerodynamique!$Y$6:$Y$546,1))</f>
        <v>-1.1499999999999928</v>
      </c>
      <c r="I777">
        <f ca="1">INDEX(Aerodynamique!$Z$6:$Z$546,MATCH(G777,Aerodynamique!$Y$6:$Y$546,1))</f>
        <v>1.1511410843496283E-2</v>
      </c>
      <c r="J777">
        <f t="shared" ca="1" si="62"/>
        <v>3388.7732808006886</v>
      </c>
      <c r="K777" s="86">
        <f ca="1">INDEX(Aerodynamique!$AC$6:$AC$1006,MATCH(INDEX(Aerodynamique!$W$6:$W$546,MATCH(G777,Aerodynamique!$Y$6:$Y$546,1)),Aerodynamique!$AD$6:$AD$1006,-1))</f>
        <v>-2.3600000000000048</v>
      </c>
      <c r="L777">
        <f ca="1">Montée!$B$19*((E777-E776)/60)*J777/10</f>
        <v>10.835082164996988</v>
      </c>
      <c r="M777">
        <f t="shared" ca="1" si="64"/>
        <v>9346.4069264928075</v>
      </c>
    </row>
    <row r="778" spans="5:13">
      <c r="E778" s="210">
        <f t="shared" si="60"/>
        <v>773</v>
      </c>
      <c r="F778">
        <f t="shared" ca="1" si="63"/>
        <v>5346.7803344044851</v>
      </c>
      <c r="G778">
        <f t="shared" ca="1" si="61"/>
        <v>0.17726343270823852</v>
      </c>
      <c r="H778">
        <f ca="1">INDEX(Aerodynamique!$T$6:$T$546,MATCH(G778,Aerodynamique!$Y$6:$Y$546,1))</f>
        <v>-1.1999999999999929</v>
      </c>
      <c r="I778">
        <f ca="1">INDEX(Aerodynamique!$Z$6:$Z$546,MATCH(G778,Aerodynamique!$Y$6:$Y$546,1))</f>
        <v>1.1487538792802746E-2</v>
      </c>
      <c r="J778">
        <f t="shared" ca="1" si="62"/>
        <v>3381.7457349465776</v>
      </c>
      <c r="K778" s="86">
        <f ca="1">INDEX(Aerodynamique!$AC$6:$AC$1006,MATCH(INDEX(Aerodynamique!$W$6:$W$546,MATCH(G778,Aerodynamique!$Y$6:$Y$546,1)),Aerodynamique!$AD$6:$AD$1006,-1))</f>
        <v>-2.3200000000000047</v>
      </c>
      <c r="L778">
        <f ca="1">Montée!$B$19*((E778-E777)/60)*J778/10</f>
        <v>10.812612666320588</v>
      </c>
      <c r="M778">
        <f t="shared" ca="1" si="64"/>
        <v>9357.2195391591285</v>
      </c>
    </row>
    <row r="779" spans="5:13">
      <c r="E779" s="210">
        <f t="shared" si="60"/>
        <v>774</v>
      </c>
      <c r="F779">
        <f t="shared" ca="1" si="63"/>
        <v>5335.9677217381641</v>
      </c>
      <c r="G779">
        <f t="shared" ca="1" si="61"/>
        <v>0.17690495887578209</v>
      </c>
      <c r="H779">
        <f ca="1">INDEX(Aerodynamique!$T$6:$T$546,MATCH(G779,Aerodynamique!$Y$6:$Y$546,1))</f>
        <v>-1.1999999999999929</v>
      </c>
      <c r="I779">
        <f ca="1">INDEX(Aerodynamique!$Z$6:$Z$546,MATCH(G779,Aerodynamique!$Y$6:$Y$546,1))</f>
        <v>1.1487538792802746E-2</v>
      </c>
      <c r="J779">
        <f t="shared" ca="1" si="62"/>
        <v>3381.7457349465776</v>
      </c>
      <c r="K779" s="86">
        <f ca="1">INDEX(Aerodynamique!$AC$6:$AC$1006,MATCH(INDEX(Aerodynamique!$W$6:$W$546,MATCH(G779,Aerodynamique!$Y$6:$Y$546,1)),Aerodynamique!$AD$6:$AD$1006,-1))</f>
        <v>-2.3200000000000047</v>
      </c>
      <c r="L779">
        <f ca="1">Montée!$B$19*((E779-E778)/60)*J779/10</f>
        <v>10.812612666320588</v>
      </c>
      <c r="M779">
        <f t="shared" ca="1" si="64"/>
        <v>9368.0321518254495</v>
      </c>
    </row>
    <row r="780" spans="5:13">
      <c r="E780" s="210">
        <f t="shared" si="60"/>
        <v>775</v>
      </c>
      <c r="F780">
        <f t="shared" ca="1" si="63"/>
        <v>5325.1551090718431</v>
      </c>
      <c r="G780">
        <f t="shared" ca="1" si="61"/>
        <v>0.17654648504332565</v>
      </c>
      <c r="H780">
        <f ca="1">INDEX(Aerodynamique!$T$6:$T$546,MATCH(G780,Aerodynamique!$Y$6:$Y$546,1))</f>
        <v>-1.1999999999999929</v>
      </c>
      <c r="I780">
        <f ca="1">INDEX(Aerodynamique!$Z$6:$Z$546,MATCH(G780,Aerodynamique!$Y$6:$Y$546,1))</f>
        <v>1.1487538792802746E-2</v>
      </c>
      <c r="J780">
        <f t="shared" ca="1" si="62"/>
        <v>3381.7457349465776</v>
      </c>
      <c r="K780" s="86">
        <f ca="1">INDEX(Aerodynamique!$AC$6:$AC$1006,MATCH(INDEX(Aerodynamique!$W$6:$W$546,MATCH(G780,Aerodynamique!$Y$6:$Y$546,1)),Aerodynamique!$AD$6:$AD$1006,-1))</f>
        <v>-2.3200000000000047</v>
      </c>
      <c r="L780">
        <f ca="1">Montée!$B$19*((E780-E779)/60)*J780/10</f>
        <v>10.812612666320588</v>
      </c>
      <c r="M780">
        <f t="shared" ca="1" si="64"/>
        <v>9378.8447644917705</v>
      </c>
    </row>
    <row r="781" spans="5:13">
      <c r="E781" s="210">
        <f t="shared" si="60"/>
        <v>776</v>
      </c>
      <c r="F781">
        <f t="shared" ca="1" si="63"/>
        <v>5314.3424964055221</v>
      </c>
      <c r="G781">
        <f t="shared" ca="1" si="61"/>
        <v>0.17618801121086922</v>
      </c>
      <c r="H781">
        <f ca="1">INDEX(Aerodynamique!$T$6:$T$546,MATCH(G781,Aerodynamique!$Y$6:$Y$546,1))</f>
        <v>-1.1999999999999929</v>
      </c>
      <c r="I781">
        <f ca="1">INDEX(Aerodynamique!$Z$6:$Z$546,MATCH(G781,Aerodynamique!$Y$6:$Y$546,1))</f>
        <v>1.1487538792802746E-2</v>
      </c>
      <c r="J781">
        <f t="shared" ca="1" si="62"/>
        <v>3381.7457349465776</v>
      </c>
      <c r="K781" s="86">
        <f ca="1">INDEX(Aerodynamique!$AC$6:$AC$1006,MATCH(INDEX(Aerodynamique!$W$6:$W$546,MATCH(G781,Aerodynamique!$Y$6:$Y$546,1)),Aerodynamique!$AD$6:$AD$1006,-1))</f>
        <v>-2.3200000000000047</v>
      </c>
      <c r="L781">
        <f ca="1">Montée!$B$19*((E781-E780)/60)*J781/10</f>
        <v>10.812612666320588</v>
      </c>
      <c r="M781">
        <f t="shared" ca="1" si="64"/>
        <v>9389.6573771580915</v>
      </c>
    </row>
    <row r="782" spans="5:13">
      <c r="E782" s="210">
        <f t="shared" si="60"/>
        <v>777</v>
      </c>
      <c r="F782">
        <f t="shared" ca="1" si="63"/>
        <v>5303.5298837392011</v>
      </c>
      <c r="G782">
        <f t="shared" ca="1" si="61"/>
        <v>0.17582953737841281</v>
      </c>
      <c r="H782">
        <f ca="1">INDEX(Aerodynamique!$T$6:$T$546,MATCH(G782,Aerodynamique!$Y$6:$Y$546,1))</f>
        <v>-1.1999999999999929</v>
      </c>
      <c r="I782">
        <f ca="1">INDEX(Aerodynamique!$Z$6:$Z$546,MATCH(G782,Aerodynamique!$Y$6:$Y$546,1))</f>
        <v>1.1487538792802746E-2</v>
      </c>
      <c r="J782">
        <f t="shared" ca="1" si="62"/>
        <v>3381.7457349465776</v>
      </c>
      <c r="K782" s="86">
        <f ca="1">INDEX(Aerodynamique!$AC$6:$AC$1006,MATCH(INDEX(Aerodynamique!$W$6:$W$546,MATCH(G782,Aerodynamique!$Y$6:$Y$546,1)),Aerodynamique!$AD$6:$AD$1006,-1))</f>
        <v>-2.3200000000000047</v>
      </c>
      <c r="L782">
        <f ca="1">Montée!$B$19*((E782-E781)/60)*J782/10</f>
        <v>10.812612666320588</v>
      </c>
      <c r="M782">
        <f t="shared" ca="1" si="64"/>
        <v>9400.4699898244126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4"/>
  <dimension ref="A3:I108"/>
  <sheetViews>
    <sheetView workbookViewId="0">
      <selection activeCell="A26" sqref="A26:B27"/>
    </sheetView>
  </sheetViews>
  <sheetFormatPr baseColWidth="10" defaultRowHeight="12.75"/>
  <cols>
    <col min="1" max="1" width="33.5703125" customWidth="1"/>
  </cols>
  <sheetData>
    <row r="3" spans="1:2">
      <c r="A3" s="192" t="s">
        <v>122</v>
      </c>
      <c r="B3" s="193">
        <v>287</v>
      </c>
    </row>
    <row r="4" spans="1:2">
      <c r="A4" s="192" t="s">
        <v>110</v>
      </c>
      <c r="B4" s="194">
        <v>15240</v>
      </c>
    </row>
    <row r="5" spans="1:2">
      <c r="A5" s="192" t="s">
        <v>118</v>
      </c>
      <c r="B5" s="195">
        <f>IF(B4&lt;11000,288.15-(6.5*B4/1000),216.65)</f>
        <v>216.65</v>
      </c>
    </row>
    <row r="6" spans="1:2">
      <c r="A6" s="192" t="s">
        <v>111</v>
      </c>
      <c r="B6" s="194">
        <f>IF(B4&lt;11000,101325*(1-(0.0065*B4/288.15))^5.256,22631.26*EXP(-1.5769*0.0001*(B4-11000)))</f>
        <v>11596.769134139564</v>
      </c>
    </row>
    <row r="7" spans="1:2">
      <c r="A7" s="192" t="s">
        <v>112</v>
      </c>
      <c r="B7" s="196">
        <f>B6/(B5*B3)</f>
        <v>0.18650755178658177</v>
      </c>
    </row>
    <row r="10" spans="1:2">
      <c r="A10" s="197" t="s">
        <v>365</v>
      </c>
      <c r="B10" s="84">
        <f>MVOE+CU+B13+B22</f>
        <v>9756.6512571489347</v>
      </c>
    </row>
    <row r="12" spans="1:2">
      <c r="A12" s="125" t="s">
        <v>366</v>
      </c>
      <c r="B12" s="198">
        <v>20</v>
      </c>
    </row>
    <row r="13" spans="1:2">
      <c r="A13" s="125" t="s">
        <v>367</v>
      </c>
      <c r="B13" s="84">
        <v>40</v>
      </c>
    </row>
    <row r="15" spans="1:2">
      <c r="A15" s="125" t="s">
        <v>308</v>
      </c>
      <c r="B15" s="84">
        <f>finesse_max</f>
        <v>34.943890833295335</v>
      </c>
    </row>
    <row r="16" spans="1:2">
      <c r="A16" s="125" t="s">
        <v>368</v>
      </c>
      <c r="B16" s="84">
        <f>Cz_fmax</f>
        <v>0.7218120703319133</v>
      </c>
    </row>
    <row r="18" spans="1:9">
      <c r="A18" s="125" t="s">
        <v>369</v>
      </c>
      <c r="B18" s="84">
        <f>DEGREES(ATAN(-1/finesse_max))</f>
        <v>-1.6392034496401426</v>
      </c>
    </row>
    <row r="20" spans="1:9">
      <c r="A20" s="125" t="s">
        <v>370</v>
      </c>
      <c r="B20" s="84">
        <f>M_debut_descente*g/(B16*SRef)</f>
        <v>909.4493457300041</v>
      </c>
    </row>
    <row r="22" spans="1:9">
      <c r="A22" s="125" t="s">
        <v>371</v>
      </c>
      <c r="B22" s="84">
        <v>52.959587410319166</v>
      </c>
    </row>
    <row r="23" spans="1:9">
      <c r="A23" s="199" t="s">
        <v>372</v>
      </c>
      <c r="B23" s="200">
        <f>B12*B26/60</f>
        <v>52.959587406629517</v>
      </c>
      <c r="C23" s="164" t="s">
        <v>31</v>
      </c>
      <c r="D23" s="201">
        <f>B22-B23</f>
        <v>3.6896494748361874E-9</v>
      </c>
      <c r="E23" s="85"/>
    </row>
    <row r="24" spans="1:9">
      <c r="A24" s="134"/>
      <c r="B24" s="85"/>
      <c r="C24" s="85"/>
      <c r="D24" s="134"/>
      <c r="E24" s="85"/>
    </row>
    <row r="25" spans="1:9">
      <c r="A25" s="125" t="s">
        <v>373</v>
      </c>
      <c r="B25" s="200">
        <f>SUM(I34:INDEX(I34:I108,MATCH(MROUND(Altm,F31),E34:E108)))</f>
        <v>9532.7257331933124</v>
      </c>
      <c r="C25" s="85"/>
      <c r="D25" s="134"/>
      <c r="E25" s="85"/>
    </row>
    <row r="26" spans="1:9">
      <c r="A26" s="125" t="s">
        <v>374</v>
      </c>
      <c r="B26" s="200">
        <f>B25/60</f>
        <v>158.87876221988853</v>
      </c>
      <c r="C26" s="85"/>
      <c r="D26" s="134"/>
      <c r="E26" s="85"/>
    </row>
    <row r="27" spans="1:9">
      <c r="A27" s="125" t="s">
        <v>375</v>
      </c>
      <c r="B27" s="200">
        <f>(Altm/TAN(RADIANS(-B18)))/1000</f>
        <v>532.54489629942088</v>
      </c>
      <c r="C27" s="85"/>
      <c r="D27" s="134"/>
      <c r="E27" s="85"/>
    </row>
    <row r="28" spans="1:9">
      <c r="A28" s="134"/>
      <c r="B28" s="85"/>
      <c r="C28" s="85"/>
      <c r="D28" s="134"/>
      <c r="E28" s="85"/>
    </row>
    <row r="29" spans="1:9">
      <c r="A29" s="134"/>
      <c r="B29" s="85"/>
      <c r="C29" s="85"/>
      <c r="D29" s="134"/>
      <c r="E29" s="85"/>
    </row>
    <row r="30" spans="1:9">
      <c r="C30" s="85"/>
      <c r="D30" s="134"/>
      <c r="E30" s="85"/>
    </row>
    <row r="31" spans="1:9">
      <c r="A31" s="134"/>
      <c r="B31" s="85"/>
      <c r="C31" s="85"/>
      <c r="E31" s="152" t="s">
        <v>376</v>
      </c>
      <c r="F31" s="202">
        <v>250</v>
      </c>
    </row>
    <row r="32" spans="1:9" ht="51">
      <c r="E32" s="203" t="s">
        <v>377</v>
      </c>
      <c r="F32" s="204" t="s">
        <v>359</v>
      </c>
      <c r="G32" s="204" t="s">
        <v>378</v>
      </c>
      <c r="H32" s="204" t="s">
        <v>379</v>
      </c>
      <c r="I32" s="204" t="s">
        <v>373</v>
      </c>
    </row>
    <row r="33" spans="5:9">
      <c r="E33" s="205">
        <f>B4</f>
        <v>15240</v>
      </c>
      <c r="F33" s="206">
        <f>B7</f>
        <v>0.18650755178658177</v>
      </c>
    </row>
    <row r="34" spans="5:9">
      <c r="E34" s="207">
        <v>0</v>
      </c>
      <c r="F34">
        <v>1.2252256827617731</v>
      </c>
      <c r="G34">
        <f>SQRT(2*$B$20/F34)</f>
        <v>38.529751621054096</v>
      </c>
      <c r="H34">
        <f>SIN(RADIANS($B$18))*G34</f>
        <v>-1.1021664563679681</v>
      </c>
      <c r="I34">
        <f t="shared" ref="I34:I97" si="0">(E34-E35)/H34</f>
        <v>226.8259921680426</v>
      </c>
    </row>
    <row r="35" spans="5:9">
      <c r="E35" s="207">
        <f>E34+$F$31</f>
        <v>250</v>
      </c>
      <c r="F35">
        <v>1.1960874088331737</v>
      </c>
      <c r="G35">
        <f t="shared" ref="G35:G98" si="1">SQRT(2*$B$20/F35)</f>
        <v>38.996245512415001</v>
      </c>
      <c r="H35">
        <f t="shared" ref="H35:H98" si="2">SIN(RADIANS($B$18))*G35</f>
        <v>-1.1155107915252598</v>
      </c>
      <c r="I35">
        <f t="shared" si="0"/>
        <v>224.11257864943656</v>
      </c>
    </row>
    <row r="36" spans="5:9">
      <c r="E36" s="207">
        <f t="shared" ref="E36:E99" si="3">E35+$F$31</f>
        <v>500</v>
      </c>
      <c r="F36">
        <v>1.1674822658856603</v>
      </c>
      <c r="G36">
        <f t="shared" si="1"/>
        <v>39.471089038843424</v>
      </c>
      <c r="H36">
        <f t="shared" si="2"/>
        <v>-1.1290939729586669</v>
      </c>
      <c r="I36">
        <f t="shared" si="0"/>
        <v>221.4164684139642</v>
      </c>
    </row>
    <row r="37" spans="5:9">
      <c r="E37" s="207">
        <f t="shared" si="3"/>
        <v>750</v>
      </c>
      <c r="F37">
        <v>1.1394034569997256</v>
      </c>
      <c r="G37">
        <f t="shared" si="1"/>
        <v>39.954480559759411</v>
      </c>
      <c r="H37">
        <f t="shared" si="2"/>
        <v>-1.1429216748573514</v>
      </c>
      <c r="I37">
        <f t="shared" si="0"/>
        <v>218.73764886924786</v>
      </c>
    </row>
    <row r="38" spans="5:9">
      <c r="E38" s="207">
        <f t="shared" si="3"/>
        <v>1000</v>
      </c>
      <c r="F38">
        <v>1.1118442337744616</v>
      </c>
      <c r="G38">
        <f t="shared" si="1"/>
        <v>40.446624322364883</v>
      </c>
      <c r="H38">
        <f t="shared" si="2"/>
        <v>-1.1569997398339777</v>
      </c>
      <c r="I38">
        <f t="shared" si="0"/>
        <v>216.07610736012217</v>
      </c>
    </row>
    <row r="39" spans="5:9">
      <c r="E39" s="207">
        <f t="shared" si="3"/>
        <v>1250</v>
      </c>
      <c r="F39">
        <v>1.0847978962565625</v>
      </c>
      <c r="G39">
        <f t="shared" si="1"/>
        <v>40.947730671702544</v>
      </c>
      <c r="H39">
        <f t="shared" si="2"/>
        <v>-1.1713341849335712</v>
      </c>
      <c r="I39">
        <f t="shared" si="0"/>
        <v>213.43183116795828</v>
      </c>
    </row>
    <row r="40" spans="5:9">
      <c r="E40" s="207">
        <f t="shared" si="3"/>
        <v>1500</v>
      </c>
      <c r="F40">
        <v>1.0582577928690282</v>
      </c>
      <c r="G40">
        <f t="shared" si="1"/>
        <v>41.458016269482975</v>
      </c>
      <c r="H40">
        <f t="shared" si="2"/>
        <v>-1.1859312078931987</v>
      </c>
      <c r="I40">
        <f t="shared" si="0"/>
        <v>210.80480750997677</v>
      </c>
    </row>
    <row r="41" spans="5:9">
      <c r="E41" s="207">
        <f t="shared" si="3"/>
        <v>1750</v>
      </c>
      <c r="F41">
        <v>1.0322173203395526</v>
      </c>
      <c r="G41">
        <f t="shared" si="1"/>
        <v>41.977704322099981</v>
      </c>
      <c r="H41">
        <f t="shared" si="2"/>
        <v>-1.2007971936644817</v>
      </c>
      <c r="I41">
        <f t="shared" si="0"/>
        <v>208.19502353854872</v>
      </c>
    </row>
    <row r="42" spans="5:9">
      <c r="E42" s="207">
        <f t="shared" si="3"/>
        <v>2000</v>
      </c>
      <c r="F42">
        <v>1.0066699236286105</v>
      </c>
      <c r="G42">
        <f t="shared" si="1"/>
        <v>42.507024818276363</v>
      </c>
      <c r="H42">
        <f t="shared" si="2"/>
        <v>-1.2159387212115957</v>
      </c>
      <c r="I42">
        <f t="shared" si="0"/>
        <v>205.60246634048542</v>
      </c>
    </row>
    <row r="43" spans="5:9">
      <c r="E43" s="207">
        <f t="shared" si="3"/>
        <v>2250</v>
      </c>
      <c r="F43">
        <v>0.98160909585722811</v>
      </c>
      <c r="G43">
        <f t="shared" si="1"/>
        <v>43.046214776806913</v>
      </c>
      <c r="H43">
        <f t="shared" si="2"/>
        <v>-1.2313625705981066</v>
      </c>
      <c r="I43">
        <f t="shared" si="0"/>
        <v>203.02712293631609</v>
      </c>
    </row>
    <row r="44" spans="5:9">
      <c r="E44" s="207">
        <f t="shared" si="3"/>
        <v>2500</v>
      </c>
      <c r="F44">
        <v>0.95702837823443432</v>
      </c>
      <c r="G44">
        <f t="shared" si="1"/>
        <v>43.595518504890812</v>
      </c>
      <c r="H44">
        <f t="shared" si="2"/>
        <v>-1.2470757303767208</v>
      </c>
      <c r="I44">
        <f t="shared" si="0"/>
        <v>200.46898027955299</v>
      </c>
    </row>
    <row r="45" spans="5:9">
      <c r="E45" s="207">
        <f t="shared" si="3"/>
        <v>2750</v>
      </c>
      <c r="F45">
        <v>0.9329213599843984</v>
      </c>
      <c r="G45">
        <f t="shared" si="1"/>
        <v>44.155187867572486</v>
      </c>
      <c r="H45">
        <f t="shared" si="2"/>
        <v>-1.263085405296803</v>
      </c>
      <c r="I45">
        <f t="shared" si="0"/>
        <v>197.92802525594408</v>
      </c>
    </row>
    <row r="46" spans="5:9">
      <c r="E46" s="207">
        <f t="shared" si="3"/>
        <v>3000</v>
      </c>
      <c r="F46">
        <v>0.90928167827323914</v>
      </c>
      <c r="G46">
        <f t="shared" si="1"/>
        <v>44.725482568839055</v>
      </c>
      <c r="H46">
        <f t="shared" si="2"/>
        <v>-1.2793990243453341</v>
      </c>
      <c r="I46">
        <f t="shared" si="0"/>
        <v>195.40424468271303</v>
      </c>
    </row>
    <row r="47" spans="5:9">
      <c r="E47" s="207">
        <f t="shared" si="3"/>
        <v>3250</v>
      </c>
      <c r="F47">
        <v>0.88610301813551495</v>
      </c>
      <c r="G47">
        <f t="shared" si="1"/>
        <v>45.306670444952793</v>
      </c>
      <c r="H47">
        <f t="shared" si="2"/>
        <v>-1.2960242491378624</v>
      </c>
      <c r="I47">
        <f t="shared" si="0"/>
        <v>192.89762530778594</v>
      </c>
    </row>
    <row r="48" spans="5:9">
      <c r="E48" s="207">
        <f t="shared" si="3"/>
        <v>3500</v>
      </c>
      <c r="F48">
        <v>0.86337911240037468</v>
      </c>
      <c r="G48">
        <f t="shared" si="1"/>
        <v>45.899027770629807</v>
      </c>
      <c r="H48">
        <f t="shared" si="2"/>
        <v>-1.3129689826769253</v>
      </c>
      <c r="I48">
        <f t="shared" si="0"/>
        <v>190.40815380900438</v>
      </c>
    </row>
    <row r="49" spans="5:9">
      <c r="E49" s="207">
        <f t="shared" si="3"/>
        <v>3750</v>
      </c>
      <c r="F49">
        <v>0.84110374161738399</v>
      </c>
      <c r="G49">
        <f t="shared" si="1"/>
        <v>46.502839578710123</v>
      </c>
      <c r="H49">
        <f t="shared" si="2"/>
        <v>-1.3302413784964031</v>
      </c>
      <c r="I49">
        <f t="shared" si="0"/>
        <v>187.9358167933249</v>
      </c>
    </row>
    <row r="50" spans="5:9">
      <c r="E50" s="207">
        <f t="shared" si="3"/>
        <v>4000</v>
      </c>
      <c r="F50">
        <v>0.81927073398201211</v>
      </c>
      <c r="G50">
        <f t="shared" si="1"/>
        <v>47.118399994001415</v>
      </c>
      <c r="H50">
        <f t="shared" si="2"/>
        <v>-1.3478498502113174</v>
      </c>
      <c r="I50">
        <f t="shared" si="0"/>
        <v>185.48060079600464</v>
      </c>
    </row>
    <row r="51" spans="5:9">
      <c r="E51" s="207">
        <f t="shared" si="3"/>
        <v>4250</v>
      </c>
      <c r="F51">
        <v>0.79787396526077581</v>
      </c>
      <c r="G51">
        <f t="shared" si="1"/>
        <v>47.746012582017642</v>
      </c>
      <c r="H51">
        <f t="shared" si="2"/>
        <v>-1.3658030814937061</v>
      </c>
      <c r="I51">
        <f t="shared" si="0"/>
        <v>183.04249227977164</v>
      </c>
    </row>
    <row r="52" spans="5:9">
      <c r="E52" s="207">
        <f t="shared" si="3"/>
        <v>4500</v>
      </c>
      <c r="F52">
        <v>0.776907358716043</v>
      </c>
      <c r="G52">
        <f t="shared" si="1"/>
        <v>48.385990713374731</v>
      </c>
      <c r="H52">
        <f t="shared" si="2"/>
        <v>-1.3841100364963799</v>
      </c>
      <c r="I52">
        <f t="shared" si="0"/>
        <v>180.62147763398136</v>
      </c>
    </row>
    <row r="53" spans="5:9">
      <c r="E53" s="207">
        <f t="shared" si="3"/>
        <v>4750</v>
      </c>
      <c r="F53">
        <v>0.75636488503048882</v>
      </c>
      <c r="G53">
        <f t="shared" si="1"/>
        <v>49.038657944650318</v>
      </c>
      <c r="H53">
        <f t="shared" si="2"/>
        <v>-1.4027799707476412</v>
      </c>
      <c r="I53">
        <f t="shared" si="0"/>
        <v>178.21754317375749</v>
      </c>
    </row>
    <row r="54" spans="5:9">
      <c r="E54" s="207">
        <f t="shared" si="3"/>
        <v>5000</v>
      </c>
      <c r="F54">
        <v>0.7362405622311966</v>
      </c>
      <c r="G54">
        <f t="shared" si="1"/>
        <v>49.704348416561054</v>
      </c>
      <c r="H54">
        <f t="shared" si="2"/>
        <v>-1.4218224425413823</v>
      </c>
      <c r="I54">
        <f t="shared" si="0"/>
        <v>175.83067513911726</v>
      </c>
    </row>
    <row r="55" spans="5:9">
      <c r="E55" s="207">
        <f t="shared" si="3"/>
        <v>5250</v>
      </c>
      <c r="F55">
        <v>0.71652845561340595</v>
      </c>
      <c r="G55">
        <f t="shared" si="1"/>
        <v>50.383407270361154</v>
      </c>
      <c r="H55">
        <f t="shared" si="2"/>
        <v>-1.4412473248484143</v>
      </c>
      <c r="I55">
        <f t="shared" si="0"/>
        <v>173.46085969408074</v>
      </c>
    </row>
    <row r="56" spans="5:9">
      <c r="E56" s="207">
        <f t="shared" si="3"/>
        <v>5500</v>
      </c>
      <c r="F56">
        <v>0.69722267766390522</v>
      </c>
      <c r="G56">
        <f t="shared" si="1"/>
        <v>51.076191083418941</v>
      </c>
      <c r="H56">
        <f t="shared" si="2"/>
        <v>-1.4610648177763923</v>
      </c>
      <c r="I56">
        <f t="shared" si="0"/>
        <v>171.10808292576453</v>
      </c>
    </row>
    <row r="57" spans="5:9">
      <c r="E57" s="207">
        <f t="shared" si="3"/>
        <v>5750</v>
      </c>
      <c r="F57">
        <v>0.67831738798405272</v>
      </c>
      <c r="G57">
        <f t="shared" si="1"/>
        <v>51.783068324985599</v>
      </c>
      <c r="H57">
        <f t="shared" si="2"/>
        <v>-1.4812854616073523</v>
      </c>
      <c r="I57">
        <f t="shared" si="0"/>
        <v>168.77233084345769</v>
      </c>
    </row>
    <row r="58" spans="5:9">
      <c r="E58" s="207">
        <f t="shared" si="3"/>
        <v>6000</v>
      </c>
      <c r="F58">
        <v>0.6598067932124374</v>
      </c>
      <c r="G58">
        <f t="shared" si="1"/>
        <v>52.504419833229981</v>
      </c>
      <c r="H58">
        <f t="shared" si="2"/>
        <v>-1.5019201504435751</v>
      </c>
      <c r="I58">
        <f t="shared" si="0"/>
        <v>166.4535893776812</v>
      </c>
    </row>
    <row r="59" spans="5:9">
      <c r="E59" s="207">
        <f t="shared" si="3"/>
        <v>6250</v>
      </c>
      <c r="F59">
        <v>0.64168514694716672</v>
      </c>
      <c r="G59">
        <f t="shared" si="1"/>
        <v>53.24063931467866</v>
      </c>
      <c r="H59">
        <f t="shared" si="2"/>
        <v>-1.522980146494366</v>
      </c>
      <c r="I59">
        <f t="shared" si="0"/>
        <v>164.15184437922994</v>
      </c>
    </row>
    <row r="60" spans="5:9">
      <c r="E60" s="207">
        <f t="shared" si="3"/>
        <v>6500</v>
      </c>
      <c r="F60">
        <v>0.62394674966777597</v>
      </c>
      <c r="G60">
        <f t="shared" si="1"/>
        <v>53.992133867269189</v>
      </c>
      <c r="H60">
        <f t="shared" si="2"/>
        <v>-1.5444770950383044</v>
      </c>
      <c r="I60">
        <f t="shared" si="0"/>
        <v>161.86708161819632</v>
      </c>
    </row>
    <row r="61" spans="5:9">
      <c r="E61" s="207">
        <f t="shared" si="3"/>
        <v>6750</v>
      </c>
      <c r="F61">
        <v>0.60658594865676185</v>
      </c>
      <c r="G61">
        <f t="shared" si="1"/>
        <v>54.759324528297924</v>
      </c>
      <c r="H61">
        <f t="shared" si="2"/>
        <v>-1.5664230400976178</v>
      </c>
      <c r="I61">
        <f t="shared" si="0"/>
        <v>159.59928678297547</v>
      </c>
    </row>
    <row r="62" spans="5:9">
      <c r="E62" s="207">
        <f t="shared" si="3"/>
        <v>7000</v>
      </c>
      <c r="F62">
        <v>0.58959713792072954</v>
      </c>
      <c r="G62">
        <f t="shared" si="1"/>
        <v>55.542646848622638</v>
      </c>
      <c r="H62">
        <f t="shared" si="2"/>
        <v>-1.5888304408635874</v>
      </c>
      <c r="I62">
        <f t="shared" si="0"/>
        <v>157.34844547925195</v>
      </c>
    </row>
    <row r="63" spans="5:9">
      <c r="E63" s="207">
        <f t="shared" si="3"/>
        <v>7250</v>
      </c>
      <c r="F63">
        <v>0.57297475811115062</v>
      </c>
      <c r="G63">
        <f t="shared" si="1"/>
        <v>56.34255149456424</v>
      </c>
      <c r="H63">
        <f t="shared" si="2"/>
        <v>-1.611712188914306</v>
      </c>
      <c r="I63">
        <f t="shared" si="0"/>
        <v>155.11454322896628</v>
      </c>
    </row>
    <row r="64" spans="5:9">
      <c r="E64" s="207">
        <f t="shared" si="3"/>
        <v>7500</v>
      </c>
      <c r="F64">
        <v>0.55671329644472922</v>
      </c>
      <c r="G64">
        <f t="shared" si="1"/>
        <v>57.159504879041329</v>
      </c>
      <c r="H64">
        <f t="shared" si="2"/>
        <v>-1.6350816262686572</v>
      </c>
      <c r="I64">
        <f t="shared" si="0"/>
        <v>152.89756546926236</v>
      </c>
    </row>
    <row r="65" spans="5:9">
      <c r="E65" s="207">
        <f t="shared" si="3"/>
        <v>7750</v>
      </c>
      <c r="F65">
        <v>0.5408072866233713</v>
      </c>
      <c r="G65">
        <f t="shared" si="1"/>
        <v>57.993989823567865</v>
      </c>
      <c r="H65">
        <f t="shared" si="2"/>
        <v>-1.6589525643231515</v>
      </c>
      <c r="I65">
        <f t="shared" si="0"/>
        <v>150.69749755141393</v>
      </c>
    </row>
    <row r="66" spans="5:9">
      <c r="E66" s="207">
        <f t="shared" si="3"/>
        <v>8000</v>
      </c>
      <c r="F66">
        <v>0.52525130875374715</v>
      </c>
      <c r="G66">
        <f t="shared" si="1"/>
        <v>58.846506252846829</v>
      </c>
      <c r="H66">
        <f t="shared" si="2"/>
        <v>-1.6833393037211919</v>
      </c>
      <c r="I66">
        <f t="shared" si="0"/>
        <v>148.51432473972994</v>
      </c>
    </row>
    <row r="67" spans="5:9">
      <c r="E67" s="207">
        <f t="shared" si="3"/>
        <v>8250</v>
      </c>
      <c r="F67">
        <v>0.51003998926645133</v>
      </c>
      <c r="G67">
        <f t="shared" si="1"/>
        <v>59.717571923802474</v>
      </c>
      <c r="H67">
        <f t="shared" si="2"/>
        <v>-1.7082566552074743</v>
      </c>
      <c r="I67">
        <f t="shared" si="0"/>
        <v>146.34803221043887</v>
      </c>
    </row>
    <row r="68" spans="5:9">
      <c r="E68" s="207">
        <f t="shared" si="3"/>
        <v>8500</v>
      </c>
      <c r="F68">
        <v>0.49516800083474982</v>
      </c>
      <c r="G68">
        <f t="shared" si="1"/>
        <v>60.607723191012049</v>
      </c>
      <c r="H68">
        <f t="shared" si="2"/>
        <v>-1.7337199615236181</v>
      </c>
      <c r="I68">
        <f t="shared" si="0"/>
        <v>144.19860505055061</v>
      </c>
    </row>
    <row r="69" spans="5:9">
      <c r="E69" s="207">
        <f t="shared" si="3"/>
        <v>8750</v>
      </c>
      <c r="F69">
        <v>0.48063006229290595</v>
      </c>
      <c r="G69">
        <f t="shared" si="1"/>
        <v>61.517515810624133</v>
      </c>
      <c r="H69">
        <f t="shared" si="2"/>
        <v>-1.7597451204047265</v>
      </c>
      <c r="I69">
        <f t="shared" si="0"/>
        <v>142.06602825669555</v>
      </c>
    </row>
    <row r="70" spans="5:9">
      <c r="E70" s="207">
        <f t="shared" si="3"/>
        <v>9000</v>
      </c>
      <c r="F70">
        <v>0.46642093855408934</v>
      </c>
      <c r="G70">
        <f t="shared" si="1"/>
        <v>62.44752578498538</v>
      </c>
      <c r="H70">
        <f t="shared" si="2"/>
        <v>-1.7863486087404388</v>
      </c>
      <c r="I70">
        <f t="shared" si="0"/>
        <v>139.95028673394046</v>
      </c>
    </row>
    <row r="71" spans="5:9">
      <c r="E71" s="207">
        <f t="shared" si="3"/>
        <v>9250</v>
      </c>
      <c r="F71">
        <v>0.45253544052785566</v>
      </c>
      <c r="G71">
        <f t="shared" si="1"/>
        <v>63.398350250343327</v>
      </c>
      <c r="H71">
        <f t="shared" si="2"/>
        <v>-1.8135475079681951</v>
      </c>
      <c r="I71">
        <f t="shared" si="0"/>
        <v>137.8513652945806</v>
      </c>
    </row>
    <row r="72" spans="5:9">
      <c r="E72" s="207">
        <f t="shared" si="3"/>
        <v>9500</v>
      </c>
      <c r="F72">
        <v>0.4389684250371923</v>
      </c>
      <c r="G72">
        <f t="shared" si="1"/>
        <v>64.370608410148634</v>
      </c>
      <c r="H72">
        <f t="shared" si="2"/>
        <v>-1.8413595307709039</v>
      </c>
      <c r="I72">
        <f t="shared" si="0"/>
        <v>135.76924865690677</v>
      </c>
    </row>
    <row r="73" spans="5:9">
      <c r="E73" s="207">
        <f t="shared" si="3"/>
        <v>9750</v>
      </c>
      <c r="F73">
        <v>0.42571479473512802</v>
      </c>
      <c r="G73">
        <f t="shared" si="1"/>
        <v>65.364942516646593</v>
      </c>
      <c r="H73">
        <f t="shared" si="2"/>
        <v>-1.8698030491559487</v>
      </c>
      <c r="I73">
        <f t="shared" si="0"/>
        <v>133.70392144394725</v>
      </c>
    </row>
    <row r="74" spans="5:9">
      <c r="E74" s="207">
        <f t="shared" si="3"/>
        <v>10000</v>
      </c>
      <c r="F74">
        <v>0.41276949802089902</v>
      </c>
      <c r="G74">
        <f t="shared" si="1"/>
        <v>66.382018903628023</v>
      </c>
      <c r="H74">
        <f t="shared" si="2"/>
        <v>-1.8988971239976435</v>
      </c>
      <c r="I74">
        <f t="shared" si="0"/>
        <v>131.65536818218396</v>
      </c>
    </row>
    <row r="75" spans="5:9">
      <c r="E75" s="207">
        <f t="shared" si="3"/>
        <v>10250</v>
      </c>
      <c r="F75">
        <v>0.40012752895566622</v>
      </c>
      <c r="G75">
        <f t="shared" si="1"/>
        <v>67.422529073402401</v>
      </c>
      <c r="H75">
        <f t="shared" si="2"/>
        <v>-1.9286615361307442</v>
      </c>
      <c r="I75">
        <f t="shared" si="0"/>
        <v>129.62357330024156</v>
      </c>
    </row>
    <row r="76" spans="5:9">
      <c r="E76" s="207">
        <f t="shared" si="3"/>
        <v>10500</v>
      </c>
      <c r="F76">
        <v>0.38778392717777671</v>
      </c>
      <c r="G76">
        <f t="shared" si="1"/>
        <v>68.487190841263356</v>
      </c>
      <c r="H76">
        <f t="shared" si="2"/>
        <v>-1.9591168190885651</v>
      </c>
      <c r="I76">
        <f t="shared" si="0"/>
        <v>127.60852112754912</v>
      </c>
    </row>
    <row r="77" spans="5:9">
      <c r="E77" s="207">
        <f t="shared" si="3"/>
        <v>10750</v>
      </c>
      <c r="F77">
        <v>0.3757337778175654</v>
      </c>
      <c r="G77">
        <f t="shared" si="1"/>
        <v>69.576749540940185</v>
      </c>
      <c r="H77">
        <f t="shared" si="2"/>
        <v>-1.9902842935856366</v>
      </c>
      <c r="I77">
        <f t="shared" si="0"/>
        <v>125.61019589297339</v>
      </c>
    </row>
    <row r="78" spans="5:9">
      <c r="E78" s="207">
        <f t="shared" si="3"/>
        <v>11000</v>
      </c>
      <c r="F78">
        <v>0.36397214151825663</v>
      </c>
      <c r="G78">
        <f t="shared" si="1"/>
        <v>70.691986082245435</v>
      </c>
      <c r="H78">
        <f t="shared" si="2"/>
        <v>-2.0221862980115048</v>
      </c>
      <c r="I78">
        <f t="shared" si="0"/>
        <v>123.62856985324983</v>
      </c>
    </row>
    <row r="79" spans="5:9">
      <c r="E79" s="207">
        <f t="shared" si="3"/>
        <v>11250</v>
      </c>
      <c r="F79">
        <v>0.34990260013185021</v>
      </c>
      <c r="G79">
        <f t="shared" si="1"/>
        <v>72.099237269515399</v>
      </c>
      <c r="H79">
        <f t="shared" si="2"/>
        <v>-2.0624415550281481</v>
      </c>
      <c r="I79">
        <f t="shared" si="0"/>
        <v>121.21555609200669</v>
      </c>
    </row>
    <row r="80" spans="5:9">
      <c r="E80" s="207">
        <f t="shared" si="3"/>
        <v>11500</v>
      </c>
      <c r="F80">
        <v>0.33637692453142964</v>
      </c>
      <c r="G80">
        <f t="shared" si="1"/>
        <v>73.534502323898508</v>
      </c>
      <c r="H80">
        <f t="shared" si="2"/>
        <v>-2.1034981653716676</v>
      </c>
      <c r="I80">
        <f t="shared" si="0"/>
        <v>118.84964014495704</v>
      </c>
    </row>
    <row r="81" spans="5:9">
      <c r="E81" s="207">
        <f t="shared" si="3"/>
        <v>11750</v>
      </c>
      <c r="F81">
        <v>0.32337409128879346</v>
      </c>
      <c r="G81">
        <f t="shared" si="1"/>
        <v>74.998338911828256</v>
      </c>
      <c r="H81">
        <f t="shared" si="2"/>
        <v>-2.1453720814220034</v>
      </c>
      <c r="I81">
        <f t="shared" si="0"/>
        <v>116.52990274502598</v>
      </c>
    </row>
    <row r="82" spans="5:9">
      <c r="E82" s="207">
        <f t="shared" si="3"/>
        <v>12000</v>
      </c>
      <c r="F82">
        <v>0.31087388964780865</v>
      </c>
      <c r="G82">
        <f t="shared" si="1"/>
        <v>76.491315801091972</v>
      </c>
      <c r="H82">
        <f t="shared" si="2"/>
        <v>-2.1880795731199227</v>
      </c>
      <c r="I82">
        <f t="shared" si="0"/>
        <v>114.25544256762647</v>
      </c>
    </row>
    <row r="83" spans="5:9">
      <c r="E83" s="207">
        <f t="shared" si="3"/>
        <v>12250</v>
      </c>
      <c r="F83">
        <v>0.2988568901101295</v>
      </c>
      <c r="G83">
        <f t="shared" si="1"/>
        <v>78.014013081823236</v>
      </c>
      <c r="H83">
        <f t="shared" si="2"/>
        <v>-2.2316372342886401</v>
      </c>
      <c r="I83">
        <f t="shared" si="0"/>
        <v>112.02537588045324</v>
      </c>
    </row>
    <row r="84" spans="5:9">
      <c r="E84" s="207">
        <f t="shared" si="3"/>
        <v>12500</v>
      </c>
      <c r="F84">
        <v>0.28730441423525188</v>
      </c>
      <c r="G84">
        <f t="shared" si="1"/>
        <v>79.567022391893573</v>
      </c>
      <c r="H84">
        <f t="shared" si="2"/>
        <v>-2.2760619890812812</v>
      </c>
      <c r="I84">
        <f t="shared" si="0"/>
        <v>109.83883620011203</v>
      </c>
    </row>
    <row r="85" spans="5:9">
      <c r="E85" s="207">
        <f t="shared" si="3"/>
        <v>12750</v>
      </c>
      <c r="F85">
        <v>0.27619850560796372</v>
      </c>
      <c r="G85">
        <f t="shared" si="1"/>
        <v>81.150947146790926</v>
      </c>
      <c r="H85">
        <f t="shared" si="2"/>
        <v>-2.3213710985566918</v>
      </c>
      <c r="I85">
        <f t="shared" si="0"/>
        <v>107.69497395545118</v>
      </c>
    </row>
    <row r="86" spans="5:9">
      <c r="E86" s="207">
        <f t="shared" si="3"/>
        <v>13000</v>
      </c>
      <c r="F86">
        <v>0.26552190192806385</v>
      </c>
      <c r="G86">
        <f t="shared" si="1"/>
        <v>82.766402774074322</v>
      </c>
      <c r="H86">
        <f t="shared" si="2"/>
        <v>-2.3675821673861543</v>
      </c>
      <c r="I86">
        <f t="shared" si="0"/>
        <v>105.59295615746409</v>
      </c>
    </row>
    <row r="87" spans="5:9">
      <c r="E87" s="207">
        <f t="shared" si="3"/>
        <v>13250</v>
      </c>
      <c r="F87">
        <v>0.25525800817896804</v>
      </c>
      <c r="G87">
        <f t="shared" si="1"/>
        <v>84.414016952495771</v>
      </c>
      <c r="H87">
        <f t="shared" si="2"/>
        <v>-2.4147131506936121</v>
      </c>
      <c r="I87">
        <f t="shared" si="0"/>
        <v>103.53196607563468</v>
      </c>
    </row>
    <row r="88" spans="5:9">
      <c r="E88" s="207">
        <f t="shared" si="3"/>
        <v>13500</v>
      </c>
      <c r="F88">
        <v>0.24539087083349753</v>
      </c>
      <c r="G88">
        <f t="shared" si="1"/>
        <v>86.094429855882296</v>
      </c>
      <c r="H88">
        <f t="shared" si="2"/>
        <v>-2.4627823610320583</v>
      </c>
      <c r="I88">
        <f t="shared" si="0"/>
        <v>101.51120292060014</v>
      </c>
    </row>
    <row r="89" spans="5:9">
      <c r="E89" s="207">
        <f t="shared" si="3"/>
        <v>13750</v>
      </c>
      <c r="F89">
        <v>0.23590515305675655</v>
      </c>
      <c r="G89">
        <f t="shared" si="1"/>
        <v>87.808294401872885</v>
      </c>
      <c r="H89">
        <f t="shared" si="2"/>
        <v>-2.5118084754988055</v>
      </c>
      <c r="I89">
        <f t="shared" si="0"/>
        <v>99.529881533007384</v>
      </c>
    </row>
    <row r="90" spans="5:9">
      <c r="E90" s="207">
        <f t="shared" si="3"/>
        <v>14000</v>
      </c>
      <c r="F90">
        <v>0.22678611086755618</v>
      </c>
      <c r="G90">
        <f t="shared" si="1"/>
        <v>89.556276505607002</v>
      </c>
      <c r="H90">
        <f t="shared" si="2"/>
        <v>-2.5618105429923967</v>
      </c>
      <c r="I90">
        <f t="shared" si="0"/>
        <v>97.587232078442568</v>
      </c>
    </row>
    <row r="91" spans="5:9">
      <c r="E91" s="207">
        <f t="shared" si="3"/>
        <v>14250</v>
      </c>
      <c r="F91">
        <v>0.21801957022133145</v>
      </c>
      <c r="G91">
        <f t="shared" si="1"/>
        <v>91.339055338463197</v>
      </c>
      <c r="H91">
        <f t="shared" si="2"/>
        <v>-2.6128079916139768</v>
      </c>
      <c r="I91">
        <f t="shared" si="0"/>
        <v>95.682499748315095</v>
      </c>
    </row>
    <row r="92" spans="5:9">
      <c r="E92" s="207">
        <f t="shared" si="3"/>
        <v>14500</v>
      </c>
      <c r="F92">
        <v>0.20959190497893074</v>
      </c>
      <c r="G92">
        <f t="shared" si="1"/>
        <v>93.157323591948455</v>
      </c>
      <c r="H92">
        <f t="shared" si="2"/>
        <v>-2.6648206362160027</v>
      </c>
      <c r="I92">
        <f t="shared" si="0"/>
        <v>93.814944466579746</v>
      </c>
    </row>
    <row r="93" spans="5:9">
      <c r="E93" s="207">
        <f t="shared" si="3"/>
        <v>14750</v>
      </c>
      <c r="F93">
        <v>0.20149001572703334</v>
      </c>
      <c r="G93">
        <f t="shared" si="1"/>
        <v>95.011787746840625</v>
      </c>
      <c r="H93">
        <f t="shared" si="2"/>
        <v>-2.7178686861012253</v>
      </c>
      <c r="I93">
        <f t="shared" si="0"/>
        <v>91.983840602183122</v>
      </c>
    </row>
    <row r="94" spans="5:9">
      <c r="E94" s="207">
        <f t="shared" si="3"/>
        <v>15000</v>
      </c>
      <c r="F94">
        <v>0.19370130941727587</v>
      </c>
      <c r="G94">
        <f t="shared" si="1"/>
        <v>96.903168347688734</v>
      </c>
      <c r="H94">
        <f t="shared" si="2"/>
        <v>-2.7719727528749329</v>
      </c>
      <c r="I94">
        <f t="shared" si="0"/>
        <v>90.188476687122616</v>
      </c>
    </row>
    <row r="95" spans="5:9">
      <c r="E95" s="207">
        <f t="shared" si="3"/>
        <v>15250</v>
      </c>
      <c r="F95">
        <v>0.18621367979243877</v>
      </c>
      <c r="G95">
        <f t="shared" si="1"/>
        <v>98.832200282777549</v>
      </c>
      <c r="H95">
        <f t="shared" si="2"/>
        <v>-2.8271538584535034</v>
      </c>
      <c r="I95">
        <f t="shared" si="0"/>
        <v>88.428155140008485</v>
      </c>
    </row>
    <row r="96" spans="5:9">
      <c r="E96" s="207">
        <f t="shared" si="3"/>
        <v>15500</v>
      </c>
      <c r="F96">
        <v>0.17901548856926977</v>
      </c>
      <c r="G96">
        <f t="shared" si="1"/>
        <v>100.79963306966555</v>
      </c>
      <c r="H96">
        <f t="shared" si="2"/>
        <v>-2.8834334432323887</v>
      </c>
      <c r="I96">
        <f t="shared" si="0"/>
        <v>86.702191995021323</v>
      </c>
    </row>
    <row r="97" spans="5:9">
      <c r="E97" s="207">
        <f t="shared" si="3"/>
        <v>15750</v>
      </c>
      <c r="F97">
        <v>0.17209554734869484</v>
      </c>
      <c r="G97">
        <f t="shared" si="1"/>
        <v>102.80623114640694</v>
      </c>
      <c r="H97">
        <f t="shared" si="2"/>
        <v>-2.9408333744166928</v>
      </c>
      <c r="I97">
        <f t="shared" si="0"/>
        <v>85.009916636159943</v>
      </c>
    </row>
    <row r="98" spans="5:9">
      <c r="E98" s="207">
        <f t="shared" si="3"/>
        <v>16000</v>
      </c>
      <c r="F98">
        <v>0.16544310022530068</v>
      </c>
      <c r="G98">
        <f t="shared" si="1"/>
        <v>104.8527741685709</v>
      </c>
      <c r="H98">
        <f t="shared" si="2"/>
        <v>-2.9993759545175851</v>
      </c>
      <c r="I98">
        <f t="shared" ref="I98:I106" si="4">(E98-E99)/H98</f>
        <v>83.350671536676231</v>
      </c>
    </row>
    <row r="99" spans="5:9">
      <c r="E99" s="207">
        <f t="shared" si="3"/>
        <v>16250</v>
      </c>
      <c r="F99">
        <v>0.15904780706905644</v>
      </c>
      <c r="G99">
        <f t="shared" ref="G99:G108" si="5">SQRT(2*$B$20/F99)</f>
        <v>106.94005731217365</v>
      </c>
      <c r="H99">
        <f t="shared" ref="H99:H108" si="6">SIN(RADIANS($B$18))*G99</f>
        <v>-3.0590839300178514</v>
      </c>
      <c r="I99">
        <f t="shared" si="4"/>
        <v>81.723812003595839</v>
      </c>
    </row>
    <row r="100" spans="5:9">
      <c r="E100" s="207">
        <f t="shared" ref="E100:E108" si="7">E99+$F$31</f>
        <v>16500</v>
      </c>
      <c r="F100">
        <v>0.15289972745328997</v>
      </c>
      <c r="G100">
        <f t="shared" si="5"/>
        <v>109.06889158264082</v>
      </c>
      <c r="H100">
        <f t="shared" si="6"/>
        <v>-3.1199805002099459</v>
      </c>
      <c r="I100">
        <f t="shared" si="4"/>
        <v>80.128705927225283</v>
      </c>
    </row>
    <row r="101" spans="5:9">
      <c r="E101" s="207">
        <f t="shared" si="7"/>
        <v>16750</v>
      </c>
      <c r="F101">
        <v>0.14698930520393647</v>
      </c>
      <c r="G101">
        <f t="shared" si="5"/>
        <v>111.24010412992048</v>
      </c>
      <c r="H101">
        <f t="shared" si="6"/>
        <v>-3.1820893262099879</v>
      </c>
      <c r="I101">
        <f t="shared" si="4"/>
        <v>78.564733535548257</v>
      </c>
    </row>
    <row r="102" spans="5:9">
      <c r="E102" s="207">
        <f t="shared" si="7"/>
        <v>17000</v>
      </c>
      <c r="F102">
        <v>0.14130735354604515</v>
      </c>
      <c r="G102">
        <f t="shared" si="5"/>
        <v>113.45453856986869</v>
      </c>
      <c r="H102">
        <f t="shared" si="6"/>
        <v>-3.2454345401511864</v>
      </c>
      <c r="I102">
        <f t="shared" si="4"/>
        <v>77.031287153415803</v>
      </c>
    </row>
    <row r="103" spans="5:9">
      <c r="E103" s="207">
        <f t="shared" si="7"/>
        <v>17250</v>
      </c>
      <c r="F103">
        <v>0.13584504082445481</v>
      </c>
      <c r="G103">
        <f t="shared" si="5"/>
        <v>115.71305531203322</v>
      </c>
      <c r="H103">
        <f t="shared" si="6"/>
        <v>-3.3100407545602866</v>
      </c>
      <c r="I103">
        <f t="shared" si="4"/>
        <v>75.527770966436506</v>
      </c>
    </row>
    <row r="104" spans="5:9">
      <c r="E104" s="207">
        <f t="shared" si="7"/>
        <v>17500</v>
      </c>
      <c r="F104">
        <v>0.13059387677644518</v>
      </c>
      <c r="G104">
        <f t="shared" si="5"/>
        <v>118.01653189396207</v>
      </c>
      <c r="H104">
        <f t="shared" si="6"/>
        <v>-3.3759330719206671</v>
      </c>
      <c r="I104">
        <f t="shared" si="4"/>
        <v>74.053600789475269</v>
      </c>
    </row>
    <row r="105" spans="5:9">
      <c r="E105" s="207">
        <f t="shared" si="7"/>
        <v>17750</v>
      </c>
      <c r="F105">
        <v>0.12554569933502607</v>
      </c>
      <c r="G105">
        <f t="shared" si="5"/>
        <v>120.36586332216724</v>
      </c>
      <c r="H105">
        <f t="shared" si="6"/>
        <v>-3.4431370944258073</v>
      </c>
      <c r="I105">
        <f t="shared" si="4"/>
        <v>72.608203839670551</v>
      </c>
    </row>
    <row r="106" spans="5:9">
      <c r="E106" s="207">
        <f t="shared" si="7"/>
        <v>18000</v>
      </c>
      <c r="F106">
        <v>0.12069266194235277</v>
      </c>
      <c r="G106">
        <f t="shared" si="5"/>
        <v>122.76196241987576</v>
      </c>
      <c r="H106">
        <f t="shared" si="6"/>
        <v>-3.5116789339269165</v>
      </c>
      <c r="I106">
        <f t="shared" si="4"/>
        <v>71.191018513881858</v>
      </c>
    </row>
    <row r="107" spans="5:9">
      <c r="E107" s="207">
        <f t="shared" si="7"/>
        <v>18250</v>
      </c>
      <c r="F107">
        <v>0.1160272213535479</v>
      </c>
      <c r="G107">
        <f t="shared" si="5"/>
        <v>125.20576018170367</v>
      </c>
      <c r="H107">
        <f t="shared" si="6"/>
        <v>-3.5815852220785902</v>
      </c>
      <c r="I107">
        <f>(E107-E108)/H107</f>
        <v>69.801494170481106</v>
      </c>
    </row>
    <row r="108" spans="5:9">
      <c r="E108" s="207">
        <f t="shared" si="7"/>
        <v>18500</v>
      </c>
      <c r="F108">
        <v>0.11154212591197382</v>
      </c>
      <c r="G108">
        <f t="shared" si="5"/>
        <v>127.69820613538997</v>
      </c>
      <c r="H108">
        <f t="shared" si="6"/>
        <v>-3.6528831206864285</v>
      </c>
      <c r="I108">
        <v>0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1"/>
  <dimension ref="C1:AE223"/>
  <sheetViews>
    <sheetView topLeftCell="A13" workbookViewId="0">
      <selection activeCell="H9" sqref="H9"/>
    </sheetView>
  </sheetViews>
  <sheetFormatPr baseColWidth="10" defaultRowHeight="12.75"/>
  <cols>
    <col min="1" max="2" width="11.42578125" style="13"/>
    <col min="3" max="3" width="25" style="13" customWidth="1"/>
    <col min="4" max="5" width="11.42578125" style="13"/>
    <col min="6" max="6" width="25" style="13" customWidth="1"/>
    <col min="7" max="8" width="11.42578125" style="13"/>
    <col min="9" max="9" width="25" style="13" customWidth="1"/>
    <col min="10" max="10" width="13" style="13" bestFit="1" customWidth="1"/>
    <col min="11" max="19" width="11.42578125" style="13"/>
    <col min="20" max="20" width="22.85546875" style="13" customWidth="1"/>
    <col min="21" max="16384" width="11.42578125" style="13"/>
  </cols>
  <sheetData>
    <row r="1" spans="3:31" ht="13.5" thickBot="1"/>
    <row r="2" spans="3:31" ht="13.5" thickTop="1">
      <c r="C2" s="252" t="s">
        <v>143</v>
      </c>
      <c r="D2" s="253"/>
      <c r="E2" s="253"/>
      <c r="F2" s="253"/>
      <c r="G2" s="253"/>
      <c r="H2" s="253"/>
      <c r="I2" s="253"/>
      <c r="J2" s="254"/>
    </row>
    <row r="3" spans="3:31" ht="13.5" thickBot="1">
      <c r="C3" s="255"/>
      <c r="D3" s="256"/>
      <c r="E3" s="256"/>
      <c r="F3" s="256"/>
      <c r="G3" s="256"/>
      <c r="H3" s="256"/>
      <c r="I3" s="256"/>
      <c r="J3" s="257"/>
    </row>
    <row r="4" spans="3:31" ht="13.5" thickTop="1">
      <c r="E4" s="14"/>
      <c r="F4" s="14"/>
      <c r="G4" s="14"/>
      <c r="H4" s="14"/>
      <c r="I4" s="14"/>
      <c r="J4" s="14"/>
    </row>
    <row r="5" spans="3:31">
      <c r="E5" s="14"/>
      <c r="F5" s="14"/>
      <c r="G5" s="14"/>
      <c r="H5" s="14"/>
      <c r="I5" s="14"/>
      <c r="J5" s="14"/>
    </row>
    <row r="6" spans="3:31" ht="25.5">
      <c r="C6" s="17" t="s">
        <v>138</v>
      </c>
      <c r="D6" s="15">
        <f>LFus</f>
        <v>14.309551761968912</v>
      </c>
      <c r="E6" s="16"/>
      <c r="F6" s="17" t="s">
        <v>144</v>
      </c>
      <c r="G6" s="15">
        <f>x_debut_voilure</f>
        <v>5.9238199668681943</v>
      </c>
      <c r="H6" s="16"/>
      <c r="I6" s="17" t="s">
        <v>153</v>
      </c>
      <c r="J6" s="15">
        <f>x_debut_reservoir</f>
        <v>7.8038199668681942</v>
      </c>
    </row>
    <row r="7" spans="3:31">
      <c r="C7" s="17" t="s">
        <v>152</v>
      </c>
      <c r="D7" s="15">
        <f>DFus</f>
        <v>1.4309551761968913</v>
      </c>
      <c r="E7" s="16"/>
      <c r="F7" s="17" t="s">
        <v>145</v>
      </c>
      <c r="G7" s="15">
        <f>c_voil_emplanture</f>
        <v>3.3747833941782495</v>
      </c>
      <c r="H7" s="16"/>
      <c r="I7" s="17" t="s">
        <v>21</v>
      </c>
      <c r="J7" s="15">
        <f>L_reservoir</f>
        <v>2.5</v>
      </c>
    </row>
    <row r="8" spans="3:31">
      <c r="C8" s="17" t="s">
        <v>139</v>
      </c>
      <c r="D8" s="15">
        <f>point_cassure_cockpit</f>
        <v>1.5</v>
      </c>
      <c r="E8" s="16"/>
      <c r="F8" s="17" t="s">
        <v>146</v>
      </c>
      <c r="G8" s="15">
        <f>c_voil_saumon</f>
        <v>1.2824176897877348</v>
      </c>
      <c r="H8" s="16"/>
      <c r="I8" s="17" t="s">
        <v>155</v>
      </c>
      <c r="J8" s="15">
        <f>x_debut_radar</f>
        <v>1.5</v>
      </c>
    </row>
    <row r="9" spans="3:31" ht="25.5">
      <c r="C9" s="47"/>
      <c r="D9" s="16"/>
      <c r="E9" s="16"/>
      <c r="F9" s="17" t="s">
        <v>3</v>
      </c>
      <c r="G9" s="15">
        <v>5</v>
      </c>
      <c r="H9" s="16"/>
      <c r="I9" s="17" t="s">
        <v>24</v>
      </c>
      <c r="J9" s="15">
        <f>h_cdg_radar</f>
        <v>-0.5</v>
      </c>
    </row>
    <row r="10" spans="3:31" ht="13.5" thickBot="1">
      <c r="C10" s="17" t="s">
        <v>126</v>
      </c>
      <c r="D10" s="15">
        <v>2</v>
      </c>
      <c r="E10" s="16"/>
      <c r="F10" s="17" t="s">
        <v>4</v>
      </c>
      <c r="G10" s="15">
        <f>b_voil</f>
        <v>60.219820170055215</v>
      </c>
      <c r="H10" s="16"/>
      <c r="I10" s="17" t="s">
        <v>154</v>
      </c>
      <c r="J10" s="15">
        <f>x_debut_ecoute</f>
        <v>1.5</v>
      </c>
    </row>
    <row r="11" spans="3:31" ht="26.25" thickTop="1">
      <c r="C11" s="17" t="s">
        <v>151</v>
      </c>
      <c r="D11" s="15">
        <f>x_debut_moteur-LMancheAir</f>
        <v>9.922369222669106</v>
      </c>
      <c r="E11" s="16"/>
      <c r="F11" s="47"/>
      <c r="G11" s="16"/>
      <c r="H11" s="16"/>
      <c r="I11" s="17" t="s">
        <v>23</v>
      </c>
      <c r="J11" s="15">
        <f>h_cdg_ecoute</f>
        <v>0.2</v>
      </c>
      <c r="T11" s="19"/>
      <c r="U11" s="20"/>
      <c r="V11" s="260" t="s">
        <v>162</v>
      </c>
      <c r="W11" s="260"/>
      <c r="X11" s="48"/>
      <c r="Y11" s="49"/>
      <c r="Z11" s="260" t="s">
        <v>163</v>
      </c>
      <c r="AA11" s="260"/>
      <c r="AB11" s="49"/>
      <c r="AC11" s="49"/>
      <c r="AD11" s="260" t="s">
        <v>0</v>
      </c>
      <c r="AE11" s="261"/>
    </row>
    <row r="12" spans="3:31" ht="25.5">
      <c r="C12" s="17" t="s">
        <v>140</v>
      </c>
      <c r="D12" s="15">
        <f>LMancheAir</f>
        <v>0.83</v>
      </c>
      <c r="E12" s="16"/>
      <c r="F12" s="17" t="s">
        <v>147</v>
      </c>
      <c r="G12" s="15">
        <f>x_debut_empennage</f>
        <v>12.48407467088173</v>
      </c>
      <c r="H12" s="16"/>
      <c r="I12" s="17" t="s">
        <v>156</v>
      </c>
      <c r="J12" s="15">
        <f>x_debut_satcom</f>
        <v>4.7</v>
      </c>
      <c r="T12" s="21"/>
      <c r="U12" s="22"/>
      <c r="V12" s="50" t="s">
        <v>1</v>
      </c>
      <c r="W12" s="50" t="s">
        <v>2</v>
      </c>
      <c r="X12" s="14"/>
      <c r="Y12" s="14"/>
      <c r="Z12" s="50" t="s">
        <v>1</v>
      </c>
      <c r="AA12" s="50" t="s">
        <v>2</v>
      </c>
      <c r="AB12" s="14"/>
      <c r="AC12" s="14"/>
      <c r="AD12" s="50" t="s">
        <v>1</v>
      </c>
      <c r="AE12" s="51" t="s">
        <v>2</v>
      </c>
    </row>
    <row r="13" spans="3:31" ht="25.5">
      <c r="C13" s="17" t="s">
        <v>141</v>
      </c>
      <c r="D13" s="15">
        <f>LMoteur</f>
        <v>2.0571825392998062</v>
      </c>
      <c r="E13" s="16"/>
      <c r="F13" s="17" t="s">
        <v>149</v>
      </c>
      <c r="G13" s="15">
        <f>c_emp_emplanture</f>
        <v>1.825477091087182</v>
      </c>
      <c r="H13" s="16"/>
      <c r="I13" s="17" t="s">
        <v>22</v>
      </c>
      <c r="J13" s="15">
        <f>h_cdg_satcom</f>
        <v>0</v>
      </c>
      <c r="T13" s="21"/>
      <c r="U13" s="22"/>
      <c r="V13" s="44"/>
      <c r="W13" s="44"/>
      <c r="X13" s="22"/>
      <c r="Y13" s="23" t="s">
        <v>25</v>
      </c>
      <c r="Z13" s="22"/>
      <c r="AA13" s="22"/>
      <c r="AB13" s="22"/>
      <c r="AC13" s="22"/>
      <c r="AD13" s="22"/>
      <c r="AE13" s="24"/>
    </row>
    <row r="14" spans="3:31">
      <c r="C14" s="17" t="s">
        <v>142</v>
      </c>
      <c r="D14" s="15">
        <f>LTuyere</f>
        <v>0.5</v>
      </c>
      <c r="E14" s="16"/>
      <c r="F14" s="17" t="s">
        <v>150</v>
      </c>
      <c r="G14" s="15">
        <f>c_emp_saumon</f>
        <v>1.0431297663355328</v>
      </c>
      <c r="H14" s="16"/>
      <c r="I14" s="17" t="s">
        <v>19</v>
      </c>
      <c r="J14" s="15">
        <f>x_trainprincipal</f>
        <v>7.8702534690829022</v>
      </c>
      <c r="T14" s="258" t="s">
        <v>157</v>
      </c>
      <c r="U14" s="259"/>
      <c r="V14" s="27">
        <v>0</v>
      </c>
      <c r="W14" s="27">
        <v>0</v>
      </c>
      <c r="X14" s="31"/>
      <c r="Y14" s="35">
        <v>0</v>
      </c>
      <c r="Z14" s="27">
        <f>D7/2*COS(Y14*PI()/180)</f>
        <v>0.71547758809844564</v>
      </c>
      <c r="AA14" s="27">
        <f>D7/2*SIN(Y14*PI()/180)</f>
        <v>0</v>
      </c>
      <c r="AB14" s="31"/>
      <c r="AC14" s="31"/>
      <c r="AD14" s="27">
        <v>0</v>
      </c>
      <c r="AE14" s="28">
        <f>D7/2</f>
        <v>0.71547758809844564</v>
      </c>
    </row>
    <row r="15" spans="3:31" ht="25.5">
      <c r="C15" s="17" t="s">
        <v>7</v>
      </c>
      <c r="D15" s="15">
        <f>DMancheAir</f>
        <v>0.67279512809734854</v>
      </c>
      <c r="E15" s="16"/>
      <c r="F15" s="17" t="s">
        <v>148</v>
      </c>
      <c r="G15" s="15">
        <f>Fleche0_emp</f>
        <v>5</v>
      </c>
      <c r="H15" s="16"/>
      <c r="I15" s="17" t="s">
        <v>20</v>
      </c>
      <c r="J15" s="15">
        <f>x_trainauxiliaire</f>
        <v>2.8619103523937826</v>
      </c>
      <c r="T15" s="21"/>
      <c r="U15" s="22"/>
      <c r="V15" s="27">
        <f>D7/2</f>
        <v>0.71547758809844564</v>
      </c>
      <c r="W15" s="27">
        <f>D8</f>
        <v>1.5</v>
      </c>
      <c r="X15" s="22"/>
      <c r="Y15" s="23">
        <v>20</v>
      </c>
      <c r="Z15" s="27">
        <f>D7/2*COS(Y15*PI()/180)</f>
        <v>0.67232900987380906</v>
      </c>
      <c r="AA15" s="27">
        <f>D7/2*SIN(Y15*PI()/180)</f>
        <v>0.24470774722773414</v>
      </c>
      <c r="AB15" s="22"/>
      <c r="AC15" s="22"/>
      <c r="AD15" s="27">
        <f>D8</f>
        <v>1.5</v>
      </c>
      <c r="AE15" s="28">
        <f>D7</f>
        <v>1.4309551761968913</v>
      </c>
    </row>
    <row r="16" spans="3:31">
      <c r="C16" s="17" t="s">
        <v>8</v>
      </c>
      <c r="D16" s="15">
        <f>DMoteur</f>
        <v>0.8309551761968913</v>
      </c>
      <c r="E16" s="16"/>
      <c r="F16" s="17" t="s">
        <v>5</v>
      </c>
      <c r="G16" s="15">
        <f>b_emp</f>
        <v>24.383158288093078</v>
      </c>
      <c r="H16" s="16"/>
      <c r="I16" s="16"/>
      <c r="J16" s="16"/>
      <c r="T16" s="21"/>
      <c r="U16" s="22"/>
      <c r="V16" s="27">
        <f>D7/2</f>
        <v>0.71547758809844564</v>
      </c>
      <c r="W16" s="27">
        <f>D6</f>
        <v>14.309551761968912</v>
      </c>
      <c r="X16" s="22"/>
      <c r="Y16" s="23">
        <v>40</v>
      </c>
      <c r="Z16" s="27">
        <f>D7/2*COS(Y16*PI()/180)</f>
        <v>0.54808763053898335</v>
      </c>
      <c r="AA16" s="27">
        <f>D7/2*SIN(Y16*PI()/180)</f>
        <v>0.45990012863809016</v>
      </c>
      <c r="AB16" s="22"/>
      <c r="AC16" s="22"/>
      <c r="AD16" s="27">
        <f>D6</f>
        <v>14.309551761968912</v>
      </c>
      <c r="AE16" s="28">
        <f>D7</f>
        <v>1.4309551761968913</v>
      </c>
    </row>
    <row r="17" spans="3:31">
      <c r="C17" s="17" t="s">
        <v>9</v>
      </c>
      <c r="D17" s="15">
        <f>DTuyere</f>
        <v>0.74785965857720216</v>
      </c>
      <c r="E17" s="16"/>
      <c r="F17" s="17" t="s">
        <v>6</v>
      </c>
      <c r="G17" s="15">
        <v>50</v>
      </c>
      <c r="H17" s="16"/>
      <c r="I17" s="16"/>
      <c r="J17" s="16"/>
      <c r="T17" s="21"/>
      <c r="U17" s="22"/>
      <c r="V17" s="27">
        <f>-D7/2</f>
        <v>-0.71547758809844564</v>
      </c>
      <c r="W17" s="27">
        <f>D6</f>
        <v>14.309551761968912</v>
      </c>
      <c r="X17" s="22"/>
      <c r="Y17" s="23">
        <v>60</v>
      </c>
      <c r="Z17" s="27">
        <f>D7/2*COS(Y17*PI()/180)</f>
        <v>0.35773879404922287</v>
      </c>
      <c r="AA17" s="27">
        <f>D7/2*SIN(Y17*PI()/180)</f>
        <v>0.61962176713167261</v>
      </c>
      <c r="AB17" s="22"/>
      <c r="AC17" s="22"/>
      <c r="AD17" s="27">
        <f>D6</f>
        <v>14.309551761968912</v>
      </c>
      <c r="AE17" s="28">
        <v>0</v>
      </c>
    </row>
    <row r="18" spans="3:31" ht="25.5">
      <c r="C18" s="17" t="s">
        <v>10</v>
      </c>
      <c r="D18" s="18">
        <f>IF(D10=1,0,ASIN(D16/(D16+D7)))*180/PI()</f>
        <v>21.553432455867156</v>
      </c>
      <c r="E18" s="16"/>
      <c r="F18" s="16"/>
      <c r="G18" s="16"/>
      <c r="H18" s="16"/>
      <c r="I18" s="16"/>
      <c r="J18" s="16"/>
      <c r="T18" s="21"/>
      <c r="U18" s="22"/>
      <c r="V18" s="27">
        <f>-D7/2</f>
        <v>-0.71547758809844564</v>
      </c>
      <c r="W18" s="27">
        <f>D8</f>
        <v>1.5</v>
      </c>
      <c r="X18" s="22"/>
      <c r="Y18" s="23">
        <v>80</v>
      </c>
      <c r="Z18" s="27">
        <f>D7/2*COS(Y18*PI()/180)</f>
        <v>0.12424137933482575</v>
      </c>
      <c r="AA18" s="27">
        <f>D7/2*SIN(Y18*PI()/180)</f>
        <v>0.70460787586582441</v>
      </c>
      <c r="AB18" s="22"/>
      <c r="AC18" s="22"/>
      <c r="AD18" s="27">
        <f>AD15</f>
        <v>1.5</v>
      </c>
      <c r="AE18" s="28">
        <v>0</v>
      </c>
    </row>
    <row r="19" spans="3:31">
      <c r="T19" s="21"/>
      <c r="U19" s="22"/>
      <c r="V19" s="27">
        <f>V14</f>
        <v>0</v>
      </c>
      <c r="W19" s="27">
        <f>W14</f>
        <v>0</v>
      </c>
      <c r="X19" s="22"/>
      <c r="Y19" s="23">
        <v>100</v>
      </c>
      <c r="Z19" s="27">
        <f>D7/2*COS(Y19*PI()/180)</f>
        <v>-0.12424137933482567</v>
      </c>
      <c r="AA19" s="27">
        <f>D7/2*SIN(Y19*PI()/180)</f>
        <v>0.70460787586582441</v>
      </c>
      <c r="AB19" s="22"/>
      <c r="AC19" s="22"/>
      <c r="AD19" s="27">
        <f>AD14</f>
        <v>0</v>
      </c>
      <c r="AE19" s="28">
        <f>AE14</f>
        <v>0.71547758809844564</v>
      </c>
    </row>
    <row r="20" spans="3:31">
      <c r="T20" s="21"/>
      <c r="U20" s="22"/>
      <c r="V20" s="40"/>
      <c r="W20" s="41"/>
      <c r="X20" s="22"/>
      <c r="Y20" s="23">
        <v>120</v>
      </c>
      <c r="Z20" s="27">
        <f>D7/2*COS(Y20*PI()/180)</f>
        <v>-0.35773879404922265</v>
      </c>
      <c r="AA20" s="27">
        <f>D7/2*SIN(Y20*PI()/180)</f>
        <v>0.61962176713167272</v>
      </c>
      <c r="AB20" s="22"/>
      <c r="AC20" s="22"/>
      <c r="AD20" s="40"/>
      <c r="AE20" s="24"/>
    </row>
    <row r="21" spans="3:31">
      <c r="T21" s="21"/>
      <c r="U21" s="22"/>
      <c r="V21" s="40"/>
      <c r="W21" s="41"/>
      <c r="X21" s="22"/>
      <c r="Y21" s="23">
        <v>140</v>
      </c>
      <c r="Z21" s="27">
        <f>D7/2*COS(Y21*PI()/180)</f>
        <v>-0.54808763053898324</v>
      </c>
      <c r="AA21" s="27">
        <f>D7/2*SIN(Y21*PI()/180)</f>
        <v>0.45990012863809032</v>
      </c>
      <c r="AB21" s="22"/>
      <c r="AC21" s="22"/>
      <c r="AD21" s="40"/>
      <c r="AE21" s="24"/>
    </row>
    <row r="22" spans="3:31">
      <c r="T22" s="21"/>
      <c r="U22" s="22"/>
      <c r="V22" s="40"/>
      <c r="W22" s="41"/>
      <c r="X22" s="22"/>
      <c r="Y22" s="23">
        <v>160</v>
      </c>
      <c r="Z22" s="27">
        <f>D7/2*COS(Y22*PI()/180)</f>
        <v>-0.67232900987380895</v>
      </c>
      <c r="AA22" s="27">
        <f>D7/2*SIN(Y22*PI()/180)</f>
        <v>0.24470774722773425</v>
      </c>
      <c r="AB22" s="22"/>
      <c r="AC22" s="22"/>
      <c r="AD22" s="40"/>
      <c r="AE22" s="24"/>
    </row>
    <row r="23" spans="3:31">
      <c r="T23" s="21"/>
      <c r="U23" s="22"/>
      <c r="V23" s="40"/>
      <c r="W23" s="41"/>
      <c r="X23" s="22"/>
      <c r="Y23" s="23">
        <v>180</v>
      </c>
      <c r="Z23" s="27">
        <f>D7/2*COS(Y23*PI()/180)</f>
        <v>-0.71547758809844564</v>
      </c>
      <c r="AA23" s="27">
        <f>D7/2*SIN(Y23*PI()/180)</f>
        <v>8.7656626158055668E-17</v>
      </c>
      <c r="AB23" s="22"/>
      <c r="AC23" s="22"/>
      <c r="AD23" s="40"/>
      <c r="AE23" s="24"/>
    </row>
    <row r="24" spans="3:31">
      <c r="T24" s="21"/>
      <c r="U24" s="22"/>
      <c r="V24" s="40"/>
      <c r="W24" s="41"/>
      <c r="X24" s="22"/>
      <c r="Y24" s="23">
        <v>200</v>
      </c>
      <c r="Z24" s="27">
        <f>D7/2*COS(Y24*PI()/180)</f>
        <v>-0.67232900987380906</v>
      </c>
      <c r="AA24" s="27">
        <f>D7/2*SIN(Y24*PI()/180)</f>
        <v>-0.24470774722773411</v>
      </c>
      <c r="AB24" s="22"/>
      <c r="AC24" s="22"/>
      <c r="AD24" s="40"/>
      <c r="AE24" s="24"/>
    </row>
    <row r="25" spans="3:31">
      <c r="T25" s="21"/>
      <c r="U25" s="22"/>
      <c r="V25" s="40"/>
      <c r="W25" s="41"/>
      <c r="X25" s="22"/>
      <c r="Y25" s="23">
        <v>220</v>
      </c>
      <c r="Z25" s="27">
        <f>D7/2*COS(Y25*PI()/180)</f>
        <v>-0.54808763053898335</v>
      </c>
      <c r="AA25" s="27">
        <f>D7/2*SIN(Y25*PI()/180)</f>
        <v>-0.45990012863809016</v>
      </c>
      <c r="AB25" s="22"/>
      <c r="AC25" s="22"/>
      <c r="AD25" s="40"/>
      <c r="AE25" s="24"/>
    </row>
    <row r="26" spans="3:31">
      <c r="T26" s="21"/>
      <c r="U26" s="22"/>
      <c r="V26" s="40"/>
      <c r="W26" s="41"/>
      <c r="X26" s="22"/>
      <c r="Y26" s="23">
        <v>240</v>
      </c>
      <c r="Z26" s="27">
        <f>D7/2*COS(Y26*PI()/180)</f>
        <v>-0.35773879404922315</v>
      </c>
      <c r="AA26" s="27">
        <f>D7/2*SIN(Y26*PI()/180)</f>
        <v>-0.6196217671316725</v>
      </c>
      <c r="AB26" s="22"/>
      <c r="AC26" s="22"/>
      <c r="AD26" s="40"/>
      <c r="AE26" s="24"/>
    </row>
    <row r="27" spans="3:31">
      <c r="T27" s="21"/>
      <c r="U27" s="22"/>
      <c r="V27" s="40"/>
      <c r="W27" s="41"/>
      <c r="X27" s="22"/>
      <c r="Y27" s="23">
        <v>260</v>
      </c>
      <c r="Z27" s="27">
        <f>D7/2*COS(Y27*PI()/180)</f>
        <v>-0.12424137933482568</v>
      </c>
      <c r="AA27" s="27">
        <f>D7/2*SIN(Y27*PI()/180)</f>
        <v>-0.70460787586582441</v>
      </c>
      <c r="AB27" s="22"/>
      <c r="AC27" s="22"/>
      <c r="AD27" s="40"/>
      <c r="AE27" s="24"/>
    </row>
    <row r="28" spans="3:31">
      <c r="T28" s="21"/>
      <c r="U28" s="22"/>
      <c r="V28" s="40"/>
      <c r="W28" s="41"/>
      <c r="X28" s="22"/>
      <c r="Y28" s="23">
        <v>280</v>
      </c>
      <c r="Z28" s="27">
        <f>D7/2*COS(Y28*PI()/180)</f>
        <v>0.12424137933482543</v>
      </c>
      <c r="AA28" s="27">
        <f>D7/2*SIN(Y28*PI()/180)</f>
        <v>-0.70460787586582441</v>
      </c>
      <c r="AB28" s="22"/>
      <c r="AC28" s="22"/>
      <c r="AD28" s="40"/>
      <c r="AE28" s="24"/>
    </row>
    <row r="29" spans="3:31">
      <c r="T29" s="21"/>
      <c r="U29" s="22"/>
      <c r="V29" s="40"/>
      <c r="W29" s="41"/>
      <c r="X29" s="22"/>
      <c r="Y29" s="23">
        <v>300</v>
      </c>
      <c r="Z29" s="27">
        <f>D7/2*COS(Y29*PI()/180)</f>
        <v>0.35773879404922287</v>
      </c>
      <c r="AA29" s="27">
        <f>D7/2*SIN(Y29*PI()/180)</f>
        <v>-0.61962176713167261</v>
      </c>
      <c r="AB29" s="22"/>
      <c r="AC29" s="22"/>
      <c r="AD29" s="40"/>
      <c r="AE29" s="24"/>
    </row>
    <row r="30" spans="3:31">
      <c r="T30" s="21"/>
      <c r="U30" s="22"/>
      <c r="V30" s="40"/>
      <c r="W30" s="41"/>
      <c r="X30" s="22"/>
      <c r="Y30" s="23">
        <v>320</v>
      </c>
      <c r="Z30" s="27">
        <f>D7/2*COS(Y30*PI()/180)</f>
        <v>0.54808763053898313</v>
      </c>
      <c r="AA30" s="27">
        <f>D7/2*SIN(Y30*PI()/180)</f>
        <v>-0.45990012863809043</v>
      </c>
      <c r="AB30" s="22"/>
      <c r="AC30" s="22"/>
      <c r="AD30" s="40"/>
      <c r="AE30" s="24"/>
    </row>
    <row r="31" spans="3:31">
      <c r="T31" s="21"/>
      <c r="U31" s="22"/>
      <c r="V31" s="40"/>
      <c r="W31" s="41"/>
      <c r="X31" s="22"/>
      <c r="Y31" s="23">
        <v>340</v>
      </c>
      <c r="Z31" s="27">
        <f>D7/2*COS(Y31*PI()/180)</f>
        <v>0.67232900987380906</v>
      </c>
      <c r="AA31" s="27">
        <f>D7/2*SIN(Y31*PI()/180)</f>
        <v>-0.24470774722773406</v>
      </c>
      <c r="AB31" s="22"/>
      <c r="AC31" s="22"/>
      <c r="AD31" s="40"/>
      <c r="AE31" s="24"/>
    </row>
    <row r="32" spans="3:31">
      <c r="T32" s="32"/>
      <c r="U32" s="33"/>
      <c r="V32" s="42"/>
      <c r="W32" s="43"/>
      <c r="X32" s="33"/>
      <c r="Y32" s="36">
        <v>360</v>
      </c>
      <c r="Z32" s="27">
        <f>D7/2*COS(Y32*PI()/180)</f>
        <v>0.71547758809844564</v>
      </c>
      <c r="AA32" s="27">
        <f>D7/2*SIN(Y32*PI()/180)</f>
        <v>-1.7531325231611134E-16</v>
      </c>
      <c r="AB32" s="33"/>
      <c r="AC32" s="33"/>
      <c r="AD32" s="42"/>
      <c r="AE32" s="34"/>
    </row>
    <row r="33" spans="20:31">
      <c r="T33" s="21"/>
      <c r="U33" s="22"/>
      <c r="V33" s="40"/>
      <c r="W33" s="41"/>
      <c r="X33" s="22"/>
      <c r="Y33" s="22"/>
      <c r="Z33" s="40"/>
      <c r="AA33" s="41"/>
      <c r="AB33" s="22"/>
      <c r="AC33" s="22"/>
      <c r="AD33" s="40"/>
      <c r="AE33" s="24"/>
    </row>
    <row r="34" spans="20:31">
      <c r="T34" s="21"/>
      <c r="U34" s="22"/>
      <c r="V34" s="40"/>
      <c r="W34" s="41"/>
      <c r="X34" s="22"/>
      <c r="Y34" s="23"/>
      <c r="Z34" s="40"/>
      <c r="AA34" s="41"/>
      <c r="AB34" s="22"/>
      <c r="AC34" s="22"/>
      <c r="AD34" s="40"/>
      <c r="AE34" s="24"/>
    </row>
    <row r="35" spans="20:31">
      <c r="T35" s="21"/>
      <c r="U35" s="22"/>
      <c r="V35" s="40"/>
      <c r="W35" s="41"/>
      <c r="X35" s="22"/>
      <c r="Y35" s="23" t="s">
        <v>25</v>
      </c>
      <c r="Z35" s="40"/>
      <c r="AA35" s="41"/>
      <c r="AB35" s="22"/>
      <c r="AC35" s="22"/>
      <c r="AD35" s="40"/>
      <c r="AE35" s="24"/>
    </row>
    <row r="36" spans="20:31">
      <c r="T36" s="258" t="s">
        <v>158</v>
      </c>
      <c r="U36" s="259"/>
      <c r="V36" s="27">
        <f>(D7+D16)/2*SIN(D18*PI()/180)+D15/2</f>
        <v>0.75187515214711997</v>
      </c>
      <c r="W36" s="27">
        <f>D11</f>
        <v>9.922369222669106</v>
      </c>
      <c r="X36" s="31"/>
      <c r="Y36" s="35">
        <v>0</v>
      </c>
      <c r="Z36" s="27">
        <f>(D7+D16)/2*SIN(D18*PI()/180)+D16/2*COS(Y36*PI()/180)</f>
        <v>0.83095517619689141</v>
      </c>
      <c r="AA36" s="27">
        <f>(D7+D16)/2*COS(D18*PI()/180)+D16/2*SIN(Y36*PI()/180)</f>
        <v>1.0518735591098578</v>
      </c>
      <c r="AB36" s="31"/>
      <c r="AC36" s="31"/>
      <c r="AD36" s="27">
        <f>D11</f>
        <v>9.922369222669106</v>
      </c>
      <c r="AE36" s="28">
        <f>AE37+(D16-D15)/2</f>
        <v>1.4600056978868756</v>
      </c>
    </row>
    <row r="37" spans="20:31">
      <c r="T37" s="21"/>
      <c r="U37" s="22"/>
      <c r="V37" s="27">
        <f>(D7+D16)/2*SIN(D18*PI()/180)+D16/2</f>
        <v>0.83095517619689141</v>
      </c>
      <c r="W37" s="27">
        <f>D11+D12</f>
        <v>10.752369222669106</v>
      </c>
      <c r="X37" s="22"/>
      <c r="Y37" s="23">
        <v>20</v>
      </c>
      <c r="Z37" s="27">
        <f>(D7+D16)/2*SIN(D18*PI()/180)+D16/2*COS(Y37*PI()/180)</f>
        <v>0.80589881173648226</v>
      </c>
      <c r="AA37" s="27">
        <f>(D7+D16)/2*COS(D18*PI()/180)+D16/2*SIN(Y37*PI()/180)</f>
        <v>1.1939752633398912</v>
      </c>
      <c r="AB37" s="22"/>
      <c r="AC37" s="22"/>
      <c r="AD37" s="27">
        <f>D11+D12</f>
        <v>10.752369222669106</v>
      </c>
      <c r="AE37" s="28">
        <f>D7/2*(1+COS(D18*PI()/180))</f>
        <v>1.3809256738371043</v>
      </c>
    </row>
    <row r="38" spans="20:31">
      <c r="T38" s="21"/>
      <c r="U38" s="22"/>
      <c r="V38" s="27">
        <f>V37</f>
        <v>0.83095517619689141</v>
      </c>
      <c r="W38" s="27">
        <f>D11+D12+D13</f>
        <v>12.809551761968912</v>
      </c>
      <c r="X38" s="22"/>
      <c r="Y38" s="23">
        <v>40</v>
      </c>
      <c r="Z38" s="27">
        <f>(D7+D16)/2*SIN(D18*PI()/180)+D16/2*COS(Y38*PI()/180)</f>
        <v>0.73375188570173555</v>
      </c>
      <c r="AA38" s="27">
        <f>(D7+D16)/2*COS(D18*PI()/180)+D16/2*SIN(Y38*PI()/180)</f>
        <v>1.3189374048419862</v>
      </c>
      <c r="AB38" s="22"/>
      <c r="AC38" s="22"/>
      <c r="AD38" s="27">
        <f>AD37+D13</f>
        <v>12.809551761968912</v>
      </c>
      <c r="AE38" s="28">
        <f>AE37</f>
        <v>1.3809256738371043</v>
      </c>
    </row>
    <row r="39" spans="20:31">
      <c r="T39" s="21"/>
      <c r="U39" s="22"/>
      <c r="V39" s="27">
        <f>(D7+D16)/2*SIN(D18*PI()/180)+D17/2</f>
        <v>0.78940741738704678</v>
      </c>
      <c r="W39" s="27">
        <f>D11+D12+D13+D14</f>
        <v>13.309551761968912</v>
      </c>
      <c r="X39" s="22"/>
      <c r="Y39" s="23">
        <v>60</v>
      </c>
      <c r="Z39" s="27">
        <f>(D7+D16)/2*SIN(D18*PI()/180)+D16/2*COS(Y39*PI()/180)</f>
        <v>0.62321638214766861</v>
      </c>
      <c r="AA39" s="27">
        <f>(D7+D16)/2*COS(D18*PI()/180)+D16/2*SIN(Y39*PI()/180)</f>
        <v>1.4116877051061989</v>
      </c>
      <c r="AB39" s="22"/>
      <c r="AC39" s="22"/>
      <c r="AD39" s="27">
        <f>AD38+D14</f>
        <v>13.309551761968912</v>
      </c>
      <c r="AE39" s="28">
        <f>AE38+(D16-D17)/2</f>
        <v>1.4224734326469488</v>
      </c>
    </row>
    <row r="40" spans="20:31">
      <c r="T40" s="21"/>
      <c r="U40" s="22"/>
      <c r="V40" s="27">
        <f>(D7+D16)/2*SIN(D18*PI()/180)-D17/2</f>
        <v>4.1547758809844626E-2</v>
      </c>
      <c r="W40" s="27">
        <f>W39</f>
        <v>13.309551761968912</v>
      </c>
      <c r="X40" s="22"/>
      <c r="Y40" s="23">
        <v>80</v>
      </c>
      <c r="Z40" s="27">
        <f>(D7+D16)/2*SIN(D18*PI()/180)+D16/2*COS(Y40*PI()/180)</f>
        <v>0.4876245141331923</v>
      </c>
      <c r="AA40" s="27">
        <f>(D7+D16)/2*COS(D18*PI()/180)+D16/2*SIN(Y40*PI()/180)</f>
        <v>1.4610391090720198</v>
      </c>
      <c r="AB40" s="22"/>
      <c r="AC40" s="22"/>
      <c r="AD40" s="27">
        <f>AD39</f>
        <v>13.309551761968912</v>
      </c>
      <c r="AE40" s="28">
        <f>AE39+D17</f>
        <v>2.1703330912241512</v>
      </c>
    </row>
    <row r="41" spans="20:31">
      <c r="T41" s="21"/>
      <c r="U41" s="22"/>
      <c r="V41" s="27">
        <f>(D7+D16)/2*SIN(D18*PI()/180)-D16/2</f>
        <v>0</v>
      </c>
      <c r="W41" s="27">
        <f>W38</f>
        <v>12.809551761968912</v>
      </c>
      <c r="X41" s="22"/>
      <c r="Y41" s="23">
        <v>100</v>
      </c>
      <c r="Z41" s="27">
        <f>(D7+D16)/2*SIN(D18*PI()/180)+D16/2*COS(Y41*PI()/180)</f>
        <v>0.34333066206369911</v>
      </c>
      <c r="AA41" s="27">
        <f>(D7+D16)/2*COS(D18*PI()/180)+D16/2*SIN(Y41*PI()/180)</f>
        <v>1.4610391090720198</v>
      </c>
      <c r="AB41" s="22"/>
      <c r="AC41" s="22"/>
      <c r="AD41" s="27">
        <f>AD38</f>
        <v>12.809551761968912</v>
      </c>
      <c r="AE41" s="28">
        <f>AE37+D16</f>
        <v>2.2118808500339955</v>
      </c>
    </row>
    <row r="42" spans="20:31">
      <c r="T42" s="21"/>
      <c r="U42" s="22"/>
      <c r="V42" s="27">
        <f>V41</f>
        <v>0</v>
      </c>
      <c r="W42" s="27">
        <f>W37</f>
        <v>10.752369222669106</v>
      </c>
      <c r="X42" s="22"/>
      <c r="Y42" s="23">
        <v>120</v>
      </c>
      <c r="Z42" s="27">
        <f>(D7+D16)/2*SIN(D18*PI()/180)+D16/2*COS(Y42*PI()/180)</f>
        <v>0.20773879404922296</v>
      </c>
      <c r="AA42" s="27">
        <f>(D7+D16)/2*COS(D18*PI()/180)+D16/2*SIN(Y42*PI()/180)</f>
        <v>1.4116877051061989</v>
      </c>
      <c r="AB42" s="22"/>
      <c r="AC42" s="22"/>
      <c r="AD42" s="27">
        <f>AD37</f>
        <v>10.752369222669106</v>
      </c>
      <c r="AE42" s="28">
        <f>AE41</f>
        <v>2.2118808500339955</v>
      </c>
    </row>
    <row r="43" spans="20:31">
      <c r="T43" s="21"/>
      <c r="U43" s="22"/>
      <c r="V43" s="27">
        <f>(D7+D16)/2*SIN(D18*PI()/180)-D15/2</f>
        <v>7.9080024049771436E-2</v>
      </c>
      <c r="W43" s="27">
        <f>W36</f>
        <v>9.922369222669106</v>
      </c>
      <c r="X43" s="22"/>
      <c r="Y43" s="23">
        <v>140</v>
      </c>
      <c r="Z43" s="27">
        <f>(D7+D16)/2*SIN(D18*PI()/180)+D16/2*COS(Y43*PI()/180)</f>
        <v>9.7203290495155803E-2</v>
      </c>
      <c r="AA43" s="27">
        <f>(D7+D16)/2*COS(D18*PI()/180)+D16/2*SIN(Y43*PI()/180)</f>
        <v>1.3189374048419862</v>
      </c>
      <c r="AB43" s="22"/>
      <c r="AC43" s="22"/>
      <c r="AD43" s="27">
        <f>AD36</f>
        <v>9.922369222669106</v>
      </c>
      <c r="AE43" s="28">
        <f>AE36+D15</f>
        <v>2.1328008259842242</v>
      </c>
    </row>
    <row r="44" spans="20:31">
      <c r="T44" s="21"/>
      <c r="U44" s="22"/>
      <c r="V44" s="27">
        <f>V36</f>
        <v>0.75187515214711997</v>
      </c>
      <c r="W44" s="27">
        <f>W36</f>
        <v>9.922369222669106</v>
      </c>
      <c r="X44" s="22"/>
      <c r="Y44" s="23">
        <v>160</v>
      </c>
      <c r="Z44" s="27">
        <f>(D7+D16)/2*SIN(D18*PI()/180)+D16/2*COS(Y44*PI()/180)</f>
        <v>2.5056364460409208E-2</v>
      </c>
      <c r="AA44" s="27">
        <f>(D7+D16)/2*COS(D18*PI()/180)+D16/2*SIN(Y44*PI()/180)</f>
        <v>1.1939752633398915</v>
      </c>
      <c r="AB44" s="22"/>
      <c r="AC44" s="22"/>
      <c r="AD44" s="27">
        <f>AD36</f>
        <v>9.922369222669106</v>
      </c>
      <c r="AE44" s="28">
        <f>AE36</f>
        <v>1.4600056978868756</v>
      </c>
    </row>
    <row r="45" spans="20:31">
      <c r="T45" s="21"/>
      <c r="U45" s="22"/>
      <c r="V45" s="40"/>
      <c r="W45" s="41"/>
      <c r="X45" s="22"/>
      <c r="Y45" s="23">
        <v>180</v>
      </c>
      <c r="Z45" s="27">
        <f>(D7+D16)/2*SIN(D18*PI()/180)+D16/2*COS(Y45*PI()/180)</f>
        <v>0</v>
      </c>
      <c r="AA45" s="27">
        <f>(D7+D16)/2*COS(D18*PI()/180)+D16/2*SIN(Y45*PI()/180)</f>
        <v>1.0518735591098578</v>
      </c>
      <c r="AB45" s="22"/>
      <c r="AC45" s="22"/>
      <c r="AD45" s="40"/>
      <c r="AE45" s="24"/>
    </row>
    <row r="46" spans="20:31">
      <c r="T46" s="21"/>
      <c r="U46" s="22"/>
      <c r="V46" s="40"/>
      <c r="W46" s="41"/>
      <c r="X46" s="22"/>
      <c r="Y46" s="23">
        <v>200</v>
      </c>
      <c r="Z46" s="27">
        <f>(D7+D16)/2*SIN(D18*PI()/180)+D16/2*COS(Y46*PI()/180)</f>
        <v>2.5056364460409153E-2</v>
      </c>
      <c r="AA46" s="27">
        <f>(D7+D16)/2*COS(D18*PI()/180)+D16/2*SIN(Y46*PI()/180)</f>
        <v>0.90977185487982426</v>
      </c>
      <c r="AB46" s="22"/>
      <c r="AC46" s="22"/>
      <c r="AD46" s="40"/>
      <c r="AE46" s="24"/>
    </row>
    <row r="47" spans="20:31">
      <c r="T47" s="21"/>
      <c r="U47" s="22"/>
      <c r="V47" s="40"/>
      <c r="W47" s="41"/>
      <c r="X47" s="22"/>
      <c r="Y47" s="23">
        <v>220</v>
      </c>
      <c r="Z47" s="27">
        <f>(D7+D16)/2*SIN(D18*PI()/180)+D16/2*COS(Y47*PI()/180)</f>
        <v>9.7203290495155803E-2</v>
      </c>
      <c r="AA47" s="27">
        <f>(D7+D16)/2*COS(D18*PI()/180)+D16/2*SIN(Y47*PI()/180)</f>
        <v>0.78480971337772942</v>
      </c>
      <c r="AB47" s="22"/>
      <c r="AC47" s="22"/>
      <c r="AD47" s="40"/>
      <c r="AE47" s="24"/>
    </row>
    <row r="48" spans="20:31">
      <c r="T48" s="21"/>
      <c r="U48" s="22"/>
      <c r="V48" s="40"/>
      <c r="W48" s="41"/>
      <c r="X48" s="22"/>
      <c r="Y48" s="23">
        <v>240</v>
      </c>
      <c r="Z48" s="27">
        <f>(D7+D16)/2*SIN(D18*PI()/180)+D16/2*COS(Y48*PI()/180)</f>
        <v>0.20773879404922269</v>
      </c>
      <c r="AA48" s="27">
        <f>(D7+D16)/2*COS(D18*PI()/180)+D16/2*SIN(Y48*PI()/180)</f>
        <v>0.69205941311351682</v>
      </c>
      <c r="AB48" s="22"/>
      <c r="AC48" s="22"/>
      <c r="AD48" s="40"/>
      <c r="AE48" s="24"/>
    </row>
    <row r="49" spans="20:31">
      <c r="T49" s="21"/>
      <c r="U49" s="22"/>
      <c r="V49" s="40"/>
      <c r="W49" s="41"/>
      <c r="X49" s="22"/>
      <c r="Y49" s="23">
        <v>260</v>
      </c>
      <c r="Z49" s="27">
        <f>(D7+D16)/2*SIN(D18*PI()/180)+D16/2*COS(Y49*PI()/180)</f>
        <v>0.34333066206369911</v>
      </c>
      <c r="AA49" s="27">
        <f>(D7+D16)/2*COS(D18*PI()/180)+D16/2*SIN(Y49*PI()/180)</f>
        <v>0.64270800914769577</v>
      </c>
      <c r="AB49" s="22"/>
      <c r="AC49" s="22"/>
      <c r="AD49" s="40"/>
      <c r="AE49" s="24"/>
    </row>
    <row r="50" spans="20:31">
      <c r="T50" s="21"/>
      <c r="U50" s="22"/>
      <c r="V50" s="40"/>
      <c r="W50" s="41"/>
      <c r="X50" s="22"/>
      <c r="Y50" s="23">
        <v>280</v>
      </c>
      <c r="Z50" s="27">
        <f>(D7+D16)/2*SIN(D18*PI()/180)+D16/2*COS(Y50*PI()/180)</f>
        <v>0.48762451413319213</v>
      </c>
      <c r="AA50" s="27">
        <f>(D7+D16)/2*COS(D18*PI()/180)+D16/2*SIN(Y50*PI()/180)</f>
        <v>0.64270800914769577</v>
      </c>
      <c r="AB50" s="22"/>
      <c r="AC50" s="22"/>
      <c r="AD50" s="40"/>
      <c r="AE50" s="24"/>
    </row>
    <row r="51" spans="20:31">
      <c r="T51" s="21"/>
      <c r="U51" s="22"/>
      <c r="V51" s="40"/>
      <c r="W51" s="41"/>
      <c r="X51" s="22"/>
      <c r="Y51" s="23">
        <v>300</v>
      </c>
      <c r="Z51" s="27">
        <f>(D7+D16)/2*SIN(D18*PI()/180)+D16/2*COS(Y51*PI()/180)</f>
        <v>0.62321638214766861</v>
      </c>
      <c r="AA51" s="27">
        <f>(D7+D16)/2*COS(D18*PI()/180)+D16/2*SIN(Y51*PI()/180)</f>
        <v>0.69205941311351671</v>
      </c>
      <c r="AB51" s="22"/>
      <c r="AC51" s="22"/>
      <c r="AD51" s="40"/>
      <c r="AE51" s="24"/>
    </row>
    <row r="52" spans="20:31">
      <c r="T52" s="21"/>
      <c r="U52" s="22"/>
      <c r="V52" s="40"/>
      <c r="W52" s="41"/>
      <c r="X52" s="22"/>
      <c r="Y52" s="23">
        <v>320</v>
      </c>
      <c r="Z52" s="27">
        <f>(D7+D16)/2*SIN(D18*PI()/180)+D16/2*COS(Y52*PI()/180)</f>
        <v>0.73375188570173555</v>
      </c>
      <c r="AA52" s="27">
        <f>(D7+D16)/2*COS(D18*PI()/180)+D16/2*SIN(Y52*PI()/180)</f>
        <v>0.7848097133777292</v>
      </c>
      <c r="AB52" s="22"/>
      <c r="AC52" s="22"/>
      <c r="AD52" s="40"/>
      <c r="AE52" s="24"/>
    </row>
    <row r="53" spans="20:31">
      <c r="T53" s="21"/>
      <c r="U53" s="22"/>
      <c r="V53" s="40"/>
      <c r="W53" s="41"/>
      <c r="X53" s="22"/>
      <c r="Y53" s="23">
        <v>340</v>
      </c>
      <c r="Z53" s="27">
        <f>(D7+D16)/2*SIN(D18*PI()/180)+D16/2*COS(Y53*PI()/180)</f>
        <v>0.80589881173648226</v>
      </c>
      <c r="AA53" s="27">
        <f>(D7+D16)/2*COS(D18*PI()/180)+D16/2*SIN(Y53*PI()/180)</f>
        <v>0.90977185487982437</v>
      </c>
      <c r="AB53" s="22"/>
      <c r="AC53" s="22"/>
      <c r="AD53" s="40"/>
      <c r="AE53" s="24"/>
    </row>
    <row r="54" spans="20:31">
      <c r="T54" s="21"/>
      <c r="U54" s="22"/>
      <c r="V54" s="40"/>
      <c r="W54" s="41"/>
      <c r="X54" s="22"/>
      <c r="Y54" s="23">
        <v>360</v>
      </c>
      <c r="Z54" s="27">
        <f>(D7+D16)/2*SIN(D18*PI()/180)+D16/2*COS(Y54*PI()/180)</f>
        <v>0.83095517619689141</v>
      </c>
      <c r="AA54" s="27">
        <f>(D7+D16)/2*COS(D18*PI()/180)+D16/2*SIN(Y54*PI()/180)</f>
        <v>1.0518735591098578</v>
      </c>
      <c r="AB54" s="22"/>
      <c r="AC54" s="22"/>
      <c r="AD54" s="40"/>
      <c r="AE54" s="24"/>
    </row>
    <row r="55" spans="20:31">
      <c r="T55" s="21"/>
      <c r="U55" s="22"/>
      <c r="V55" s="40"/>
      <c r="W55" s="41"/>
      <c r="X55" s="22"/>
      <c r="Y55" s="22"/>
      <c r="Z55" s="40"/>
      <c r="AA55" s="41"/>
      <c r="AB55" s="22"/>
      <c r="AC55" s="22"/>
      <c r="AD55" s="40"/>
      <c r="AE55" s="24"/>
    </row>
    <row r="56" spans="20:31">
      <c r="T56" s="21"/>
      <c r="U56" s="22"/>
      <c r="V56" s="27">
        <f t="shared" ref="V56:V63" si="0">-V36</f>
        <v>-0.75187515214711997</v>
      </c>
      <c r="W56" s="27">
        <f t="shared" ref="W56:W63" si="1">W36</f>
        <v>9.922369222669106</v>
      </c>
      <c r="X56" s="22"/>
      <c r="Y56" s="22"/>
      <c r="Z56" s="27">
        <f>-Z36</f>
        <v>-0.83095517619689141</v>
      </c>
      <c r="AA56" s="27">
        <f>AA36</f>
        <v>1.0518735591098578</v>
      </c>
      <c r="AB56" s="22"/>
      <c r="AC56" s="22"/>
      <c r="AD56" s="40"/>
      <c r="AE56" s="24"/>
    </row>
    <row r="57" spans="20:31">
      <c r="T57" s="21"/>
      <c r="U57" s="22"/>
      <c r="V57" s="27">
        <f t="shared" si="0"/>
        <v>-0.83095517619689141</v>
      </c>
      <c r="W57" s="27">
        <f t="shared" si="1"/>
        <v>10.752369222669106</v>
      </c>
      <c r="X57" s="22"/>
      <c r="Y57" s="22"/>
      <c r="Z57" s="27">
        <f t="shared" ref="Z57:Z74" si="2">-Z37</f>
        <v>-0.80589881173648226</v>
      </c>
      <c r="AA57" s="27">
        <f t="shared" ref="AA57:AA74" si="3">AA37</f>
        <v>1.1939752633398912</v>
      </c>
      <c r="AB57" s="22"/>
      <c r="AC57" s="22"/>
      <c r="AD57" s="40"/>
      <c r="AE57" s="24"/>
    </row>
    <row r="58" spans="20:31">
      <c r="T58" s="21"/>
      <c r="U58" s="22"/>
      <c r="V58" s="27">
        <f t="shared" si="0"/>
        <v>-0.83095517619689141</v>
      </c>
      <c r="W58" s="27">
        <f t="shared" si="1"/>
        <v>12.809551761968912</v>
      </c>
      <c r="X58" s="22"/>
      <c r="Y58" s="22"/>
      <c r="Z58" s="27">
        <f t="shared" si="2"/>
        <v>-0.73375188570173555</v>
      </c>
      <c r="AA58" s="27">
        <f t="shared" si="3"/>
        <v>1.3189374048419862</v>
      </c>
      <c r="AB58" s="22"/>
      <c r="AC58" s="22"/>
      <c r="AD58" s="40"/>
      <c r="AE58" s="24"/>
    </row>
    <row r="59" spans="20:31">
      <c r="T59" s="21"/>
      <c r="U59" s="22"/>
      <c r="V59" s="27">
        <f t="shared" si="0"/>
        <v>-0.78940741738704678</v>
      </c>
      <c r="W59" s="27">
        <f t="shared" si="1"/>
        <v>13.309551761968912</v>
      </c>
      <c r="X59" s="22"/>
      <c r="Y59" s="22"/>
      <c r="Z59" s="27">
        <f t="shared" si="2"/>
        <v>-0.62321638214766861</v>
      </c>
      <c r="AA59" s="27">
        <f t="shared" si="3"/>
        <v>1.4116877051061989</v>
      </c>
      <c r="AB59" s="22"/>
      <c r="AC59" s="22"/>
      <c r="AD59" s="40"/>
      <c r="AE59" s="24"/>
    </row>
    <row r="60" spans="20:31">
      <c r="T60" s="21"/>
      <c r="U60" s="22"/>
      <c r="V60" s="27">
        <f t="shared" si="0"/>
        <v>-4.1547758809844626E-2</v>
      </c>
      <c r="W60" s="27">
        <f t="shared" si="1"/>
        <v>13.309551761968912</v>
      </c>
      <c r="X60" s="22"/>
      <c r="Y60" s="22"/>
      <c r="Z60" s="27">
        <f t="shared" si="2"/>
        <v>-0.4876245141331923</v>
      </c>
      <c r="AA60" s="27">
        <f t="shared" si="3"/>
        <v>1.4610391090720198</v>
      </c>
      <c r="AB60" s="22"/>
      <c r="AC60" s="22"/>
      <c r="AD60" s="40"/>
      <c r="AE60" s="24"/>
    </row>
    <row r="61" spans="20:31">
      <c r="T61" s="21"/>
      <c r="U61" s="22"/>
      <c r="V61" s="27">
        <f t="shared" si="0"/>
        <v>0</v>
      </c>
      <c r="W61" s="27">
        <f t="shared" si="1"/>
        <v>12.809551761968912</v>
      </c>
      <c r="X61" s="22"/>
      <c r="Y61" s="22"/>
      <c r="Z61" s="27">
        <f t="shared" si="2"/>
        <v>-0.34333066206369911</v>
      </c>
      <c r="AA61" s="27">
        <f t="shared" si="3"/>
        <v>1.4610391090720198</v>
      </c>
      <c r="AB61" s="22"/>
      <c r="AC61" s="22"/>
      <c r="AD61" s="40"/>
      <c r="AE61" s="24"/>
    </row>
    <row r="62" spans="20:31">
      <c r="T62" s="21"/>
      <c r="U62" s="22"/>
      <c r="V62" s="27">
        <f t="shared" si="0"/>
        <v>0</v>
      </c>
      <c r="W62" s="27">
        <f t="shared" si="1"/>
        <v>10.752369222669106</v>
      </c>
      <c r="X62" s="22"/>
      <c r="Y62" s="22"/>
      <c r="Z62" s="27">
        <f t="shared" si="2"/>
        <v>-0.20773879404922296</v>
      </c>
      <c r="AA62" s="27">
        <f t="shared" si="3"/>
        <v>1.4116877051061989</v>
      </c>
      <c r="AB62" s="22"/>
      <c r="AC62" s="22"/>
      <c r="AD62" s="40"/>
      <c r="AE62" s="24"/>
    </row>
    <row r="63" spans="20:31">
      <c r="T63" s="21"/>
      <c r="U63" s="22"/>
      <c r="V63" s="27">
        <f t="shared" si="0"/>
        <v>-7.9080024049771436E-2</v>
      </c>
      <c r="W63" s="27">
        <f t="shared" si="1"/>
        <v>9.922369222669106</v>
      </c>
      <c r="X63" s="22"/>
      <c r="Y63" s="22"/>
      <c r="Z63" s="27">
        <f t="shared" si="2"/>
        <v>-9.7203290495155803E-2</v>
      </c>
      <c r="AA63" s="27">
        <f t="shared" si="3"/>
        <v>1.3189374048419862</v>
      </c>
      <c r="AB63" s="22"/>
      <c r="AC63" s="22"/>
      <c r="AD63" s="40"/>
      <c r="AE63" s="24"/>
    </row>
    <row r="64" spans="20:31">
      <c r="T64" s="21"/>
      <c r="U64" s="22"/>
      <c r="V64" s="27">
        <f>V56</f>
        <v>-0.75187515214711997</v>
      </c>
      <c r="W64" s="27">
        <f>W56</f>
        <v>9.922369222669106</v>
      </c>
      <c r="X64" s="22"/>
      <c r="Y64" s="22"/>
      <c r="Z64" s="27">
        <f t="shared" si="2"/>
        <v>-2.5056364460409208E-2</v>
      </c>
      <c r="AA64" s="27">
        <f t="shared" si="3"/>
        <v>1.1939752633398915</v>
      </c>
      <c r="AB64" s="22"/>
      <c r="AC64" s="22"/>
      <c r="AD64" s="40"/>
      <c r="AE64" s="24"/>
    </row>
    <row r="65" spans="20:31">
      <c r="T65" s="21"/>
      <c r="U65" s="22"/>
      <c r="V65" s="40"/>
      <c r="W65" s="41"/>
      <c r="X65" s="22"/>
      <c r="Y65" s="22"/>
      <c r="Z65" s="27">
        <f t="shared" si="2"/>
        <v>0</v>
      </c>
      <c r="AA65" s="27">
        <f t="shared" si="3"/>
        <v>1.0518735591098578</v>
      </c>
      <c r="AB65" s="22"/>
      <c r="AC65" s="22"/>
      <c r="AD65" s="40"/>
      <c r="AE65" s="24"/>
    </row>
    <row r="66" spans="20:31">
      <c r="T66" s="21"/>
      <c r="U66" s="22"/>
      <c r="V66" s="40"/>
      <c r="W66" s="41"/>
      <c r="X66" s="22"/>
      <c r="Y66" s="22"/>
      <c r="Z66" s="27">
        <f t="shared" si="2"/>
        <v>-2.5056364460409153E-2</v>
      </c>
      <c r="AA66" s="27">
        <f t="shared" si="3"/>
        <v>0.90977185487982426</v>
      </c>
      <c r="AB66" s="22"/>
      <c r="AC66" s="22"/>
      <c r="AD66" s="40"/>
      <c r="AE66" s="24"/>
    </row>
    <row r="67" spans="20:31">
      <c r="T67" s="21"/>
      <c r="U67" s="22"/>
      <c r="V67" s="40"/>
      <c r="W67" s="41"/>
      <c r="X67" s="22"/>
      <c r="Y67" s="22"/>
      <c r="Z67" s="27">
        <f t="shared" si="2"/>
        <v>-9.7203290495155803E-2</v>
      </c>
      <c r="AA67" s="27">
        <f t="shared" si="3"/>
        <v>0.78480971337772942</v>
      </c>
      <c r="AB67" s="22"/>
      <c r="AC67" s="22"/>
      <c r="AD67" s="40"/>
      <c r="AE67" s="24"/>
    </row>
    <row r="68" spans="20:31">
      <c r="T68" s="21"/>
      <c r="U68" s="22"/>
      <c r="V68" s="40"/>
      <c r="W68" s="41"/>
      <c r="X68" s="22"/>
      <c r="Y68" s="22"/>
      <c r="Z68" s="27">
        <f t="shared" si="2"/>
        <v>-0.20773879404922269</v>
      </c>
      <c r="AA68" s="27">
        <f t="shared" si="3"/>
        <v>0.69205941311351682</v>
      </c>
      <c r="AB68" s="22"/>
      <c r="AC68" s="22"/>
      <c r="AD68" s="40"/>
      <c r="AE68" s="24"/>
    </row>
    <row r="69" spans="20:31">
      <c r="T69" s="21"/>
      <c r="U69" s="22"/>
      <c r="V69" s="40"/>
      <c r="W69" s="41"/>
      <c r="X69" s="22"/>
      <c r="Y69" s="22"/>
      <c r="Z69" s="27">
        <f t="shared" si="2"/>
        <v>-0.34333066206369911</v>
      </c>
      <c r="AA69" s="27">
        <f t="shared" si="3"/>
        <v>0.64270800914769577</v>
      </c>
      <c r="AB69" s="22"/>
      <c r="AC69" s="22"/>
      <c r="AD69" s="40"/>
      <c r="AE69" s="24"/>
    </row>
    <row r="70" spans="20:31">
      <c r="T70" s="21"/>
      <c r="U70" s="22"/>
      <c r="V70" s="40"/>
      <c r="W70" s="41"/>
      <c r="X70" s="22"/>
      <c r="Y70" s="22"/>
      <c r="Z70" s="27">
        <f t="shared" si="2"/>
        <v>-0.48762451413319213</v>
      </c>
      <c r="AA70" s="27">
        <f t="shared" si="3"/>
        <v>0.64270800914769577</v>
      </c>
      <c r="AB70" s="22"/>
      <c r="AC70" s="22"/>
      <c r="AD70" s="40"/>
      <c r="AE70" s="24"/>
    </row>
    <row r="71" spans="20:31">
      <c r="T71" s="21"/>
      <c r="U71" s="22"/>
      <c r="V71" s="40"/>
      <c r="W71" s="41"/>
      <c r="X71" s="22"/>
      <c r="Y71" s="22"/>
      <c r="Z71" s="27">
        <f t="shared" si="2"/>
        <v>-0.62321638214766861</v>
      </c>
      <c r="AA71" s="27">
        <f t="shared" si="3"/>
        <v>0.69205941311351671</v>
      </c>
      <c r="AB71" s="22"/>
      <c r="AC71" s="22"/>
      <c r="AD71" s="40"/>
      <c r="AE71" s="24"/>
    </row>
    <row r="72" spans="20:31">
      <c r="T72" s="21"/>
      <c r="U72" s="22"/>
      <c r="V72" s="40"/>
      <c r="W72" s="41"/>
      <c r="X72" s="22"/>
      <c r="Y72" s="22"/>
      <c r="Z72" s="27">
        <f t="shared" si="2"/>
        <v>-0.73375188570173555</v>
      </c>
      <c r="AA72" s="27">
        <f t="shared" si="3"/>
        <v>0.7848097133777292</v>
      </c>
      <c r="AB72" s="22"/>
      <c r="AC72" s="22"/>
      <c r="AD72" s="40"/>
      <c r="AE72" s="24"/>
    </row>
    <row r="73" spans="20:31">
      <c r="T73" s="21"/>
      <c r="U73" s="22"/>
      <c r="V73" s="40"/>
      <c r="W73" s="41"/>
      <c r="X73" s="22"/>
      <c r="Y73" s="22"/>
      <c r="Z73" s="27">
        <f t="shared" si="2"/>
        <v>-0.80589881173648226</v>
      </c>
      <c r="AA73" s="27">
        <f t="shared" si="3"/>
        <v>0.90977185487982437</v>
      </c>
      <c r="AB73" s="22"/>
      <c r="AC73" s="22"/>
      <c r="AD73" s="40"/>
      <c r="AE73" s="24"/>
    </row>
    <row r="74" spans="20:31">
      <c r="T74" s="32"/>
      <c r="U74" s="33"/>
      <c r="V74" s="42"/>
      <c r="W74" s="43"/>
      <c r="X74" s="33"/>
      <c r="Y74" s="33"/>
      <c r="Z74" s="27">
        <f t="shared" si="2"/>
        <v>-0.83095517619689141</v>
      </c>
      <c r="AA74" s="27">
        <f t="shared" si="3"/>
        <v>1.0518735591098578</v>
      </c>
      <c r="AB74" s="33"/>
      <c r="AC74" s="33"/>
      <c r="AD74" s="42"/>
      <c r="AE74" s="34"/>
    </row>
    <row r="75" spans="20:31">
      <c r="T75" s="21"/>
      <c r="U75" s="22"/>
      <c r="V75" s="40"/>
      <c r="W75" s="41"/>
      <c r="X75" s="22"/>
      <c r="Y75" s="22"/>
      <c r="Z75" s="40"/>
      <c r="AA75" s="41"/>
      <c r="AB75" s="22"/>
      <c r="AC75" s="22"/>
      <c r="AD75" s="40"/>
      <c r="AE75" s="24"/>
    </row>
    <row r="76" spans="20:31">
      <c r="T76" s="21"/>
      <c r="U76" s="22"/>
      <c r="V76" s="40"/>
      <c r="W76" s="41"/>
      <c r="X76" s="22"/>
      <c r="Y76" s="22"/>
      <c r="Z76" s="40"/>
      <c r="AA76" s="41"/>
      <c r="AB76" s="22"/>
      <c r="AC76" s="22"/>
      <c r="AD76" s="40"/>
      <c r="AE76" s="24"/>
    </row>
    <row r="77" spans="20:31">
      <c r="T77" s="21"/>
      <c r="U77" s="22"/>
      <c r="V77" s="40"/>
      <c r="W77" s="41"/>
      <c r="X77" s="22"/>
      <c r="Y77" s="22"/>
      <c r="Z77" s="40"/>
      <c r="AA77" s="41"/>
      <c r="AB77" s="22"/>
      <c r="AC77" s="22"/>
      <c r="AD77" s="40"/>
      <c r="AE77" s="24"/>
    </row>
    <row r="78" spans="20:31">
      <c r="T78" s="258" t="s">
        <v>159</v>
      </c>
      <c r="U78" s="259"/>
      <c r="V78" s="27">
        <f>D7/2</f>
        <v>0.71547758809844564</v>
      </c>
      <c r="W78" s="27">
        <f>G12</f>
        <v>12.48407467088173</v>
      </c>
      <c r="X78" s="31"/>
      <c r="Y78" s="31"/>
      <c r="Z78" s="27">
        <v>0</v>
      </c>
      <c r="AA78" s="27">
        <v>0</v>
      </c>
      <c r="AB78" s="31"/>
      <c r="AC78" s="31"/>
      <c r="AD78" s="27">
        <f>G12</f>
        <v>12.48407467088173</v>
      </c>
      <c r="AE78" s="28">
        <f>D7</f>
        <v>1.4309551761968913</v>
      </c>
    </row>
    <row r="79" spans="20:31">
      <c r="T79" s="21"/>
      <c r="U79" s="22"/>
      <c r="V79" s="27">
        <f>D7/2+(G16-D7)/2*COS(G17*PI()/180)</f>
        <v>8.0921734757662964</v>
      </c>
      <c r="W79" s="27">
        <f>G12+(G16-D7)/2*TAN(G15*PI()/180)*COS(G17*PI()/180)</f>
        <v>13.12945193533097</v>
      </c>
      <c r="X79" s="22"/>
      <c r="Y79" s="22"/>
      <c r="Z79" s="27">
        <f>G16/2*COS(G17*PI()/180)</f>
        <v>7.8365960163059407</v>
      </c>
      <c r="AA79" s="27">
        <f>G16/2*SIN(G17*PI()/180)</f>
        <v>9.3392914561420781</v>
      </c>
      <c r="AB79" s="22"/>
      <c r="AC79" s="22"/>
      <c r="AD79" s="27">
        <f>AD78+G16/2*TAN(G15*PI()/180)</f>
        <v>13.550699636464891</v>
      </c>
      <c r="AE79" s="28">
        <f>D7/2+G16/2*SIN(G17*PI()/180)</f>
        <v>10.054769044240524</v>
      </c>
    </row>
    <row r="80" spans="20:31">
      <c r="T80" s="21"/>
      <c r="U80" s="22"/>
      <c r="V80" s="27">
        <f>V79</f>
        <v>8.0921734757662964</v>
      </c>
      <c r="W80" s="27">
        <f>W79+G14</f>
        <v>14.172581701666502</v>
      </c>
      <c r="X80" s="22"/>
      <c r="Y80" s="22"/>
      <c r="Z80" s="27">
        <f>Z79</f>
        <v>7.8365960163059407</v>
      </c>
      <c r="AA80" s="27">
        <f>AA79+0.09*G14</f>
        <v>9.433173135112277</v>
      </c>
      <c r="AB80" s="22"/>
      <c r="AC80" s="22"/>
      <c r="AD80" s="27">
        <f>AD79+G14</f>
        <v>14.593829402800424</v>
      </c>
      <c r="AE80" s="28">
        <f>AE79</f>
        <v>10.054769044240524</v>
      </c>
    </row>
    <row r="81" spans="20:31">
      <c r="T81" s="21"/>
      <c r="U81" s="22"/>
      <c r="V81" s="27">
        <f>V78</f>
        <v>0.71547758809844564</v>
      </c>
      <c r="W81" s="27">
        <f>G12+G13</f>
        <v>14.309551761968912</v>
      </c>
      <c r="X81" s="22"/>
      <c r="Y81" s="22"/>
      <c r="Z81" s="27">
        <f>0</f>
        <v>0</v>
      </c>
      <c r="AA81" s="27">
        <f>G13*0.09</f>
        <v>0.16429293819784638</v>
      </c>
      <c r="AB81" s="22"/>
      <c r="AC81" s="22"/>
      <c r="AD81" s="27">
        <f>AD78+G13</f>
        <v>14.309551761968912</v>
      </c>
      <c r="AE81" s="28">
        <f>D7</f>
        <v>1.4309551761968913</v>
      </c>
    </row>
    <row r="82" spans="20:31">
      <c r="T82" s="21"/>
      <c r="U82" s="22"/>
      <c r="V82" s="27"/>
      <c r="W82" s="27"/>
      <c r="X82" s="22"/>
      <c r="Y82" s="22"/>
      <c r="Z82" s="27">
        <f>-Z79</f>
        <v>-7.8365960163059407</v>
      </c>
      <c r="AA82" s="27">
        <f>AA80</f>
        <v>9.433173135112277</v>
      </c>
      <c r="AB82" s="22"/>
      <c r="AC82" s="22"/>
      <c r="AD82" s="27">
        <f>AD78</f>
        <v>12.48407467088173</v>
      </c>
      <c r="AE82" s="28">
        <f>AE78</f>
        <v>1.4309551761968913</v>
      </c>
    </row>
    <row r="83" spans="20:31">
      <c r="T83" s="21"/>
      <c r="U83" s="22"/>
      <c r="V83" s="27">
        <f>-V78</f>
        <v>-0.71547758809844564</v>
      </c>
      <c r="W83" s="27">
        <f>W78</f>
        <v>12.48407467088173</v>
      </c>
      <c r="X83" s="22"/>
      <c r="Y83" s="22"/>
      <c r="Z83" s="27">
        <f>Z82</f>
        <v>-7.8365960163059407</v>
      </c>
      <c r="AA83" s="27">
        <f>AA79</f>
        <v>9.3392914561420781</v>
      </c>
      <c r="AB83" s="22"/>
      <c r="AC83" s="22"/>
      <c r="AD83" s="40"/>
      <c r="AE83" s="24"/>
    </row>
    <row r="84" spans="20:31">
      <c r="T84" s="21"/>
      <c r="U84" s="22"/>
      <c r="V84" s="27">
        <f>-V79</f>
        <v>-8.0921734757662964</v>
      </c>
      <c r="W84" s="27">
        <f>W79</f>
        <v>13.12945193533097</v>
      </c>
      <c r="X84" s="22"/>
      <c r="Y84" s="22"/>
      <c r="Z84" s="27">
        <v>0</v>
      </c>
      <c r="AA84" s="27">
        <v>0</v>
      </c>
      <c r="AB84" s="22"/>
      <c r="AC84" s="22"/>
      <c r="AD84" s="40"/>
      <c r="AE84" s="24"/>
    </row>
    <row r="85" spans="20:31">
      <c r="T85" s="21"/>
      <c r="U85" s="22"/>
      <c r="V85" s="27">
        <f>-V80</f>
        <v>-8.0921734757662964</v>
      </c>
      <c r="W85" s="27">
        <f>W80</f>
        <v>14.172581701666502</v>
      </c>
      <c r="X85" s="22"/>
      <c r="Y85" s="22"/>
      <c r="Z85" s="40"/>
      <c r="AA85" s="41"/>
      <c r="AB85" s="22"/>
      <c r="AC85" s="22"/>
      <c r="AD85" s="40"/>
      <c r="AE85" s="24"/>
    </row>
    <row r="86" spans="20:31">
      <c r="T86" s="32"/>
      <c r="U86" s="33"/>
      <c r="V86" s="27">
        <f>-V81</f>
        <v>-0.71547758809844564</v>
      </c>
      <c r="W86" s="27">
        <f>W81</f>
        <v>14.309551761968912</v>
      </c>
      <c r="X86" s="33"/>
      <c r="Y86" s="33"/>
      <c r="Z86" s="42"/>
      <c r="AA86" s="43"/>
      <c r="AB86" s="33"/>
      <c r="AC86" s="33"/>
      <c r="AD86" s="42"/>
      <c r="AE86" s="34"/>
    </row>
    <row r="87" spans="20:31">
      <c r="T87" s="21"/>
      <c r="U87" s="22"/>
      <c r="V87" s="40"/>
      <c r="W87" s="41"/>
      <c r="X87" s="22"/>
      <c r="Y87" s="22"/>
      <c r="Z87" s="40"/>
      <c r="AA87" s="41"/>
      <c r="AB87" s="22"/>
      <c r="AC87" s="22"/>
      <c r="AD87" s="40"/>
      <c r="AE87" s="24"/>
    </row>
    <row r="88" spans="20:31">
      <c r="T88" s="21"/>
      <c r="U88" s="22"/>
      <c r="V88" s="40"/>
      <c r="W88" s="41"/>
      <c r="X88" s="22"/>
      <c r="Y88" s="22"/>
      <c r="Z88" s="40"/>
      <c r="AA88" s="41"/>
      <c r="AB88" s="22"/>
      <c r="AC88" s="22"/>
      <c r="AD88" s="40"/>
      <c r="AE88" s="24"/>
    </row>
    <row r="89" spans="20:31">
      <c r="T89" s="21"/>
      <c r="U89" s="22"/>
      <c r="V89" s="40"/>
      <c r="W89" s="41"/>
      <c r="X89" s="22"/>
      <c r="Y89" s="22"/>
      <c r="Z89" s="40"/>
      <c r="AA89" s="41"/>
      <c r="AB89" s="22"/>
      <c r="AC89" s="22"/>
      <c r="AD89" s="40"/>
      <c r="AE89" s="24"/>
    </row>
    <row r="90" spans="20:31">
      <c r="T90" s="258" t="s">
        <v>160</v>
      </c>
      <c r="U90" s="259"/>
      <c r="V90" s="27">
        <f>D7/2</f>
        <v>0.71547758809844564</v>
      </c>
      <c r="W90" s="27">
        <f>G6</f>
        <v>5.9238199668681943</v>
      </c>
      <c r="X90" s="31"/>
      <c r="Y90" s="31"/>
      <c r="Z90" s="27">
        <f>0</f>
        <v>0</v>
      </c>
      <c r="AA90" s="27">
        <f>-D7/2+G7*0.12</f>
        <v>-0.3105035807970557</v>
      </c>
      <c r="AB90" s="31"/>
      <c r="AC90" s="31"/>
      <c r="AD90" s="38"/>
      <c r="AE90" s="37"/>
    </row>
    <row r="91" spans="20:31">
      <c r="T91" s="21"/>
      <c r="U91" s="22"/>
      <c r="V91" s="27">
        <f>G10/2</f>
        <v>30.109910085027607</v>
      </c>
      <c r="W91" s="27">
        <f>G6+(G10-D7)/2*TAN(G9*PI()/180)</f>
        <v>8.4954995811275165</v>
      </c>
      <c r="X91" s="22"/>
      <c r="Y91" s="22"/>
      <c r="Z91" s="27">
        <f>G10/2</f>
        <v>30.109910085027607</v>
      </c>
      <c r="AA91" s="27">
        <f>-D7/2+G8*0.12</f>
        <v>-0.56158746532391746</v>
      </c>
      <c r="AB91" s="22"/>
      <c r="AC91" s="22"/>
      <c r="AD91" s="40"/>
      <c r="AE91" s="24"/>
    </row>
    <row r="92" spans="20:31">
      <c r="T92" s="21"/>
      <c r="U92" s="22"/>
      <c r="V92" s="27">
        <f>G10/2</f>
        <v>30.109910085027607</v>
      </c>
      <c r="W92" s="27">
        <f>W91+G8</f>
        <v>9.7779172709152515</v>
      </c>
      <c r="X92" s="22"/>
      <c r="Y92" s="22"/>
      <c r="Z92" s="27">
        <f>Z91</f>
        <v>30.109910085027607</v>
      </c>
      <c r="AA92" s="27">
        <f>-D7/2</f>
        <v>-0.71547758809844564</v>
      </c>
      <c r="AB92" s="22"/>
      <c r="AC92" s="22"/>
      <c r="AD92" s="40"/>
      <c r="AE92" s="24"/>
    </row>
    <row r="93" spans="20:31">
      <c r="T93" s="21"/>
      <c r="U93" s="22"/>
      <c r="V93" s="27">
        <f>D7/2</f>
        <v>0.71547758809844564</v>
      </c>
      <c r="W93" s="27">
        <f>G6+G7</f>
        <v>9.2986033610464442</v>
      </c>
      <c r="X93" s="22"/>
      <c r="Y93" s="22"/>
      <c r="Z93" s="27">
        <f>-Z92</f>
        <v>-30.109910085027607</v>
      </c>
      <c r="AA93" s="27">
        <f>AA92</f>
        <v>-0.71547758809844564</v>
      </c>
      <c r="AB93" s="22"/>
      <c r="AC93" s="22"/>
      <c r="AD93" s="40"/>
      <c r="AE93" s="24"/>
    </row>
    <row r="94" spans="20:31">
      <c r="T94" s="21"/>
      <c r="U94" s="22"/>
      <c r="V94" s="27"/>
      <c r="W94" s="27"/>
      <c r="X94" s="22"/>
      <c r="Y94" s="22"/>
      <c r="Z94" s="27">
        <f>Z93</f>
        <v>-30.109910085027607</v>
      </c>
      <c r="AA94" s="27">
        <f>AA91</f>
        <v>-0.56158746532391746</v>
      </c>
      <c r="AB94" s="22"/>
      <c r="AC94" s="22"/>
      <c r="AD94" s="40"/>
      <c r="AE94" s="24"/>
    </row>
    <row r="95" spans="20:31">
      <c r="T95" s="21"/>
      <c r="U95" s="22"/>
      <c r="V95" s="27">
        <f>-V90</f>
        <v>-0.71547758809844564</v>
      </c>
      <c r="W95" s="27">
        <f>W90</f>
        <v>5.9238199668681943</v>
      </c>
      <c r="X95" s="22"/>
      <c r="Y95" s="22"/>
      <c r="Z95" s="27">
        <f>Z90</f>
        <v>0</v>
      </c>
      <c r="AA95" s="27">
        <f>AA90</f>
        <v>-0.3105035807970557</v>
      </c>
      <c r="AB95" s="22"/>
      <c r="AC95" s="22"/>
      <c r="AD95" s="40"/>
      <c r="AE95" s="24"/>
    </row>
    <row r="96" spans="20:31">
      <c r="T96" s="21"/>
      <c r="U96" s="22"/>
      <c r="V96" s="27">
        <f>-V91</f>
        <v>-30.109910085027607</v>
      </c>
      <c r="W96" s="27">
        <f>W91</f>
        <v>8.4954995811275165</v>
      </c>
      <c r="X96" s="22"/>
      <c r="Y96" s="22"/>
      <c r="Z96" s="40"/>
      <c r="AA96" s="41"/>
      <c r="AB96" s="22"/>
      <c r="AC96" s="22"/>
      <c r="AD96" s="40"/>
      <c r="AE96" s="24"/>
    </row>
    <row r="97" spans="20:31">
      <c r="T97" s="21"/>
      <c r="U97" s="22"/>
      <c r="V97" s="27">
        <f>-V92</f>
        <v>-30.109910085027607</v>
      </c>
      <c r="W97" s="27">
        <f>W92</f>
        <v>9.7779172709152515</v>
      </c>
      <c r="X97" s="22"/>
      <c r="Y97" s="22"/>
      <c r="Z97" s="40"/>
      <c r="AA97" s="41"/>
      <c r="AB97" s="22"/>
      <c r="AC97" s="22"/>
      <c r="AD97" s="40"/>
      <c r="AE97" s="24"/>
    </row>
    <row r="98" spans="20:31">
      <c r="T98" s="32"/>
      <c r="U98" s="33"/>
      <c r="V98" s="27">
        <f>-V93</f>
        <v>-0.71547758809844564</v>
      </c>
      <c r="W98" s="27">
        <f>W93</f>
        <v>9.2986033610464442</v>
      </c>
      <c r="X98" s="33"/>
      <c r="Y98" s="33"/>
      <c r="Z98" s="42"/>
      <c r="AA98" s="43"/>
      <c r="AB98" s="33"/>
      <c r="AC98" s="33"/>
      <c r="AD98" s="42"/>
      <c r="AE98" s="34"/>
    </row>
    <row r="99" spans="20:31">
      <c r="T99" s="21"/>
      <c r="U99" s="22"/>
      <c r="V99" s="40"/>
      <c r="W99" s="41"/>
      <c r="X99" s="22"/>
      <c r="Y99" s="22"/>
      <c r="Z99" s="40"/>
      <c r="AA99" s="41"/>
      <c r="AB99" s="22"/>
      <c r="AC99" s="22"/>
      <c r="AD99" s="40"/>
      <c r="AE99" s="24"/>
    </row>
    <row r="100" spans="20:31">
      <c r="T100" s="21"/>
      <c r="U100" s="22"/>
      <c r="V100" s="40"/>
      <c r="W100" s="41"/>
      <c r="X100" s="22"/>
      <c r="Y100" s="22"/>
      <c r="Z100" s="40"/>
      <c r="AA100" s="41"/>
      <c r="AB100" s="22"/>
      <c r="AC100" s="22"/>
      <c r="AD100" s="40"/>
      <c r="AE100" s="24"/>
    </row>
    <row r="101" spans="20:31">
      <c r="T101" s="21"/>
      <c r="U101" s="22"/>
      <c r="V101" s="40"/>
      <c r="W101" s="41"/>
      <c r="X101" s="22"/>
      <c r="Y101" s="22"/>
      <c r="Z101" s="40"/>
      <c r="AA101" s="41"/>
      <c r="AB101" s="22"/>
      <c r="AC101" s="22"/>
      <c r="AD101" s="40"/>
      <c r="AE101" s="24"/>
    </row>
    <row r="102" spans="20:31">
      <c r="T102" s="258" t="s">
        <v>161</v>
      </c>
      <c r="U102" s="259"/>
      <c r="V102" s="38"/>
      <c r="W102" s="39"/>
      <c r="X102" s="31"/>
      <c r="Y102" s="31"/>
      <c r="Z102" s="38"/>
      <c r="AA102" s="39"/>
      <c r="AB102" s="31"/>
      <c r="AC102" s="31"/>
      <c r="AD102" s="38"/>
      <c r="AE102" s="37"/>
    </row>
    <row r="103" spans="20:31">
      <c r="T103" s="21"/>
      <c r="U103" s="22"/>
      <c r="V103" s="40"/>
      <c r="W103" s="41"/>
      <c r="X103" s="22"/>
      <c r="Y103" s="22"/>
      <c r="Z103" s="40"/>
      <c r="AA103" s="41"/>
      <c r="AB103" s="22"/>
      <c r="AC103" s="22"/>
      <c r="AD103" s="40"/>
      <c r="AE103" s="24"/>
    </row>
    <row r="104" spans="20:31">
      <c r="T104" s="258" t="s">
        <v>11</v>
      </c>
      <c r="U104" s="259"/>
      <c r="V104" s="27">
        <f>D7/2</f>
        <v>0.71547758809844564</v>
      </c>
      <c r="W104" s="27">
        <f>G6+0.25*G7</f>
        <v>6.7675158154127564</v>
      </c>
      <c r="X104" s="22"/>
      <c r="Y104" s="22"/>
      <c r="Z104" s="40"/>
      <c r="AA104" s="41"/>
      <c r="AB104" s="22"/>
      <c r="AC104" s="22"/>
      <c r="AD104" s="40"/>
      <c r="AE104" s="24"/>
    </row>
    <row r="105" spans="20:31">
      <c r="T105" s="21"/>
      <c r="U105" s="22"/>
      <c r="V105" s="27">
        <f>V104+(G10-D7)/3</f>
        <v>20.311765919384552</v>
      </c>
      <c r="W105" s="27">
        <f>G6+(G10-D7)/3*TAN(G9*PI()/180)+0.25/3*(2*G8+G7)</f>
        <v>8.1332412741872187</v>
      </c>
      <c r="X105" s="22"/>
      <c r="Y105" s="22"/>
      <c r="Z105" s="40"/>
      <c r="AA105" s="41"/>
      <c r="AB105" s="22"/>
      <c r="AC105" s="22"/>
      <c r="AD105" s="40"/>
      <c r="AE105" s="24"/>
    </row>
    <row r="106" spans="20:31">
      <c r="T106" s="21"/>
      <c r="U106" s="22"/>
      <c r="V106" s="27">
        <f>V105</f>
        <v>20.311765919384552</v>
      </c>
      <c r="W106" s="27">
        <f>W105+0.35/3*(2*G8+G7)</f>
        <v>8.8261967977918196</v>
      </c>
      <c r="X106" s="22"/>
      <c r="Y106" s="22"/>
      <c r="Z106" s="40"/>
      <c r="AA106" s="41"/>
      <c r="AB106" s="22"/>
      <c r="AC106" s="22"/>
      <c r="AD106" s="40"/>
      <c r="AE106" s="24"/>
    </row>
    <row r="107" spans="20:31">
      <c r="T107" s="21"/>
      <c r="U107" s="22"/>
      <c r="V107" s="27">
        <f>V104</f>
        <v>0.71547758809844564</v>
      </c>
      <c r="W107" s="27">
        <f>G6+0.6*G7</f>
        <v>7.9486900033751438</v>
      </c>
      <c r="X107" s="22"/>
      <c r="Y107" s="22"/>
      <c r="Z107" s="40"/>
      <c r="AA107" s="41"/>
      <c r="AB107" s="22"/>
      <c r="AC107" s="22"/>
      <c r="AD107" s="40"/>
      <c r="AE107" s="24"/>
    </row>
    <row r="108" spans="20:31">
      <c r="T108" s="21"/>
      <c r="U108" s="22"/>
      <c r="V108" s="27">
        <f>V104</f>
        <v>0.71547758809844564</v>
      </c>
      <c r="W108" s="27">
        <f>W104</f>
        <v>6.7675158154127564</v>
      </c>
      <c r="X108" s="22"/>
      <c r="Y108" s="22"/>
      <c r="Z108" s="40"/>
      <c r="AA108" s="41"/>
      <c r="AB108" s="22"/>
      <c r="AC108" s="22"/>
      <c r="AD108" s="40"/>
      <c r="AE108" s="24"/>
    </row>
    <row r="109" spans="20:31">
      <c r="T109" s="21"/>
      <c r="U109" s="22"/>
      <c r="V109" s="40"/>
      <c r="W109" s="41"/>
      <c r="X109" s="22"/>
      <c r="Y109" s="22"/>
      <c r="Z109" s="40"/>
      <c r="AA109" s="41"/>
      <c r="AB109" s="22"/>
      <c r="AC109" s="22"/>
      <c r="AD109" s="40"/>
      <c r="AE109" s="24"/>
    </row>
    <row r="110" spans="20:31">
      <c r="T110" s="21"/>
      <c r="U110" s="22"/>
      <c r="V110" s="27">
        <f>-V104</f>
        <v>-0.71547758809844564</v>
      </c>
      <c r="W110" s="27">
        <f>W104</f>
        <v>6.7675158154127564</v>
      </c>
      <c r="X110" s="22"/>
      <c r="Y110" s="22"/>
      <c r="Z110" s="40"/>
      <c r="AA110" s="41"/>
      <c r="AB110" s="22"/>
      <c r="AC110" s="22"/>
      <c r="AD110" s="40"/>
      <c r="AE110" s="24"/>
    </row>
    <row r="111" spans="20:31">
      <c r="T111" s="21"/>
      <c r="U111" s="22"/>
      <c r="V111" s="27">
        <f>-V105</f>
        <v>-20.311765919384552</v>
      </c>
      <c r="W111" s="27">
        <f>W105</f>
        <v>8.1332412741872187</v>
      </c>
      <c r="X111" s="22"/>
      <c r="Y111" s="22"/>
      <c r="Z111" s="40"/>
      <c r="AA111" s="41"/>
      <c r="AB111" s="22"/>
      <c r="AC111" s="22"/>
      <c r="AD111" s="40"/>
      <c r="AE111" s="24"/>
    </row>
    <row r="112" spans="20:31">
      <c r="T112" s="21"/>
      <c r="U112" s="22"/>
      <c r="V112" s="27">
        <f>-V106</f>
        <v>-20.311765919384552</v>
      </c>
      <c r="W112" s="27">
        <f>W106</f>
        <v>8.8261967977918196</v>
      </c>
      <c r="X112" s="22"/>
      <c r="Y112" s="22"/>
      <c r="Z112" s="40"/>
      <c r="AA112" s="41"/>
      <c r="AB112" s="22"/>
      <c r="AC112" s="22"/>
      <c r="AD112" s="40"/>
      <c r="AE112" s="24"/>
    </row>
    <row r="113" spans="20:31">
      <c r="T113" s="21"/>
      <c r="U113" s="22"/>
      <c r="V113" s="27">
        <f>-V107</f>
        <v>-0.71547758809844564</v>
      </c>
      <c r="W113" s="27">
        <f>W107</f>
        <v>7.9486900033751438</v>
      </c>
      <c r="X113" s="22"/>
      <c r="Y113" s="22"/>
      <c r="Z113" s="40"/>
      <c r="AA113" s="41"/>
      <c r="AB113" s="22"/>
      <c r="AC113" s="22"/>
      <c r="AD113" s="40"/>
      <c r="AE113" s="24"/>
    </row>
    <row r="114" spans="20:31">
      <c r="T114" s="32"/>
      <c r="U114" s="33"/>
      <c r="V114" s="27">
        <f>-V108</f>
        <v>-0.71547758809844564</v>
      </c>
      <c r="W114" s="27">
        <f>W108</f>
        <v>6.7675158154127564</v>
      </c>
      <c r="X114" s="33"/>
      <c r="Y114" s="33"/>
      <c r="Z114" s="42"/>
      <c r="AA114" s="43"/>
      <c r="AB114" s="33"/>
      <c r="AC114" s="33"/>
      <c r="AD114" s="42"/>
      <c r="AE114" s="34"/>
    </row>
    <row r="115" spans="20:31">
      <c r="T115" s="21"/>
      <c r="U115" s="22"/>
      <c r="V115" s="40"/>
      <c r="W115" s="41"/>
      <c r="X115" s="22"/>
      <c r="Y115" s="22"/>
      <c r="Z115" s="40"/>
      <c r="AA115" s="41"/>
      <c r="AB115" s="22"/>
      <c r="AC115" s="22"/>
      <c r="AD115" s="40"/>
      <c r="AE115" s="24"/>
    </row>
    <row r="116" spans="20:31">
      <c r="T116" s="21"/>
      <c r="U116" s="22"/>
      <c r="V116" s="40"/>
      <c r="W116" s="41"/>
      <c r="X116" s="22"/>
      <c r="Y116" s="22"/>
      <c r="Z116" s="40"/>
      <c r="AA116" s="41"/>
      <c r="AB116" s="22"/>
      <c r="AC116" s="22"/>
      <c r="AD116" s="40"/>
      <c r="AE116" s="24"/>
    </row>
    <row r="117" spans="20:31">
      <c r="T117" s="21"/>
      <c r="U117" s="22"/>
      <c r="V117" s="40"/>
      <c r="W117" s="41"/>
      <c r="X117" s="22"/>
      <c r="Y117" s="22"/>
      <c r="Z117" s="40"/>
      <c r="AA117" s="41"/>
      <c r="AB117" s="22"/>
      <c r="AC117" s="22"/>
      <c r="AD117" s="40"/>
      <c r="AE117" s="24"/>
    </row>
    <row r="118" spans="20:31">
      <c r="T118" s="258" t="s">
        <v>12</v>
      </c>
      <c r="U118" s="259"/>
      <c r="V118" s="27">
        <f>(D7-0.1)/2</f>
        <v>0.66547758809844559</v>
      </c>
      <c r="W118" s="27">
        <f>J6</f>
        <v>7.8038199668681942</v>
      </c>
      <c r="X118" s="31"/>
      <c r="Y118" s="31"/>
      <c r="Z118" s="38"/>
      <c r="AA118" s="39"/>
      <c r="AB118" s="31"/>
      <c r="AC118" s="31"/>
      <c r="AD118" s="27">
        <f>J6</f>
        <v>7.8038199668681942</v>
      </c>
      <c r="AE118" s="28">
        <f>0</f>
        <v>0</v>
      </c>
    </row>
    <row r="119" spans="20:31">
      <c r="T119" s="21"/>
      <c r="U119" s="22"/>
      <c r="V119" s="27">
        <f>V118</f>
        <v>0.66547758809844559</v>
      </c>
      <c r="W119" s="27">
        <f>W118+J7</f>
        <v>10.303819966868193</v>
      </c>
      <c r="X119" s="22"/>
      <c r="Y119" s="22"/>
      <c r="Z119" s="40"/>
      <c r="AA119" s="41"/>
      <c r="AB119" s="22"/>
      <c r="AC119" s="22"/>
      <c r="AD119" s="27">
        <f>AD118</f>
        <v>7.8038199668681942</v>
      </c>
      <c r="AE119" s="28">
        <f>AE118+D7</f>
        <v>1.4309551761968913</v>
      </c>
    </row>
    <row r="120" spans="20:31">
      <c r="T120" s="21"/>
      <c r="U120" s="22"/>
      <c r="V120" s="27">
        <f>-V118</f>
        <v>-0.66547758809844559</v>
      </c>
      <c r="W120" s="27">
        <f>W119</f>
        <v>10.303819966868193</v>
      </c>
      <c r="X120" s="22"/>
      <c r="Y120" s="22"/>
      <c r="Z120" s="40"/>
      <c r="AA120" s="41"/>
      <c r="AB120" s="22"/>
      <c r="AC120" s="22"/>
      <c r="AD120" s="27">
        <f>AD119+J7</f>
        <v>10.303819966868193</v>
      </c>
      <c r="AE120" s="28">
        <f>AE119</f>
        <v>1.4309551761968913</v>
      </c>
    </row>
    <row r="121" spans="20:31">
      <c r="T121" s="21"/>
      <c r="U121" s="22"/>
      <c r="V121" s="27">
        <f>V120</f>
        <v>-0.66547758809844559</v>
      </c>
      <c r="W121" s="27">
        <f>W118</f>
        <v>7.8038199668681942</v>
      </c>
      <c r="X121" s="22"/>
      <c r="Y121" s="22"/>
      <c r="Z121" s="40"/>
      <c r="AA121" s="41"/>
      <c r="AB121" s="22"/>
      <c r="AC121" s="22"/>
      <c r="AD121" s="27">
        <f>AD120</f>
        <v>10.303819966868193</v>
      </c>
      <c r="AE121" s="28">
        <f>AE118</f>
        <v>0</v>
      </c>
    </row>
    <row r="122" spans="20:31">
      <c r="T122" s="32"/>
      <c r="U122" s="33"/>
      <c r="V122" s="27">
        <f>V118</f>
        <v>0.66547758809844559</v>
      </c>
      <c r="W122" s="27">
        <f>W118</f>
        <v>7.8038199668681942</v>
      </c>
      <c r="X122" s="33"/>
      <c r="Y122" s="33"/>
      <c r="Z122" s="42"/>
      <c r="AA122" s="43"/>
      <c r="AB122" s="33"/>
      <c r="AC122" s="33"/>
      <c r="AD122" s="27">
        <f>AD118</f>
        <v>7.8038199668681942</v>
      </c>
      <c r="AE122" s="28">
        <f>AE118</f>
        <v>0</v>
      </c>
    </row>
    <row r="123" spans="20:31">
      <c r="T123" s="21"/>
      <c r="U123" s="22"/>
      <c r="V123" s="40"/>
      <c r="W123" s="41"/>
      <c r="X123" s="22"/>
      <c r="Y123" s="22"/>
      <c r="Z123" s="40"/>
      <c r="AA123" s="41"/>
      <c r="AB123" s="22"/>
      <c r="AC123" s="22"/>
      <c r="AD123" s="40"/>
      <c r="AE123" s="24"/>
    </row>
    <row r="124" spans="20:31">
      <c r="T124" s="21"/>
      <c r="U124" s="22"/>
      <c r="V124" s="40"/>
      <c r="W124" s="41"/>
      <c r="X124" s="22"/>
      <c r="Y124" s="22"/>
      <c r="Z124" s="40"/>
      <c r="AA124" s="41"/>
      <c r="AB124" s="22"/>
      <c r="AC124" s="22"/>
      <c r="AD124" s="40"/>
      <c r="AE124" s="24"/>
    </row>
    <row r="125" spans="20:31">
      <c r="T125" s="21"/>
      <c r="U125" s="22"/>
      <c r="V125" s="40"/>
      <c r="W125" s="41"/>
      <c r="X125" s="22"/>
      <c r="Y125" s="22"/>
      <c r="Z125" s="40"/>
      <c r="AA125" s="41"/>
      <c r="AB125" s="22"/>
      <c r="AC125" s="22"/>
      <c r="AD125" s="40"/>
      <c r="AE125" s="24"/>
    </row>
    <row r="126" spans="20:31">
      <c r="T126" s="258" t="s">
        <v>13</v>
      </c>
      <c r="U126" s="259"/>
      <c r="V126" s="38"/>
      <c r="W126" s="39"/>
      <c r="X126" s="31"/>
      <c r="Y126" s="31"/>
      <c r="Z126" s="38"/>
      <c r="AA126" s="39"/>
      <c r="AB126" s="31"/>
      <c r="AC126" s="31"/>
      <c r="AD126" s="38"/>
      <c r="AE126" s="37"/>
    </row>
    <row r="127" spans="20:31">
      <c r="T127" s="21"/>
      <c r="U127" s="23"/>
      <c r="V127" s="40"/>
      <c r="W127" s="41"/>
      <c r="X127" s="22"/>
      <c r="Y127" s="22"/>
      <c r="Z127" s="40"/>
      <c r="AA127" s="41"/>
      <c r="AB127" s="22"/>
      <c r="AC127" s="23" t="s">
        <v>25</v>
      </c>
      <c r="AD127" s="40"/>
      <c r="AE127" s="24"/>
    </row>
    <row r="128" spans="20:31">
      <c r="T128" s="258" t="s">
        <v>14</v>
      </c>
      <c r="U128" s="259"/>
      <c r="V128" s="27">
        <f>D7/2+0.4</f>
        <v>1.1154775880984458</v>
      </c>
      <c r="W128" s="27">
        <f>J14</f>
        <v>7.8702534690829022</v>
      </c>
      <c r="X128" s="22"/>
      <c r="Y128" s="22"/>
      <c r="Z128" s="27">
        <f>D7/2+0.4</f>
        <v>1.1154775880984458</v>
      </c>
      <c r="AA128" s="27">
        <f>-D7/2</f>
        <v>-0.71547758809844564</v>
      </c>
      <c r="AB128" s="22"/>
      <c r="AC128" s="23"/>
      <c r="AD128" s="27">
        <f>J14</f>
        <v>7.8702534690829022</v>
      </c>
      <c r="AE128" s="28">
        <v>0</v>
      </c>
    </row>
    <row r="129" spans="20:31">
      <c r="T129" s="21"/>
      <c r="U129" s="23" t="s">
        <v>25</v>
      </c>
      <c r="V129" s="27">
        <f>V128-0.6</f>
        <v>0.51547758809844579</v>
      </c>
      <c r="W129" s="27">
        <f>W128</f>
        <v>7.8702534690829022</v>
      </c>
      <c r="X129" s="22"/>
      <c r="Y129" s="22"/>
      <c r="Z129" s="27">
        <f>Z128</f>
        <v>1.1154775880984458</v>
      </c>
      <c r="AA129" s="27">
        <f>AA128-0.6</f>
        <v>-1.3154775880984455</v>
      </c>
      <c r="AB129" s="22"/>
      <c r="AC129" s="23"/>
      <c r="AD129" s="27">
        <f>AD128</f>
        <v>7.8702534690829022</v>
      </c>
      <c r="AE129" s="28">
        <f>AE128-0.6</f>
        <v>-0.6</v>
      </c>
    </row>
    <row r="130" spans="20:31">
      <c r="T130" s="21"/>
      <c r="U130" s="23">
        <v>20</v>
      </c>
      <c r="V130" s="27">
        <f>V129-0.2+0.2*COS(U130*PI()/180)</f>
        <v>0.50341611225562755</v>
      </c>
      <c r="W130" s="27">
        <f>W129-0.2*SIN(U130*PI()/180)</f>
        <v>7.8018494404177687</v>
      </c>
      <c r="X130" s="22"/>
      <c r="Y130" s="22"/>
      <c r="Z130" s="27">
        <f>Z129+0.25</f>
        <v>1.3654775880984458</v>
      </c>
      <c r="AA130" s="27">
        <f>AA129</f>
        <v>-1.3154775880984455</v>
      </c>
      <c r="AB130" s="22"/>
      <c r="AC130" s="23">
        <v>20</v>
      </c>
      <c r="AD130" s="27">
        <f>AD129-0.2*SIN(AC130*PI()/180)</f>
        <v>7.8018494404177687</v>
      </c>
      <c r="AE130" s="28">
        <f>AE129-0.2+0.2*COS(AC130*PI()/180)</f>
        <v>-0.61206147584281834</v>
      </c>
    </row>
    <row r="131" spans="20:31">
      <c r="T131" s="21"/>
      <c r="U131" s="23">
        <v>40</v>
      </c>
      <c r="V131" s="27">
        <f>V129-0.2+0.2*COS(U131*PI()/180)</f>
        <v>0.4686864767222414</v>
      </c>
      <c r="W131" s="27">
        <f>W129-0.2*SIN(U131*PI()/180)</f>
        <v>7.7416959471455939</v>
      </c>
      <c r="X131" s="22"/>
      <c r="Y131" s="22"/>
      <c r="Z131" s="27">
        <f>Z130</f>
        <v>1.3654775880984458</v>
      </c>
      <c r="AA131" s="27">
        <f>AA129-0.4</f>
        <v>-1.7154775880984454</v>
      </c>
      <c r="AB131" s="22"/>
      <c r="AC131" s="23">
        <v>40</v>
      </c>
      <c r="AD131" s="27">
        <f>AD129-0.2*SIN(AC131*PI()/180)</f>
        <v>7.7416959471455939</v>
      </c>
      <c r="AE131" s="28">
        <f>AE129-0.2+0.2*COS(AC131*PI()/180)</f>
        <v>-0.64679111137620438</v>
      </c>
    </row>
    <row r="132" spans="20:31">
      <c r="T132" s="21"/>
      <c r="U132" s="23">
        <v>60</v>
      </c>
      <c r="V132" s="27">
        <f>V129-0.2+0.2*COS(U132*PI()/180)</f>
        <v>0.41547758809844582</v>
      </c>
      <c r="W132" s="27">
        <f>W129-0.2*SIN(U132*PI()/180)</f>
        <v>7.6970483883260146</v>
      </c>
      <c r="X132" s="22"/>
      <c r="Y132" s="22"/>
      <c r="Z132" s="27">
        <f>Z131-0.5</f>
        <v>0.86547758809844577</v>
      </c>
      <c r="AA132" s="27">
        <f>AA131</f>
        <v>-1.7154775880984454</v>
      </c>
      <c r="AB132" s="22"/>
      <c r="AC132" s="23">
        <v>60</v>
      </c>
      <c r="AD132" s="27">
        <f>AD129-0.2*SIN(AC132*PI()/180)</f>
        <v>7.6970483883260146</v>
      </c>
      <c r="AE132" s="28">
        <f>AE129-0.2+0.2*COS(AC132*PI()/180)</f>
        <v>-0.7</v>
      </c>
    </row>
    <row r="133" spans="20:31">
      <c r="T133" s="21"/>
      <c r="U133" s="23">
        <v>80</v>
      </c>
      <c r="V133" s="27">
        <f>V129-0.2+0.2*COS(U133*PI()/180)</f>
        <v>0.35020722363183188</v>
      </c>
      <c r="W133" s="27">
        <f>W129-0.2*SIN(U133*PI()/180)</f>
        <v>7.6732919184804604</v>
      </c>
      <c r="X133" s="22"/>
      <c r="Y133" s="22"/>
      <c r="Z133" s="27">
        <f>Z132</f>
        <v>0.86547758809844577</v>
      </c>
      <c r="AA133" s="27">
        <f>AA129</f>
        <v>-1.3154775880984455</v>
      </c>
      <c r="AB133" s="22"/>
      <c r="AC133" s="23">
        <v>80</v>
      </c>
      <c r="AD133" s="27">
        <f>AD129-0.2*SIN(AC133*PI()/180)</f>
        <v>7.6732919184804604</v>
      </c>
      <c r="AE133" s="28">
        <f>AE129-0.2+0.2*COS(AC133*PI()/180)</f>
        <v>-0.76527036446661401</v>
      </c>
    </row>
    <row r="134" spans="20:31">
      <c r="T134" s="21"/>
      <c r="U134" s="23">
        <v>100</v>
      </c>
      <c r="V134" s="27">
        <f>V129-0.2+0.2*COS(U134*PI()/180)</f>
        <v>0.28074795256505974</v>
      </c>
      <c r="W134" s="27">
        <f>W129-0.2*SIN(U134*PI()/180)</f>
        <v>7.6732919184804604</v>
      </c>
      <c r="X134" s="22"/>
      <c r="Y134" s="22"/>
      <c r="Z134" s="27">
        <f>Z129</f>
        <v>1.1154775880984458</v>
      </c>
      <c r="AA134" s="27">
        <f>AA129</f>
        <v>-1.3154775880984455</v>
      </c>
      <c r="AB134" s="22"/>
      <c r="AC134" s="23">
        <v>100</v>
      </c>
      <c r="AD134" s="27">
        <f>AD129-0.2*SIN(AC134*PI()/180)</f>
        <v>7.6732919184804604</v>
      </c>
      <c r="AE134" s="28">
        <f>AE129-0.2+0.2*COS(AC134*PI()/180)</f>
        <v>-0.83472963553338608</v>
      </c>
    </row>
    <row r="135" spans="20:31">
      <c r="T135" s="21"/>
      <c r="U135" s="23">
        <v>120</v>
      </c>
      <c r="V135" s="27">
        <f>V129-0.2+0.2*COS(U135*PI()/180)</f>
        <v>0.2154775880984458</v>
      </c>
      <c r="W135" s="27">
        <f>W129-0.2*SIN(U135*PI()/180)</f>
        <v>7.6970483883260146</v>
      </c>
      <c r="X135" s="22"/>
      <c r="Y135" s="22"/>
      <c r="Z135" s="40"/>
      <c r="AA135" s="41"/>
      <c r="AB135" s="22"/>
      <c r="AC135" s="23">
        <v>120</v>
      </c>
      <c r="AD135" s="27">
        <f>AD129-0.2*SIN(AC135*PI()/180)</f>
        <v>7.6970483883260146</v>
      </c>
      <c r="AE135" s="28">
        <f>AE129-0.2+0.2*COS(AC135*PI()/180)</f>
        <v>-0.9</v>
      </c>
    </row>
    <row r="136" spans="20:31">
      <c r="T136" s="21"/>
      <c r="U136" s="23">
        <v>140</v>
      </c>
      <c r="V136" s="27">
        <f>V129-0.2+0.2*COS(U136*PI()/180)</f>
        <v>0.1622686994746502</v>
      </c>
      <c r="W136" s="27">
        <f>W129-0.2*SIN(U136*PI()/180)</f>
        <v>7.7416959471455939</v>
      </c>
      <c r="X136" s="22"/>
      <c r="Y136" s="22"/>
      <c r="Z136" s="40"/>
      <c r="AA136" s="41"/>
      <c r="AB136" s="22"/>
      <c r="AC136" s="23">
        <v>140</v>
      </c>
      <c r="AD136" s="27">
        <f>AD129-0.2*SIN(AC136*PI()/180)</f>
        <v>7.7416959471455939</v>
      </c>
      <c r="AE136" s="28">
        <f>AE129-0.2+0.2*COS(AC136*PI()/180)</f>
        <v>-0.9532088886237956</v>
      </c>
    </row>
    <row r="137" spans="20:31">
      <c r="T137" s="21"/>
      <c r="U137" s="23">
        <v>160</v>
      </c>
      <c r="V137" s="27">
        <f>V129-0.2+0.2*COS(U137*PI()/180)</f>
        <v>0.1275390639412641</v>
      </c>
      <c r="W137" s="27">
        <f>W129-0.2*SIN(U137*PI()/180)</f>
        <v>7.8018494404177687</v>
      </c>
      <c r="X137" s="22"/>
      <c r="Y137" s="22"/>
      <c r="Z137" s="40"/>
      <c r="AA137" s="41"/>
      <c r="AB137" s="22"/>
      <c r="AC137" s="23">
        <v>160</v>
      </c>
      <c r="AD137" s="27">
        <f>AD129-0.2*SIN(AC137*PI()/180)</f>
        <v>7.8018494404177687</v>
      </c>
      <c r="AE137" s="28">
        <f>AE129-0.2+0.2*COS(AC137*PI()/180)</f>
        <v>-0.98793852415718175</v>
      </c>
    </row>
    <row r="138" spans="20:31">
      <c r="T138" s="21"/>
      <c r="U138" s="23">
        <v>180</v>
      </c>
      <c r="V138" s="27">
        <f>V129-0.2+0.2*COS(U138*PI()/180)</f>
        <v>0.11547758809844577</v>
      </c>
      <c r="W138" s="27">
        <f>W129-0.2*SIN(U138*PI()/180)</f>
        <v>7.8702534690829022</v>
      </c>
      <c r="X138" s="22"/>
      <c r="Y138" s="22"/>
      <c r="Z138" s="40"/>
      <c r="AA138" s="41"/>
      <c r="AB138" s="22"/>
      <c r="AC138" s="23">
        <v>180</v>
      </c>
      <c r="AD138" s="27">
        <f>AD129-0.2*SIN(AC138*PI()/180)</f>
        <v>7.8702534690829022</v>
      </c>
      <c r="AE138" s="28">
        <f>AE129-0.2+0.2*COS(AC138*PI()/180)</f>
        <v>-1</v>
      </c>
    </row>
    <row r="139" spans="20:31">
      <c r="T139" s="21"/>
      <c r="U139" s="23">
        <v>200</v>
      </c>
      <c r="V139" s="27">
        <f>V129-0.2+0.2*COS(U139*PI()/180)</f>
        <v>0.12753906394126407</v>
      </c>
      <c r="W139" s="27">
        <f>W129-0.2*SIN(U139*PI()/180)</f>
        <v>7.9386574977480358</v>
      </c>
      <c r="X139" s="22"/>
      <c r="Y139" s="22"/>
      <c r="Z139" s="40"/>
      <c r="AA139" s="41"/>
      <c r="AB139" s="22"/>
      <c r="AC139" s="23">
        <v>200</v>
      </c>
      <c r="AD139" s="27">
        <f>AD129-0.2*SIN(AC139*PI()/180)</f>
        <v>7.9386574977480358</v>
      </c>
      <c r="AE139" s="28">
        <f>AE129-0.2+0.2*COS(AC139*PI()/180)</f>
        <v>-0.98793852415718175</v>
      </c>
    </row>
    <row r="140" spans="20:31">
      <c r="T140" s="21"/>
      <c r="U140" s="23">
        <v>220</v>
      </c>
      <c r="V140" s="27">
        <f>V129-0.2+0.2*COS(U140*PI()/180)</f>
        <v>0.16226869947465017</v>
      </c>
      <c r="W140" s="27">
        <f>W129-0.2*SIN(U140*PI()/180)</f>
        <v>7.9988109910202105</v>
      </c>
      <c r="X140" s="22"/>
      <c r="Y140" s="22"/>
      <c r="Z140" s="40"/>
      <c r="AA140" s="41"/>
      <c r="AB140" s="22"/>
      <c r="AC140" s="23">
        <v>220</v>
      </c>
      <c r="AD140" s="27">
        <f>AD129-0.2*SIN(AC140*PI()/180)</f>
        <v>7.9988109910202105</v>
      </c>
      <c r="AE140" s="28">
        <f>AE129-0.2+0.2*COS(AC140*PI()/180)</f>
        <v>-0.95320888862379571</v>
      </c>
    </row>
    <row r="141" spans="20:31">
      <c r="T141" s="21"/>
      <c r="U141" s="23">
        <v>240</v>
      </c>
      <c r="V141" s="27">
        <f>V129-0.2+0.2*COS(U141*PI()/180)</f>
        <v>0.21547758809844569</v>
      </c>
      <c r="W141" s="27">
        <f>W129-0.2*SIN(U141*PI()/180)</f>
        <v>8.0434585498397908</v>
      </c>
      <c r="X141" s="22"/>
      <c r="Y141" s="22"/>
      <c r="Z141" s="40"/>
      <c r="AA141" s="41"/>
      <c r="AB141" s="22"/>
      <c r="AC141" s="23">
        <v>240</v>
      </c>
      <c r="AD141" s="27">
        <f>AD129-0.2*SIN(AC141*PI()/180)</f>
        <v>8.0434585498397908</v>
      </c>
      <c r="AE141" s="28">
        <f>AE129-0.2+0.2*COS(AC141*PI()/180)</f>
        <v>-0.90000000000000013</v>
      </c>
    </row>
    <row r="142" spans="20:31">
      <c r="T142" s="21"/>
      <c r="U142" s="23">
        <v>260</v>
      </c>
      <c r="V142" s="27">
        <f>V129-0.2+0.2*COS(U142*PI()/180)</f>
        <v>0.28074795256505969</v>
      </c>
      <c r="W142" s="27">
        <f>W129-0.2*SIN(U142*PI()/180)</f>
        <v>8.067215019685344</v>
      </c>
      <c r="X142" s="22"/>
      <c r="Y142" s="22"/>
      <c r="Z142" s="40"/>
      <c r="AA142" s="41"/>
      <c r="AB142" s="22"/>
      <c r="AC142" s="23">
        <v>260</v>
      </c>
      <c r="AD142" s="27">
        <f>AD129-0.2*SIN(AC142*PI()/180)</f>
        <v>8.067215019685344</v>
      </c>
      <c r="AE142" s="28">
        <f>AE129-0.2+0.2*COS(AC142*PI()/180)</f>
        <v>-0.83472963553338608</v>
      </c>
    </row>
    <row r="143" spans="20:31">
      <c r="T143" s="21"/>
      <c r="U143" s="23">
        <v>280</v>
      </c>
      <c r="V143" s="27">
        <f>V129-0.2+0.2*COS(U143*PI()/180)</f>
        <v>0.35020722363183177</v>
      </c>
      <c r="W143" s="27">
        <f>W129-0.2*SIN(U143*PI()/180)</f>
        <v>8.067215019685344</v>
      </c>
      <c r="X143" s="22"/>
      <c r="Y143" s="22"/>
      <c r="Z143" s="40"/>
      <c r="AA143" s="41"/>
      <c r="AB143" s="22"/>
      <c r="AC143" s="23">
        <v>280</v>
      </c>
      <c r="AD143" s="27">
        <f>AD129-0.2*SIN(AC143*PI()/180)</f>
        <v>8.067215019685344</v>
      </c>
      <c r="AE143" s="28">
        <f>AE129-0.2+0.2*COS(AC143*PI()/180)</f>
        <v>-0.76527036446661401</v>
      </c>
    </row>
    <row r="144" spans="20:31">
      <c r="T144" s="21"/>
      <c r="U144" s="23">
        <v>300</v>
      </c>
      <c r="V144" s="27">
        <f>V129-0.2+0.2*COS(U144*PI()/180)</f>
        <v>0.41547758809844582</v>
      </c>
      <c r="W144" s="27">
        <f>W129-0.2*SIN(U144*PI()/180)</f>
        <v>8.0434585498397908</v>
      </c>
      <c r="X144" s="22"/>
      <c r="Y144" s="22"/>
      <c r="Z144" s="40"/>
      <c r="AA144" s="41"/>
      <c r="AB144" s="22"/>
      <c r="AC144" s="23">
        <v>300</v>
      </c>
      <c r="AD144" s="27">
        <f>AD129-0.2*SIN(AC144*PI()/180)</f>
        <v>8.0434585498397908</v>
      </c>
      <c r="AE144" s="28">
        <f>AE129-0.2+0.2*COS(AC144*PI()/180)</f>
        <v>-0.7</v>
      </c>
    </row>
    <row r="145" spans="20:31">
      <c r="T145" s="21"/>
      <c r="U145" s="23">
        <v>320</v>
      </c>
      <c r="V145" s="27">
        <f>V129-0.2+0.2*COS(U145*PI()/180)</f>
        <v>0.46868647672224134</v>
      </c>
      <c r="W145" s="27">
        <f>W129-0.2*SIN(U145*PI()/180)</f>
        <v>7.9988109910202105</v>
      </c>
      <c r="X145" s="22"/>
      <c r="Y145" s="22"/>
      <c r="Z145" s="40"/>
      <c r="AA145" s="41"/>
      <c r="AB145" s="22"/>
      <c r="AC145" s="23">
        <v>320</v>
      </c>
      <c r="AD145" s="27">
        <f>AD129-0.2*SIN(AC145*PI()/180)</f>
        <v>7.9988109910202105</v>
      </c>
      <c r="AE145" s="28">
        <f>AE129-0.2+0.2*COS(AC145*PI()/180)</f>
        <v>-0.64679111137620449</v>
      </c>
    </row>
    <row r="146" spans="20:31">
      <c r="T146" s="21"/>
      <c r="U146" s="23">
        <v>340</v>
      </c>
      <c r="V146" s="27">
        <f>V129-0.2+0.2*COS(U146*PI()/180)</f>
        <v>0.50341611225562755</v>
      </c>
      <c r="W146" s="27">
        <f>W129-0.2*SIN(U146*PI()/180)</f>
        <v>7.9386574977480358</v>
      </c>
      <c r="X146" s="22"/>
      <c r="Y146" s="22"/>
      <c r="Z146" s="40"/>
      <c r="AA146" s="41"/>
      <c r="AB146" s="22"/>
      <c r="AC146" s="23">
        <v>340</v>
      </c>
      <c r="AD146" s="27">
        <f>AD129-0.2*SIN(AC146*PI()/180)</f>
        <v>7.9386574977480358</v>
      </c>
      <c r="AE146" s="28">
        <f>AE129-0.2+0.2*COS(AC146*PI()/180)</f>
        <v>-0.61206147584281834</v>
      </c>
    </row>
    <row r="147" spans="20:31">
      <c r="T147" s="21"/>
      <c r="U147" s="23">
        <v>360</v>
      </c>
      <c r="V147" s="27">
        <f>V129-0.2+0.2*COS(U147*PI()/180)</f>
        <v>0.51547758809844579</v>
      </c>
      <c r="W147" s="27">
        <f>W129-0.2*SIN(U147*PI()/180)</f>
        <v>7.8702534690829022</v>
      </c>
      <c r="X147" s="22"/>
      <c r="Y147" s="22"/>
      <c r="Z147" s="40"/>
      <c r="AA147" s="41"/>
      <c r="AB147" s="22"/>
      <c r="AC147" s="23">
        <v>360</v>
      </c>
      <c r="AD147" s="27">
        <f>AD129-0.2*SIN(AC147*PI()/180)</f>
        <v>7.8702534690829022</v>
      </c>
      <c r="AE147" s="28">
        <f>AE129-0.2+0.2*COS(AC147*PI()/180)</f>
        <v>-0.60000000000000009</v>
      </c>
    </row>
    <row r="148" spans="20:31">
      <c r="T148" s="21"/>
      <c r="U148" s="22"/>
      <c r="V148" s="40"/>
      <c r="W148" s="41"/>
      <c r="X148" s="22"/>
      <c r="Y148" s="22"/>
      <c r="Z148" s="40"/>
      <c r="AA148" s="41"/>
      <c r="AB148" s="22"/>
      <c r="AC148" s="22"/>
      <c r="AD148" s="40"/>
      <c r="AE148" s="24"/>
    </row>
    <row r="149" spans="20:31">
      <c r="T149" s="21"/>
      <c r="U149" s="22"/>
      <c r="V149" s="40"/>
      <c r="W149" s="41"/>
      <c r="X149" s="22"/>
      <c r="Y149" s="22"/>
      <c r="Z149" s="40"/>
      <c r="AA149" s="41"/>
      <c r="AB149" s="22"/>
      <c r="AC149" s="22"/>
      <c r="AD149" s="40"/>
      <c r="AE149" s="24"/>
    </row>
    <row r="150" spans="20:31">
      <c r="T150" s="21"/>
      <c r="U150" s="22"/>
      <c r="V150" s="27">
        <f t="shared" ref="V150:V156" si="4">-V128</f>
        <v>-1.1154775880984458</v>
      </c>
      <c r="W150" s="27">
        <f t="shared" ref="W150:W156" si="5">W128</f>
        <v>7.8702534690829022</v>
      </c>
      <c r="X150" s="22"/>
      <c r="Y150" s="22"/>
      <c r="Z150" s="27">
        <f>-Z128</f>
        <v>-1.1154775880984458</v>
      </c>
      <c r="AA150" s="27">
        <f>AA128</f>
        <v>-0.71547758809844564</v>
      </c>
      <c r="AB150" s="22"/>
      <c r="AC150" s="22"/>
      <c r="AD150" s="40"/>
      <c r="AE150" s="24"/>
    </row>
    <row r="151" spans="20:31">
      <c r="T151" s="21"/>
      <c r="U151" s="22"/>
      <c r="V151" s="27">
        <f t="shared" si="4"/>
        <v>-0.51547758809844579</v>
      </c>
      <c r="W151" s="27">
        <f t="shared" si="5"/>
        <v>7.8702534690829022</v>
      </c>
      <c r="X151" s="22"/>
      <c r="Y151" s="22"/>
      <c r="Z151" s="27">
        <f t="shared" ref="Z151:Z156" si="6">-Z129</f>
        <v>-1.1154775880984458</v>
      </c>
      <c r="AA151" s="27">
        <f t="shared" ref="AA151:AA156" si="7">AA129</f>
        <v>-1.3154775880984455</v>
      </c>
      <c r="AB151" s="22"/>
      <c r="AC151" s="22"/>
      <c r="AD151" s="40"/>
      <c r="AE151" s="24"/>
    </row>
    <row r="152" spans="20:31">
      <c r="T152" s="21"/>
      <c r="U152" s="22"/>
      <c r="V152" s="27">
        <f t="shared" si="4"/>
        <v>-0.50341611225562755</v>
      </c>
      <c r="W152" s="27">
        <f t="shared" si="5"/>
        <v>7.8018494404177687</v>
      </c>
      <c r="X152" s="22"/>
      <c r="Y152" s="22"/>
      <c r="Z152" s="27">
        <f t="shared" si="6"/>
        <v>-1.3654775880984458</v>
      </c>
      <c r="AA152" s="27">
        <f t="shared" si="7"/>
        <v>-1.3154775880984455</v>
      </c>
      <c r="AB152" s="22"/>
      <c r="AC152" s="22"/>
      <c r="AD152" s="40"/>
      <c r="AE152" s="24"/>
    </row>
    <row r="153" spans="20:31">
      <c r="T153" s="21"/>
      <c r="U153" s="22"/>
      <c r="V153" s="27">
        <f t="shared" si="4"/>
        <v>-0.4686864767222414</v>
      </c>
      <c r="W153" s="27">
        <f t="shared" si="5"/>
        <v>7.7416959471455939</v>
      </c>
      <c r="X153" s="22"/>
      <c r="Y153" s="22"/>
      <c r="Z153" s="27">
        <f t="shared" si="6"/>
        <v>-1.3654775880984458</v>
      </c>
      <c r="AA153" s="27">
        <f t="shared" si="7"/>
        <v>-1.7154775880984454</v>
      </c>
      <c r="AB153" s="22"/>
      <c r="AC153" s="22"/>
      <c r="AD153" s="40"/>
      <c r="AE153" s="24"/>
    </row>
    <row r="154" spans="20:31">
      <c r="T154" s="21"/>
      <c r="U154" s="22"/>
      <c r="V154" s="27">
        <f t="shared" si="4"/>
        <v>-0.41547758809844582</v>
      </c>
      <c r="W154" s="27">
        <f t="shared" si="5"/>
        <v>7.6970483883260146</v>
      </c>
      <c r="X154" s="22"/>
      <c r="Y154" s="22"/>
      <c r="Z154" s="27">
        <f t="shared" si="6"/>
        <v>-0.86547758809844577</v>
      </c>
      <c r="AA154" s="27">
        <f t="shared" si="7"/>
        <v>-1.7154775880984454</v>
      </c>
      <c r="AB154" s="22"/>
      <c r="AC154" s="22"/>
      <c r="AD154" s="40"/>
      <c r="AE154" s="24"/>
    </row>
    <row r="155" spans="20:31">
      <c r="T155" s="21"/>
      <c r="U155" s="22"/>
      <c r="V155" s="27">
        <f t="shared" si="4"/>
        <v>-0.35020722363183188</v>
      </c>
      <c r="W155" s="27">
        <f t="shared" si="5"/>
        <v>7.6732919184804604</v>
      </c>
      <c r="X155" s="22"/>
      <c r="Y155" s="22"/>
      <c r="Z155" s="27">
        <f t="shared" si="6"/>
        <v>-0.86547758809844577</v>
      </c>
      <c r="AA155" s="27">
        <f t="shared" si="7"/>
        <v>-1.3154775880984455</v>
      </c>
      <c r="AB155" s="22"/>
      <c r="AC155" s="22"/>
      <c r="AD155" s="40"/>
      <c r="AE155" s="24"/>
    </row>
    <row r="156" spans="20:31">
      <c r="T156" s="21"/>
      <c r="U156" s="22"/>
      <c r="V156" s="27">
        <f t="shared" si="4"/>
        <v>-0.28074795256505974</v>
      </c>
      <c r="W156" s="27">
        <f t="shared" si="5"/>
        <v>7.6732919184804604</v>
      </c>
      <c r="X156" s="22"/>
      <c r="Y156" s="22"/>
      <c r="Z156" s="27">
        <f t="shared" si="6"/>
        <v>-1.1154775880984458</v>
      </c>
      <c r="AA156" s="27">
        <f t="shared" si="7"/>
        <v>-1.3154775880984455</v>
      </c>
      <c r="AB156" s="22"/>
      <c r="AC156" s="22"/>
      <c r="AD156" s="40"/>
      <c r="AE156" s="24"/>
    </row>
    <row r="157" spans="20:31">
      <c r="T157" s="21"/>
      <c r="U157" s="22"/>
      <c r="V157" s="27">
        <f t="shared" ref="V157:V169" si="8">-V135</f>
        <v>-0.2154775880984458</v>
      </c>
      <c r="W157" s="27">
        <f t="shared" ref="W157:W169" si="9">W135</f>
        <v>7.6970483883260146</v>
      </c>
      <c r="X157" s="22"/>
      <c r="Y157" s="22"/>
      <c r="Z157" s="40"/>
      <c r="AA157" s="41"/>
      <c r="AB157" s="22"/>
      <c r="AC157" s="22"/>
      <c r="AD157" s="40"/>
      <c r="AE157" s="24"/>
    </row>
    <row r="158" spans="20:31">
      <c r="T158" s="21"/>
      <c r="U158" s="22"/>
      <c r="V158" s="27">
        <f t="shared" si="8"/>
        <v>-0.1622686994746502</v>
      </c>
      <c r="W158" s="27">
        <f t="shared" si="9"/>
        <v>7.7416959471455939</v>
      </c>
      <c r="X158" s="22"/>
      <c r="Y158" s="22"/>
      <c r="Z158" s="40"/>
      <c r="AA158" s="41"/>
      <c r="AB158" s="22"/>
      <c r="AC158" s="22"/>
      <c r="AD158" s="40"/>
      <c r="AE158" s="24"/>
    </row>
    <row r="159" spans="20:31">
      <c r="T159" s="21"/>
      <c r="U159" s="22"/>
      <c r="V159" s="27">
        <f t="shared" si="8"/>
        <v>-0.1275390639412641</v>
      </c>
      <c r="W159" s="27">
        <f t="shared" si="9"/>
        <v>7.8018494404177687</v>
      </c>
      <c r="X159" s="22"/>
      <c r="Y159" s="22"/>
      <c r="Z159" s="40"/>
      <c r="AA159" s="41"/>
      <c r="AB159" s="22"/>
      <c r="AC159" s="22"/>
      <c r="AD159" s="40"/>
      <c r="AE159" s="24"/>
    </row>
    <row r="160" spans="20:31">
      <c r="T160" s="21"/>
      <c r="U160" s="22"/>
      <c r="V160" s="27">
        <f t="shared" si="8"/>
        <v>-0.11547758809844577</v>
      </c>
      <c r="W160" s="27">
        <f t="shared" si="9"/>
        <v>7.8702534690829022</v>
      </c>
      <c r="X160" s="22"/>
      <c r="Y160" s="22"/>
      <c r="Z160" s="40"/>
      <c r="AA160" s="41"/>
      <c r="AB160" s="22"/>
      <c r="AC160" s="22"/>
      <c r="AD160" s="40"/>
      <c r="AE160" s="24"/>
    </row>
    <row r="161" spans="20:31">
      <c r="T161" s="21"/>
      <c r="U161" s="22"/>
      <c r="V161" s="27">
        <f t="shared" si="8"/>
        <v>-0.12753906394126407</v>
      </c>
      <c r="W161" s="27">
        <f t="shared" si="9"/>
        <v>7.9386574977480358</v>
      </c>
      <c r="X161" s="22"/>
      <c r="Y161" s="22"/>
      <c r="Z161" s="40"/>
      <c r="AA161" s="41"/>
      <c r="AB161" s="22"/>
      <c r="AC161" s="22"/>
      <c r="AD161" s="40"/>
      <c r="AE161" s="24"/>
    </row>
    <row r="162" spans="20:31">
      <c r="T162" s="21"/>
      <c r="U162" s="22"/>
      <c r="V162" s="27">
        <f t="shared" si="8"/>
        <v>-0.16226869947465017</v>
      </c>
      <c r="W162" s="27">
        <f t="shared" si="9"/>
        <v>7.9988109910202105</v>
      </c>
      <c r="X162" s="22"/>
      <c r="Y162" s="22"/>
      <c r="Z162" s="40"/>
      <c r="AA162" s="41"/>
      <c r="AB162" s="22"/>
      <c r="AC162" s="22"/>
      <c r="AD162" s="40"/>
      <c r="AE162" s="24"/>
    </row>
    <row r="163" spans="20:31">
      <c r="T163" s="21"/>
      <c r="U163" s="22"/>
      <c r="V163" s="27">
        <f t="shared" si="8"/>
        <v>-0.21547758809844569</v>
      </c>
      <c r="W163" s="27">
        <f>W141</f>
        <v>8.0434585498397908</v>
      </c>
      <c r="X163" s="22"/>
      <c r="Y163" s="22"/>
      <c r="Z163" s="40"/>
      <c r="AA163" s="41"/>
      <c r="AB163" s="22"/>
      <c r="AC163" s="22"/>
      <c r="AD163" s="40"/>
      <c r="AE163" s="24"/>
    </row>
    <row r="164" spans="20:31">
      <c r="T164" s="21"/>
      <c r="U164" s="22"/>
      <c r="V164" s="27">
        <f t="shared" si="8"/>
        <v>-0.28074795256505969</v>
      </c>
      <c r="W164" s="27">
        <f t="shared" si="9"/>
        <v>8.067215019685344</v>
      </c>
      <c r="X164" s="22"/>
      <c r="Y164" s="22"/>
      <c r="Z164" s="40"/>
      <c r="AA164" s="41"/>
      <c r="AB164" s="22"/>
      <c r="AC164" s="22"/>
      <c r="AD164" s="40"/>
      <c r="AE164" s="24"/>
    </row>
    <row r="165" spans="20:31">
      <c r="T165" s="21"/>
      <c r="U165" s="22"/>
      <c r="V165" s="27">
        <f t="shared" si="8"/>
        <v>-0.35020722363183177</v>
      </c>
      <c r="W165" s="27">
        <f t="shared" si="9"/>
        <v>8.067215019685344</v>
      </c>
      <c r="X165" s="22"/>
      <c r="Y165" s="22"/>
      <c r="Z165" s="40"/>
      <c r="AA165" s="41"/>
      <c r="AB165" s="22"/>
      <c r="AC165" s="22"/>
      <c r="AD165" s="40"/>
      <c r="AE165" s="24"/>
    </row>
    <row r="166" spans="20:31">
      <c r="T166" s="21"/>
      <c r="U166" s="22"/>
      <c r="V166" s="27">
        <f t="shared" si="8"/>
        <v>-0.41547758809844582</v>
      </c>
      <c r="W166" s="27">
        <f t="shared" si="9"/>
        <v>8.0434585498397908</v>
      </c>
      <c r="X166" s="22"/>
      <c r="Y166" s="22"/>
      <c r="Z166" s="40"/>
      <c r="AA166" s="41"/>
      <c r="AB166" s="22"/>
      <c r="AC166" s="22"/>
      <c r="AD166" s="40"/>
      <c r="AE166" s="24"/>
    </row>
    <row r="167" spans="20:31">
      <c r="T167" s="21"/>
      <c r="U167" s="22"/>
      <c r="V167" s="27">
        <f t="shared" si="8"/>
        <v>-0.46868647672224134</v>
      </c>
      <c r="W167" s="27">
        <f>W145</f>
        <v>7.9988109910202105</v>
      </c>
      <c r="X167" s="22"/>
      <c r="Y167" s="22"/>
      <c r="Z167" s="40"/>
      <c r="AA167" s="41"/>
      <c r="AB167" s="22"/>
      <c r="AC167" s="22"/>
      <c r="AD167" s="40"/>
      <c r="AE167" s="24"/>
    </row>
    <row r="168" spans="20:31">
      <c r="T168" s="21"/>
      <c r="U168" s="22"/>
      <c r="V168" s="27">
        <f t="shared" si="8"/>
        <v>-0.50341611225562755</v>
      </c>
      <c r="W168" s="27">
        <f t="shared" si="9"/>
        <v>7.9386574977480358</v>
      </c>
      <c r="X168" s="22"/>
      <c r="Y168" s="22"/>
      <c r="Z168" s="40"/>
      <c r="AA168" s="41"/>
      <c r="AB168" s="22"/>
      <c r="AC168" s="22"/>
      <c r="AD168" s="40"/>
      <c r="AE168" s="24"/>
    </row>
    <row r="169" spans="20:31">
      <c r="T169" s="32"/>
      <c r="U169" s="33"/>
      <c r="V169" s="27">
        <f t="shared" si="8"/>
        <v>-0.51547758809844579</v>
      </c>
      <c r="W169" s="27">
        <f t="shared" si="9"/>
        <v>7.8702534690829022</v>
      </c>
      <c r="X169" s="33"/>
      <c r="Y169" s="33"/>
      <c r="Z169" s="42"/>
      <c r="AA169" s="43"/>
      <c r="AB169" s="33"/>
      <c r="AC169" s="33"/>
      <c r="AD169" s="42"/>
      <c r="AE169" s="34"/>
    </row>
    <row r="170" spans="20:31">
      <c r="T170" s="21"/>
      <c r="U170" s="22"/>
      <c r="V170" s="40"/>
      <c r="W170" s="41"/>
      <c r="X170" s="22"/>
      <c r="Y170" s="22"/>
      <c r="Z170" s="40"/>
      <c r="AA170" s="41"/>
      <c r="AB170" s="22"/>
      <c r="AC170" s="22"/>
      <c r="AD170" s="40"/>
      <c r="AE170" s="24"/>
    </row>
    <row r="171" spans="20:31">
      <c r="T171" s="21"/>
      <c r="U171" s="22"/>
      <c r="V171" s="40"/>
      <c r="W171" s="41"/>
      <c r="X171" s="22"/>
      <c r="Y171" s="22"/>
      <c r="Z171" s="40"/>
      <c r="AA171" s="41"/>
      <c r="AB171" s="22"/>
      <c r="AC171" s="22"/>
      <c r="AD171" s="40"/>
      <c r="AE171" s="24"/>
    </row>
    <row r="172" spans="20:31">
      <c r="T172" s="21"/>
      <c r="U172" s="22"/>
      <c r="V172" s="40"/>
      <c r="W172" s="41"/>
      <c r="X172" s="22"/>
      <c r="Y172" s="22"/>
      <c r="Z172" s="40"/>
      <c r="AA172" s="41"/>
      <c r="AB172" s="22"/>
      <c r="AC172" s="23" t="s">
        <v>25</v>
      </c>
      <c r="AD172" s="40"/>
      <c r="AE172" s="24"/>
    </row>
    <row r="173" spans="20:31">
      <c r="T173" s="258" t="s">
        <v>15</v>
      </c>
      <c r="U173" s="259"/>
      <c r="V173" s="27">
        <v>0</v>
      </c>
      <c r="W173" s="27">
        <f>J15</f>
        <v>2.8619103523937826</v>
      </c>
      <c r="X173" s="31"/>
      <c r="Y173" s="31"/>
      <c r="Z173" s="27">
        <f>0</f>
        <v>0</v>
      </c>
      <c r="AA173" s="27">
        <f>AA128</f>
        <v>-0.71547758809844564</v>
      </c>
      <c r="AB173" s="31"/>
      <c r="AC173" s="35"/>
      <c r="AD173" s="27">
        <f>J15</f>
        <v>2.8619103523937826</v>
      </c>
      <c r="AE173" s="28">
        <v>0</v>
      </c>
    </row>
    <row r="174" spans="20:31">
      <c r="T174" s="21"/>
      <c r="U174" s="22"/>
      <c r="V174" s="27">
        <v>0</v>
      </c>
      <c r="W174" s="27">
        <f>3-0.6</f>
        <v>2.4</v>
      </c>
      <c r="X174" s="22"/>
      <c r="Y174" s="22"/>
      <c r="Z174" s="27">
        <v>0</v>
      </c>
      <c r="AA174" s="27">
        <f t="shared" ref="AA174:AA179" si="10">AA129</f>
        <v>-1.3154775880984455</v>
      </c>
      <c r="AB174" s="22"/>
      <c r="AC174" s="23"/>
      <c r="AD174" s="27">
        <f>AD173</f>
        <v>2.8619103523937826</v>
      </c>
      <c r="AE174" s="28">
        <v>-0.6</v>
      </c>
    </row>
    <row r="175" spans="20:31">
      <c r="T175" s="21"/>
      <c r="U175" s="22"/>
      <c r="V175" s="27">
        <v>0.25</v>
      </c>
      <c r="W175" s="27">
        <f>W174</f>
        <v>2.4</v>
      </c>
      <c r="X175" s="22"/>
      <c r="Y175" s="22"/>
      <c r="Z175" s="27">
        <f>0.25</f>
        <v>0.25</v>
      </c>
      <c r="AA175" s="27">
        <f t="shared" si="10"/>
        <v>-1.3154775880984455</v>
      </c>
      <c r="AB175" s="22"/>
      <c r="AC175" s="23">
        <v>20</v>
      </c>
      <c r="AD175" s="27">
        <f>AD174-0.2*SIN(AC175*PI()/180)</f>
        <v>2.7935063237286486</v>
      </c>
      <c r="AE175" s="28">
        <f>AE174-0.2+0.2*COS(AC175*PI()/180)</f>
        <v>-0.61206147584281834</v>
      </c>
    </row>
    <row r="176" spans="20:31">
      <c r="T176" s="21"/>
      <c r="U176" s="22"/>
      <c r="V176" s="27">
        <v>0.25</v>
      </c>
      <c r="W176" s="27">
        <f>W175-0.4</f>
        <v>2</v>
      </c>
      <c r="X176" s="22"/>
      <c r="Y176" s="22"/>
      <c r="Z176" s="27">
        <v>0.25</v>
      </c>
      <c r="AA176" s="27">
        <f t="shared" si="10"/>
        <v>-1.7154775880984454</v>
      </c>
      <c r="AB176" s="22"/>
      <c r="AC176" s="23">
        <v>40</v>
      </c>
      <c r="AD176" s="27">
        <f>AD174-0.2*SIN(AC176*PI()/180)</f>
        <v>2.7333528304564747</v>
      </c>
      <c r="AE176" s="28">
        <f>AE174-0.2+0.2*COS(AC176*PI()/180)</f>
        <v>-0.64679111137620438</v>
      </c>
    </row>
    <row r="177" spans="20:31">
      <c r="T177" s="21"/>
      <c r="U177" s="22"/>
      <c r="V177" s="27">
        <f>-V175</f>
        <v>-0.25</v>
      </c>
      <c r="W177" s="27">
        <f>W176</f>
        <v>2</v>
      </c>
      <c r="X177" s="22"/>
      <c r="Y177" s="22"/>
      <c r="Z177" s="27">
        <v>-0.25</v>
      </c>
      <c r="AA177" s="27">
        <f t="shared" si="10"/>
        <v>-1.7154775880984454</v>
      </c>
      <c r="AB177" s="22"/>
      <c r="AC177" s="23">
        <v>60</v>
      </c>
      <c r="AD177" s="27">
        <f>AD174-0.2*SIN(AC177*PI()/180)</f>
        <v>2.6887052716368949</v>
      </c>
      <c r="AE177" s="28">
        <f>AE174-0.2+0.2*COS(AC177*PI()/180)</f>
        <v>-0.7</v>
      </c>
    </row>
    <row r="178" spans="20:31">
      <c r="T178" s="21"/>
      <c r="U178" s="22"/>
      <c r="V178" s="27">
        <f>V177</f>
        <v>-0.25</v>
      </c>
      <c r="W178" s="27">
        <f>W174</f>
        <v>2.4</v>
      </c>
      <c r="X178" s="22"/>
      <c r="Y178" s="22"/>
      <c r="Z178" s="27">
        <v>-0.25</v>
      </c>
      <c r="AA178" s="27">
        <f t="shared" si="10"/>
        <v>-1.3154775880984455</v>
      </c>
      <c r="AB178" s="22"/>
      <c r="AC178" s="23">
        <v>80</v>
      </c>
      <c r="AD178" s="27">
        <f>AD174-0.2*SIN(AC178*PI()/180)</f>
        <v>2.6649488017913407</v>
      </c>
      <c r="AE178" s="28">
        <f>AE174-0.2+0.2*COS(AC178*PI()/180)</f>
        <v>-0.76527036446661401</v>
      </c>
    </row>
    <row r="179" spans="20:31">
      <c r="T179" s="21"/>
      <c r="U179" s="22"/>
      <c r="V179" s="27">
        <f>V174</f>
        <v>0</v>
      </c>
      <c r="W179" s="27">
        <f>W174</f>
        <v>2.4</v>
      </c>
      <c r="X179" s="22"/>
      <c r="Y179" s="22"/>
      <c r="Z179" s="27">
        <v>0</v>
      </c>
      <c r="AA179" s="27">
        <f t="shared" si="10"/>
        <v>-1.3154775880984455</v>
      </c>
      <c r="AB179" s="22"/>
      <c r="AC179" s="23">
        <v>100</v>
      </c>
      <c r="AD179" s="27">
        <f>AD174-0.2*SIN(AC179*PI()/180)</f>
        <v>2.6649488017913407</v>
      </c>
      <c r="AE179" s="28">
        <f>AE174-0.2+0.2*COS(AC179*PI()/180)</f>
        <v>-0.83472963553338608</v>
      </c>
    </row>
    <row r="180" spans="20:31">
      <c r="T180" s="21"/>
      <c r="U180" s="22"/>
      <c r="V180" s="40"/>
      <c r="W180" s="41"/>
      <c r="X180" s="22"/>
      <c r="Y180" s="22"/>
      <c r="Z180" s="40"/>
      <c r="AA180" s="41"/>
      <c r="AB180" s="22"/>
      <c r="AC180" s="23">
        <v>120</v>
      </c>
      <c r="AD180" s="27">
        <f>AD174-0.2*SIN(AC180*PI()/180)</f>
        <v>2.6887052716368949</v>
      </c>
      <c r="AE180" s="28">
        <f>AE174-0.2+0.2*COS(AC180*PI()/180)</f>
        <v>-0.9</v>
      </c>
    </row>
    <row r="181" spans="20:31">
      <c r="T181" s="21"/>
      <c r="U181" s="22"/>
      <c r="V181" s="40"/>
      <c r="W181" s="41"/>
      <c r="X181" s="22"/>
      <c r="Y181" s="22"/>
      <c r="Z181" s="40"/>
      <c r="AA181" s="41"/>
      <c r="AB181" s="22"/>
      <c r="AC181" s="23">
        <v>140</v>
      </c>
      <c r="AD181" s="27">
        <f>AD174-0.2*SIN(AC181*PI()/180)</f>
        <v>2.7333528304564747</v>
      </c>
      <c r="AE181" s="28">
        <f>AE174-0.2+0.2*COS(AC181*PI()/180)</f>
        <v>-0.9532088886237956</v>
      </c>
    </row>
    <row r="182" spans="20:31">
      <c r="T182" s="21"/>
      <c r="U182" s="22"/>
      <c r="V182" s="40"/>
      <c r="W182" s="41"/>
      <c r="X182" s="22"/>
      <c r="Y182" s="22"/>
      <c r="Z182" s="40"/>
      <c r="AA182" s="41"/>
      <c r="AB182" s="22"/>
      <c r="AC182" s="23">
        <v>160</v>
      </c>
      <c r="AD182" s="27">
        <f>AD174-0.2*SIN(AC182*PI()/180)</f>
        <v>2.7935063237286486</v>
      </c>
      <c r="AE182" s="28">
        <f>AE174-0.2+0.2*COS(AC182*PI()/180)</f>
        <v>-0.98793852415718175</v>
      </c>
    </row>
    <row r="183" spans="20:31">
      <c r="T183" s="21"/>
      <c r="U183" s="22"/>
      <c r="V183" s="40"/>
      <c r="W183" s="41"/>
      <c r="X183" s="22"/>
      <c r="Y183" s="22"/>
      <c r="Z183" s="40"/>
      <c r="AA183" s="41"/>
      <c r="AB183" s="22"/>
      <c r="AC183" s="23">
        <v>180</v>
      </c>
      <c r="AD183" s="27">
        <f>AD174-0.2*SIN(AC183*PI()/180)</f>
        <v>2.8619103523937826</v>
      </c>
      <c r="AE183" s="28">
        <f>AE174-0.2+0.2*COS(AC183*PI()/180)</f>
        <v>-1</v>
      </c>
    </row>
    <row r="184" spans="20:31">
      <c r="T184" s="21"/>
      <c r="U184" s="22"/>
      <c r="V184" s="40"/>
      <c r="W184" s="41"/>
      <c r="X184" s="22"/>
      <c r="Y184" s="22"/>
      <c r="Z184" s="40"/>
      <c r="AA184" s="41"/>
      <c r="AB184" s="22"/>
      <c r="AC184" s="23">
        <v>200</v>
      </c>
      <c r="AD184" s="27">
        <f>AD174-0.2*SIN(AC184*PI()/180)</f>
        <v>2.9303143810589161</v>
      </c>
      <c r="AE184" s="28">
        <f>AE174-0.2+0.2*COS(AC184*PI()/180)</f>
        <v>-0.98793852415718175</v>
      </c>
    </row>
    <row r="185" spans="20:31">
      <c r="T185" s="21"/>
      <c r="U185" s="22"/>
      <c r="V185" s="40"/>
      <c r="W185" s="41"/>
      <c r="X185" s="22"/>
      <c r="Y185" s="22"/>
      <c r="Z185" s="40"/>
      <c r="AA185" s="41"/>
      <c r="AB185" s="22"/>
      <c r="AC185" s="23">
        <v>220</v>
      </c>
      <c r="AD185" s="27">
        <f>AD174-0.2*SIN(AC185*PI()/180)</f>
        <v>2.9904678743310904</v>
      </c>
      <c r="AE185" s="28">
        <f>AE174-0.2+0.2*COS(AC185*PI()/180)</f>
        <v>-0.95320888862379571</v>
      </c>
    </row>
    <row r="186" spans="20:31">
      <c r="T186" s="21"/>
      <c r="U186" s="22"/>
      <c r="V186" s="40"/>
      <c r="W186" s="41"/>
      <c r="X186" s="22"/>
      <c r="Y186" s="22"/>
      <c r="Z186" s="40"/>
      <c r="AA186" s="41"/>
      <c r="AB186" s="22"/>
      <c r="AC186" s="23">
        <v>240</v>
      </c>
      <c r="AD186" s="27">
        <f>AD174-0.2*SIN(AC186*PI()/180)</f>
        <v>3.0351154331506702</v>
      </c>
      <c r="AE186" s="28">
        <f>AE174-0.2+0.2*COS(AC186*PI()/180)</f>
        <v>-0.90000000000000013</v>
      </c>
    </row>
    <row r="187" spans="20:31">
      <c r="T187" s="21"/>
      <c r="U187" s="22"/>
      <c r="V187" s="40"/>
      <c r="W187" s="41"/>
      <c r="X187" s="22"/>
      <c r="Y187" s="22"/>
      <c r="Z187" s="40"/>
      <c r="AA187" s="41"/>
      <c r="AB187" s="22"/>
      <c r="AC187" s="23">
        <v>260</v>
      </c>
      <c r="AD187" s="27">
        <f>AD174-0.2*SIN(AC187*PI()/180)</f>
        <v>3.0588719029962244</v>
      </c>
      <c r="AE187" s="28">
        <f>AE174-0.2+0.2*COS(AC187*PI()/180)</f>
        <v>-0.83472963553338608</v>
      </c>
    </row>
    <row r="188" spans="20:31">
      <c r="T188" s="21"/>
      <c r="U188" s="22"/>
      <c r="V188" s="40"/>
      <c r="W188" s="41"/>
      <c r="X188" s="22"/>
      <c r="Y188" s="22"/>
      <c r="Z188" s="40"/>
      <c r="AA188" s="41"/>
      <c r="AB188" s="22"/>
      <c r="AC188" s="23">
        <v>280</v>
      </c>
      <c r="AD188" s="27">
        <f>AD174-0.2*SIN(AC188*PI()/180)</f>
        <v>3.0588719029962244</v>
      </c>
      <c r="AE188" s="28">
        <f>AE174-0.2+0.2*COS(AC188*PI()/180)</f>
        <v>-0.76527036446661401</v>
      </c>
    </row>
    <row r="189" spans="20:31">
      <c r="T189" s="21"/>
      <c r="U189" s="22"/>
      <c r="V189" s="40"/>
      <c r="W189" s="41"/>
      <c r="X189" s="22"/>
      <c r="Y189" s="22"/>
      <c r="Z189" s="40"/>
      <c r="AA189" s="41"/>
      <c r="AB189" s="22"/>
      <c r="AC189" s="23">
        <v>300</v>
      </c>
      <c r="AD189" s="27">
        <f>AD174-0.2*SIN(AC189*PI()/180)</f>
        <v>3.0351154331506702</v>
      </c>
      <c r="AE189" s="28">
        <f>AE174-0.2+0.2*COS(AC189*PI()/180)</f>
        <v>-0.7</v>
      </c>
    </row>
    <row r="190" spans="20:31">
      <c r="T190" s="21"/>
      <c r="U190" s="22"/>
      <c r="V190" s="40"/>
      <c r="W190" s="41"/>
      <c r="X190" s="22"/>
      <c r="Y190" s="22"/>
      <c r="Z190" s="40"/>
      <c r="AA190" s="41"/>
      <c r="AB190" s="22"/>
      <c r="AC190" s="23">
        <v>320</v>
      </c>
      <c r="AD190" s="27">
        <f>AD174-0.2*SIN(AC190*PI()/180)</f>
        <v>2.9904678743310904</v>
      </c>
      <c r="AE190" s="28">
        <f>AE174-0.2+0.2*COS(AC190*PI()/180)</f>
        <v>-0.64679111137620449</v>
      </c>
    </row>
    <row r="191" spans="20:31">
      <c r="T191" s="21"/>
      <c r="U191" s="22"/>
      <c r="V191" s="40"/>
      <c r="W191" s="41"/>
      <c r="X191" s="22"/>
      <c r="Y191" s="22"/>
      <c r="Z191" s="40"/>
      <c r="AA191" s="41"/>
      <c r="AB191" s="22"/>
      <c r="AC191" s="23">
        <v>340</v>
      </c>
      <c r="AD191" s="27">
        <f>AD174-0.2*SIN(AC191*PI()/180)</f>
        <v>2.9303143810589161</v>
      </c>
      <c r="AE191" s="28">
        <f>AE174-0.2+0.2*COS(AC191*PI()/180)</f>
        <v>-0.61206147584281834</v>
      </c>
    </row>
    <row r="192" spans="20:31">
      <c r="T192" s="32"/>
      <c r="U192" s="33"/>
      <c r="V192" s="42"/>
      <c r="W192" s="43"/>
      <c r="X192" s="33"/>
      <c r="Y192" s="33"/>
      <c r="Z192" s="42"/>
      <c r="AA192" s="43"/>
      <c r="AB192" s="33"/>
      <c r="AC192" s="36">
        <v>360</v>
      </c>
      <c r="AD192" s="27">
        <f>AD174-0.2*SIN(AC192*PI()/180)</f>
        <v>2.8619103523937826</v>
      </c>
      <c r="AE192" s="28">
        <f>AE174-0.2+0.2*COS(AC192*PI()/180)</f>
        <v>-0.60000000000000009</v>
      </c>
    </row>
    <row r="193" spans="20:31">
      <c r="T193" s="21"/>
      <c r="U193" s="22"/>
      <c r="V193" s="40"/>
      <c r="W193" s="41"/>
      <c r="X193" s="22"/>
      <c r="Y193" s="22"/>
      <c r="Z193" s="40"/>
      <c r="AA193" s="41"/>
      <c r="AB193" s="22"/>
      <c r="AC193" s="22"/>
      <c r="AD193" s="40"/>
      <c r="AE193" s="24"/>
    </row>
    <row r="194" spans="20:31">
      <c r="T194" s="21"/>
      <c r="U194" s="22"/>
      <c r="V194" s="40"/>
      <c r="W194" s="41"/>
      <c r="X194" s="22"/>
      <c r="Y194" s="22"/>
      <c r="Z194" s="40"/>
      <c r="AA194" s="41"/>
      <c r="AB194" s="22"/>
      <c r="AC194" s="22"/>
      <c r="AD194" s="40"/>
      <c r="AE194" s="24"/>
    </row>
    <row r="195" spans="20:31">
      <c r="T195" s="21"/>
      <c r="U195" s="22"/>
      <c r="V195" s="40"/>
      <c r="W195" s="41"/>
      <c r="X195" s="22"/>
      <c r="Y195" s="22"/>
      <c r="Z195" s="40"/>
      <c r="AA195" s="41"/>
      <c r="AB195" s="22"/>
      <c r="AC195" s="22"/>
      <c r="AD195" s="40"/>
      <c r="AE195" s="24"/>
    </row>
    <row r="196" spans="20:31">
      <c r="T196" s="258" t="s">
        <v>16</v>
      </c>
      <c r="U196" s="259"/>
      <c r="V196" s="27">
        <v>0.35</v>
      </c>
      <c r="W196" s="27">
        <f>J8</f>
        <v>1.5</v>
      </c>
      <c r="X196" s="31"/>
      <c r="Y196" s="31"/>
      <c r="Z196" s="38"/>
      <c r="AA196" s="39"/>
      <c r="AB196" s="31"/>
      <c r="AC196" s="31"/>
      <c r="AD196" s="27">
        <f>J8</f>
        <v>1.5</v>
      </c>
      <c r="AE196" s="28">
        <f>J9+D7/2-0.4/2</f>
        <v>1.5477588098445627E-2</v>
      </c>
    </row>
    <row r="197" spans="20:31">
      <c r="T197" s="21"/>
      <c r="U197" s="22"/>
      <c r="V197" s="27">
        <v>0.35</v>
      </c>
      <c r="W197" s="27">
        <f>W196+2</f>
        <v>3.5</v>
      </c>
      <c r="X197" s="22"/>
      <c r="Y197" s="22"/>
      <c r="Z197" s="40"/>
      <c r="AA197" s="41"/>
      <c r="AB197" s="22"/>
      <c r="AC197" s="22"/>
      <c r="AD197" s="27">
        <f>AD196</f>
        <v>1.5</v>
      </c>
      <c r="AE197" s="28">
        <f>AE196+0.4</f>
        <v>0.41547758809844565</v>
      </c>
    </row>
    <row r="198" spans="20:31">
      <c r="T198" s="21"/>
      <c r="U198" s="22"/>
      <c r="V198" s="27">
        <v>0</v>
      </c>
      <c r="W198" s="27">
        <f>W197</f>
        <v>3.5</v>
      </c>
      <c r="X198" s="22"/>
      <c r="Y198" s="22"/>
      <c r="Z198" s="40"/>
      <c r="AA198" s="41"/>
      <c r="AB198" s="22"/>
      <c r="AC198" s="22"/>
      <c r="AD198" s="27">
        <f>AD197+2</f>
        <v>3.5</v>
      </c>
      <c r="AE198" s="28">
        <f>AE197</f>
        <v>0.41547758809844565</v>
      </c>
    </row>
    <row r="199" spans="20:31">
      <c r="T199" s="21"/>
      <c r="U199" s="22"/>
      <c r="V199" s="27">
        <v>0</v>
      </c>
      <c r="W199" s="27">
        <f>W196</f>
        <v>1.5</v>
      </c>
      <c r="X199" s="22"/>
      <c r="Y199" s="22"/>
      <c r="Z199" s="40"/>
      <c r="AA199" s="41"/>
      <c r="AB199" s="22"/>
      <c r="AC199" s="22"/>
      <c r="AD199" s="27">
        <f>AD198</f>
        <v>3.5</v>
      </c>
      <c r="AE199" s="28">
        <f>AE196</f>
        <v>1.5477588098445627E-2</v>
      </c>
    </row>
    <row r="200" spans="20:31">
      <c r="T200" s="21"/>
      <c r="U200" s="22"/>
      <c r="V200" s="27">
        <f>V196</f>
        <v>0.35</v>
      </c>
      <c r="W200" s="27">
        <f>W196</f>
        <v>1.5</v>
      </c>
      <c r="X200" s="22"/>
      <c r="Y200" s="22"/>
      <c r="Z200" s="40"/>
      <c r="AA200" s="41"/>
      <c r="AB200" s="22"/>
      <c r="AC200" s="22"/>
      <c r="AD200" s="27">
        <f>AD196</f>
        <v>1.5</v>
      </c>
      <c r="AE200" s="28">
        <f>AE196</f>
        <v>1.5477588098445627E-2</v>
      </c>
    </row>
    <row r="201" spans="20:31">
      <c r="T201" s="21"/>
      <c r="U201" s="22"/>
      <c r="V201" s="27"/>
      <c r="W201" s="27"/>
      <c r="X201" s="22"/>
      <c r="Y201" s="22"/>
      <c r="Z201" s="40"/>
      <c r="AA201" s="41"/>
      <c r="AB201" s="22"/>
      <c r="AC201" s="22"/>
      <c r="AD201" s="40"/>
      <c r="AE201" s="24"/>
    </row>
    <row r="202" spans="20:31">
      <c r="T202" s="21"/>
      <c r="U202" s="22"/>
      <c r="V202" s="27">
        <f>-V196</f>
        <v>-0.35</v>
      </c>
      <c r="W202" s="27">
        <f>W196</f>
        <v>1.5</v>
      </c>
      <c r="X202" s="22"/>
      <c r="Y202" s="22"/>
      <c r="Z202" s="40"/>
      <c r="AA202" s="41"/>
      <c r="AB202" s="22"/>
      <c r="AC202" s="22"/>
      <c r="AD202" s="40"/>
      <c r="AE202" s="24"/>
    </row>
    <row r="203" spans="20:31">
      <c r="T203" s="21"/>
      <c r="U203" s="22"/>
      <c r="V203" s="27">
        <f>-V197</f>
        <v>-0.35</v>
      </c>
      <c r="W203" s="27">
        <f>W197</f>
        <v>3.5</v>
      </c>
      <c r="X203" s="22"/>
      <c r="Y203" s="22"/>
      <c r="Z203" s="40"/>
      <c r="AA203" s="41"/>
      <c r="AB203" s="22"/>
      <c r="AC203" s="22"/>
      <c r="AD203" s="40"/>
      <c r="AE203" s="24"/>
    </row>
    <row r="204" spans="20:31">
      <c r="T204" s="21"/>
      <c r="U204" s="22"/>
      <c r="V204" s="27">
        <f>-V198</f>
        <v>0</v>
      </c>
      <c r="W204" s="27">
        <f>W198</f>
        <v>3.5</v>
      </c>
      <c r="X204" s="22"/>
      <c r="Y204" s="22"/>
      <c r="Z204" s="40"/>
      <c r="AA204" s="41"/>
      <c r="AB204" s="22"/>
      <c r="AC204" s="22"/>
      <c r="AD204" s="40"/>
      <c r="AE204" s="24"/>
    </row>
    <row r="205" spans="20:31">
      <c r="T205" s="21"/>
      <c r="U205" s="22"/>
      <c r="V205" s="27">
        <f>-V199</f>
        <v>0</v>
      </c>
      <c r="W205" s="27">
        <f>W199</f>
        <v>1.5</v>
      </c>
      <c r="X205" s="22"/>
      <c r="Y205" s="22"/>
      <c r="Z205" s="40"/>
      <c r="AA205" s="41"/>
      <c r="AB205" s="22"/>
      <c r="AC205" s="22"/>
      <c r="AD205" s="40"/>
      <c r="AE205" s="24"/>
    </row>
    <row r="206" spans="20:31">
      <c r="T206" s="32"/>
      <c r="U206" s="33"/>
      <c r="V206" s="27">
        <f>-V200</f>
        <v>-0.35</v>
      </c>
      <c r="W206" s="27">
        <f>W200</f>
        <v>1.5</v>
      </c>
      <c r="X206" s="33"/>
      <c r="Y206" s="33"/>
      <c r="Z206" s="42"/>
      <c r="AA206" s="43"/>
      <c r="AB206" s="33"/>
      <c r="AC206" s="33"/>
      <c r="AD206" s="42"/>
      <c r="AE206" s="34"/>
    </row>
    <row r="207" spans="20:31">
      <c r="T207" s="21"/>
      <c r="U207" s="22"/>
      <c r="V207" s="40"/>
      <c r="W207" s="41"/>
      <c r="X207" s="22"/>
      <c r="Y207" s="22"/>
      <c r="Z207" s="40"/>
      <c r="AA207" s="41"/>
      <c r="AB207" s="22"/>
      <c r="AC207" s="22"/>
      <c r="AD207" s="40"/>
      <c r="AE207" s="24"/>
    </row>
    <row r="208" spans="20:31">
      <c r="T208" s="21"/>
      <c r="U208" s="22"/>
      <c r="V208" s="40"/>
      <c r="W208" s="41"/>
      <c r="X208" s="22"/>
      <c r="Y208" s="22"/>
      <c r="Z208" s="40"/>
      <c r="AA208" s="41"/>
      <c r="AB208" s="22"/>
      <c r="AC208" s="22"/>
      <c r="AD208" s="40"/>
      <c r="AE208" s="24"/>
    </row>
    <row r="209" spans="20:31">
      <c r="T209" s="21"/>
      <c r="U209" s="22"/>
      <c r="V209" s="40"/>
      <c r="W209" s="41"/>
      <c r="X209" s="22"/>
      <c r="Y209" s="22"/>
      <c r="Z209" s="40"/>
      <c r="AA209" s="41"/>
      <c r="AB209" s="22"/>
      <c r="AC209" s="22"/>
      <c r="AD209" s="40"/>
      <c r="AE209" s="24"/>
    </row>
    <row r="210" spans="20:31">
      <c r="T210" s="258" t="s">
        <v>17</v>
      </c>
      <c r="U210" s="259"/>
      <c r="V210" s="27">
        <f>0.8/2</f>
        <v>0.4</v>
      </c>
      <c r="W210" s="27">
        <f>J10</f>
        <v>1.5</v>
      </c>
      <c r="X210" s="31"/>
      <c r="Y210" s="31"/>
      <c r="Z210" s="38"/>
      <c r="AA210" s="39"/>
      <c r="AB210" s="31"/>
      <c r="AC210" s="31"/>
      <c r="AD210" s="27">
        <f>J10</f>
        <v>1.5</v>
      </c>
      <c r="AE210" s="28">
        <f>J11+D7/2-0.4</f>
        <v>0.51547758809844557</v>
      </c>
    </row>
    <row r="211" spans="20:31">
      <c r="T211" s="21"/>
      <c r="U211" s="22"/>
      <c r="V211" s="27">
        <f>V210</f>
        <v>0.4</v>
      </c>
      <c r="W211" s="27">
        <f>W210+3.125</f>
        <v>4.625</v>
      </c>
      <c r="X211" s="22"/>
      <c r="Y211" s="22"/>
      <c r="Z211" s="40"/>
      <c r="AA211" s="41"/>
      <c r="AB211" s="22"/>
      <c r="AC211" s="22"/>
      <c r="AD211" s="27">
        <f>AD210</f>
        <v>1.5</v>
      </c>
      <c r="AE211" s="28">
        <f>AE210+0.8</f>
        <v>1.3154775880984455</v>
      </c>
    </row>
    <row r="212" spans="20:31">
      <c r="T212" s="21"/>
      <c r="U212" s="22"/>
      <c r="V212" s="27">
        <f>-V210</f>
        <v>-0.4</v>
      </c>
      <c r="W212" s="27">
        <f>W211</f>
        <v>4.625</v>
      </c>
      <c r="X212" s="22"/>
      <c r="Y212" s="22"/>
      <c r="Z212" s="40"/>
      <c r="AA212" s="41"/>
      <c r="AB212" s="22"/>
      <c r="AC212" s="22"/>
      <c r="AD212" s="27">
        <f>AD210+3.125</f>
        <v>4.625</v>
      </c>
      <c r="AE212" s="28">
        <f>AE211</f>
        <v>1.3154775880984455</v>
      </c>
    </row>
    <row r="213" spans="20:31">
      <c r="T213" s="21"/>
      <c r="U213" s="22"/>
      <c r="V213" s="27">
        <f>V212</f>
        <v>-0.4</v>
      </c>
      <c r="W213" s="27">
        <f>W210</f>
        <v>1.5</v>
      </c>
      <c r="X213" s="22"/>
      <c r="Y213" s="22"/>
      <c r="Z213" s="40"/>
      <c r="AA213" s="41"/>
      <c r="AB213" s="22"/>
      <c r="AC213" s="22"/>
      <c r="AD213" s="27">
        <f>AD212</f>
        <v>4.625</v>
      </c>
      <c r="AE213" s="28">
        <f>AE210</f>
        <v>0.51547758809844557</v>
      </c>
    </row>
    <row r="214" spans="20:31">
      <c r="T214" s="32"/>
      <c r="U214" s="33"/>
      <c r="V214" s="27">
        <f>V210</f>
        <v>0.4</v>
      </c>
      <c r="W214" s="27">
        <f>W210</f>
        <v>1.5</v>
      </c>
      <c r="X214" s="33"/>
      <c r="Y214" s="33"/>
      <c r="Z214" s="42"/>
      <c r="AA214" s="43"/>
      <c r="AB214" s="33"/>
      <c r="AC214" s="33"/>
      <c r="AD214" s="27">
        <f>AD210</f>
        <v>1.5</v>
      </c>
      <c r="AE214" s="28">
        <f>AE210</f>
        <v>0.51547758809844557</v>
      </c>
    </row>
    <row r="215" spans="20:31">
      <c r="T215" s="21"/>
      <c r="U215" s="22"/>
      <c r="V215" s="40"/>
      <c r="W215" s="41"/>
      <c r="X215" s="22"/>
      <c r="Y215" s="22"/>
      <c r="Z215" s="40"/>
      <c r="AA215" s="41"/>
      <c r="AB215" s="22"/>
      <c r="AC215" s="22"/>
      <c r="AD215" s="40"/>
      <c r="AE215" s="24"/>
    </row>
    <row r="216" spans="20:31">
      <c r="T216" s="21"/>
      <c r="U216" s="22"/>
      <c r="V216" s="40"/>
      <c r="W216" s="41"/>
      <c r="X216" s="22"/>
      <c r="Y216" s="22"/>
      <c r="Z216" s="40"/>
      <c r="AA216" s="41"/>
      <c r="AB216" s="22"/>
      <c r="AC216" s="22"/>
      <c r="AD216" s="40"/>
      <c r="AE216" s="24"/>
    </row>
    <row r="217" spans="20:31">
      <c r="T217" s="21"/>
      <c r="U217" s="22"/>
      <c r="V217" s="40"/>
      <c r="W217" s="41"/>
      <c r="X217" s="22"/>
      <c r="Y217" s="22"/>
      <c r="Z217" s="40"/>
      <c r="AA217" s="41"/>
      <c r="AB217" s="22"/>
      <c r="AC217" s="22"/>
      <c r="AD217" s="40"/>
      <c r="AE217" s="24"/>
    </row>
    <row r="218" spans="20:31">
      <c r="T218" s="258" t="s">
        <v>18</v>
      </c>
      <c r="U218" s="259"/>
      <c r="V218" s="27">
        <f>1/2</f>
        <v>0.5</v>
      </c>
      <c r="W218" s="27">
        <f>J12</f>
        <v>4.7</v>
      </c>
      <c r="X218" s="31"/>
      <c r="Y218" s="31"/>
      <c r="Z218" s="38"/>
      <c r="AA218" s="39"/>
      <c r="AB218" s="31"/>
      <c r="AC218" s="31"/>
      <c r="AD218" s="27">
        <f>J12</f>
        <v>4.7</v>
      </c>
      <c r="AE218" s="28">
        <f>J13+D7/2-1/2</f>
        <v>0.21547758809844564</v>
      </c>
    </row>
    <row r="219" spans="20:31">
      <c r="T219" s="21"/>
      <c r="U219" s="22"/>
      <c r="V219" s="27">
        <f>1/2</f>
        <v>0.5</v>
      </c>
      <c r="W219" s="27">
        <f>W218+1</f>
        <v>5.7</v>
      </c>
      <c r="X219" s="22"/>
      <c r="Y219" s="22"/>
      <c r="Z219" s="40"/>
      <c r="AA219" s="41"/>
      <c r="AB219" s="22"/>
      <c r="AC219" s="22"/>
      <c r="AD219" s="27">
        <f>AD218</f>
        <v>4.7</v>
      </c>
      <c r="AE219" s="28">
        <f>AE218+1</f>
        <v>1.2154775880984456</v>
      </c>
    </row>
    <row r="220" spans="20:31">
      <c r="T220" s="21"/>
      <c r="U220" s="22"/>
      <c r="V220" s="27">
        <f>-V219</f>
        <v>-0.5</v>
      </c>
      <c r="W220" s="27">
        <f>W219</f>
        <v>5.7</v>
      </c>
      <c r="X220" s="22"/>
      <c r="Y220" s="22"/>
      <c r="Z220" s="40"/>
      <c r="AA220" s="41"/>
      <c r="AB220" s="22"/>
      <c r="AC220" s="22"/>
      <c r="AD220" s="27">
        <f>AD218+1</f>
        <v>5.7</v>
      </c>
      <c r="AE220" s="28">
        <f>AE219</f>
        <v>1.2154775880984456</v>
      </c>
    </row>
    <row r="221" spans="20:31">
      <c r="T221" s="21"/>
      <c r="U221" s="22"/>
      <c r="V221" s="27">
        <f>-V218</f>
        <v>-0.5</v>
      </c>
      <c r="W221" s="27">
        <f>W218</f>
        <v>4.7</v>
      </c>
      <c r="X221" s="22"/>
      <c r="Y221" s="22"/>
      <c r="Z221" s="40"/>
      <c r="AA221" s="41"/>
      <c r="AB221" s="22"/>
      <c r="AC221" s="22"/>
      <c r="AD221" s="27">
        <f>AD220</f>
        <v>5.7</v>
      </c>
      <c r="AE221" s="28">
        <f>AE218</f>
        <v>0.21547758809844564</v>
      </c>
    </row>
    <row r="222" spans="20:31" ht="13.5" thickBot="1">
      <c r="T222" s="25"/>
      <c r="U222" s="26"/>
      <c r="V222" s="29">
        <f>V218</f>
        <v>0.5</v>
      </c>
      <c r="W222" s="29">
        <f>W218</f>
        <v>4.7</v>
      </c>
      <c r="X222" s="26"/>
      <c r="Y222" s="26"/>
      <c r="Z222" s="45"/>
      <c r="AA222" s="46"/>
      <c r="AB222" s="26"/>
      <c r="AC222" s="26"/>
      <c r="AD222" s="29">
        <f>AD218</f>
        <v>4.7</v>
      </c>
      <c r="AE222" s="30">
        <f>AE218</f>
        <v>0.21547758809844564</v>
      </c>
    </row>
    <row r="223" spans="20:31" ht="13.5" thickTop="1"/>
  </sheetData>
  <mergeCells count="17">
    <mergeCell ref="V11:W11"/>
    <mergeCell ref="Z11:AA11"/>
    <mergeCell ref="T36:U36"/>
    <mergeCell ref="AD11:AE11"/>
    <mergeCell ref="T218:U218"/>
    <mergeCell ref="T210:U210"/>
    <mergeCell ref="T196:U196"/>
    <mergeCell ref="T173:U173"/>
    <mergeCell ref="C2:J3"/>
    <mergeCell ref="T128:U128"/>
    <mergeCell ref="T126:U126"/>
    <mergeCell ref="T14:U14"/>
    <mergeCell ref="T118:U118"/>
    <mergeCell ref="T102:U102"/>
    <mergeCell ref="T104:U104"/>
    <mergeCell ref="T90:U90"/>
    <mergeCell ref="T78:U78"/>
  </mergeCells>
  <phoneticPr fontId="2" type="noConversion"/>
  <pageMargins left="0.78740157499999996" right="0.78740157499999996" top="0.984251969" bottom="0.984251969" header="0.4921259845" footer="0.4921259845"/>
  <pageSetup paperSize="9" orientation="portrait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268</vt:i4>
      </vt:variant>
    </vt:vector>
  </HeadingPairs>
  <TitlesOfParts>
    <vt:vector size="279" baseType="lpstr">
      <vt:lpstr>Conditions de vol</vt:lpstr>
      <vt:lpstr>Géométrie</vt:lpstr>
      <vt:lpstr>Aerodynamique</vt:lpstr>
      <vt:lpstr>Masses</vt:lpstr>
      <vt:lpstr>Centrage</vt:lpstr>
      <vt:lpstr>Marge statique</vt:lpstr>
      <vt:lpstr>Calage voilure</vt:lpstr>
      <vt:lpstr>Montée</vt:lpstr>
      <vt:lpstr>Croisière</vt:lpstr>
      <vt:lpstr>Descente</vt:lpstr>
      <vt:lpstr>Dessin aménagé</vt:lpstr>
      <vt:lpstr>_r</vt:lpstr>
      <vt:lpstr>a</vt:lpstr>
      <vt:lpstr>a_fus</vt:lpstr>
      <vt:lpstr>a_nac</vt:lpstr>
      <vt:lpstr>all_emp</vt:lpstr>
      <vt:lpstr>all_fus</vt:lpstr>
      <vt:lpstr>all_voil</vt:lpstr>
      <vt:lpstr>alpha</vt:lpstr>
      <vt:lpstr>alpha_calage_voil</vt:lpstr>
      <vt:lpstr>alpha_max</vt:lpstr>
      <vt:lpstr>alpha_max_voil</vt:lpstr>
      <vt:lpstr>alpha_voilure</vt:lpstr>
      <vt:lpstr>alpha0_emp</vt:lpstr>
      <vt:lpstr>alpha0_voil</vt:lpstr>
      <vt:lpstr>Alt</vt:lpstr>
      <vt:lpstr>Altm</vt:lpstr>
      <vt:lpstr>b_emp</vt:lpstr>
      <vt:lpstr>b_emp_globalhawk</vt:lpstr>
      <vt:lpstr>b_voil</vt:lpstr>
      <vt:lpstr>b_voil_globalhawk</vt:lpstr>
      <vt:lpstr>c_emp_emplanture</vt:lpstr>
      <vt:lpstr>c_emp_emplanture_globalhawk</vt:lpstr>
      <vt:lpstr>c_emp_saumon</vt:lpstr>
      <vt:lpstr>c_emp_saumon_globalhawk</vt:lpstr>
      <vt:lpstr>c_fus</vt:lpstr>
      <vt:lpstr>c_nac</vt:lpstr>
      <vt:lpstr>c_voil_boutreservoir</vt:lpstr>
      <vt:lpstr>c_voil_emplanture</vt:lpstr>
      <vt:lpstr>c_voil_saumon</vt:lpstr>
      <vt:lpstr>CEmplanture</vt:lpstr>
      <vt:lpstr>Cf_fus</vt:lpstr>
      <vt:lpstr>Cf_nac</vt:lpstr>
      <vt:lpstr>Cm_voil</vt:lpstr>
      <vt:lpstr>CMA_emp</vt:lpstr>
      <vt:lpstr>CMA_voil</vt:lpstr>
      <vt:lpstr>Cp</vt:lpstr>
      <vt:lpstr>Cs</vt:lpstr>
      <vt:lpstr>Cs0</vt:lpstr>
      <vt:lpstr>CSaumon</vt:lpstr>
      <vt:lpstr>CsPrime</vt:lpstr>
      <vt:lpstr>CU</vt:lpstr>
      <vt:lpstr>cv</vt:lpstr>
      <vt:lpstr>Cv_emp</vt:lpstr>
      <vt:lpstr>Cx_additif</vt:lpstr>
      <vt:lpstr>Cx_avion</vt:lpstr>
      <vt:lpstr>Cx_profil_emp</vt:lpstr>
      <vt:lpstr>Cx_profil_empennage</vt:lpstr>
      <vt:lpstr>Cx0_additif</vt:lpstr>
      <vt:lpstr>Cx0_avion</vt:lpstr>
      <vt:lpstr>CX0_emp</vt:lpstr>
      <vt:lpstr>Cx0_fus</vt:lpstr>
      <vt:lpstr>Cx0_nac</vt:lpstr>
      <vt:lpstr>Cx0_profil_voil</vt:lpstr>
      <vt:lpstr>Cx0_voil</vt:lpstr>
      <vt:lpstr>Cxi_avion</vt:lpstr>
      <vt:lpstr>Cxi_emp</vt:lpstr>
      <vt:lpstr>Cxi_emp_ref</vt:lpstr>
      <vt:lpstr>Cxi_fus</vt:lpstr>
      <vt:lpstr>Cxi_nac</vt:lpstr>
      <vt:lpstr>Cxi_voil_brut</vt:lpstr>
      <vt:lpstr>Cz_avion</vt:lpstr>
      <vt:lpstr>Cz_emp</vt:lpstr>
      <vt:lpstr>Cz_emp_brut</vt:lpstr>
      <vt:lpstr>Cz_fmax</vt:lpstr>
      <vt:lpstr>Cz_fus</vt:lpstr>
      <vt:lpstr>Cz_nac</vt:lpstr>
      <vt:lpstr>Cz_voil</vt:lpstr>
      <vt:lpstr>Cz_voil_brut</vt:lpstr>
      <vt:lpstr>Czalpha_emp</vt:lpstr>
      <vt:lpstr>Czalpha_emp_brut</vt:lpstr>
      <vt:lpstr>Czalpha_emp_complet</vt:lpstr>
      <vt:lpstr>Czalpha_fus</vt:lpstr>
      <vt:lpstr>Czalpha_fus_arriere</vt:lpstr>
      <vt:lpstr>Czalpha_fus_avant</vt:lpstr>
      <vt:lpstr>Czalpha_fus_central</vt:lpstr>
      <vt:lpstr>Czalpha_inc__voil</vt:lpstr>
      <vt:lpstr>Czalpha_inc_emp</vt:lpstr>
      <vt:lpstr>Czalpha_inc_voil</vt:lpstr>
      <vt:lpstr>Czalpha_nac</vt:lpstr>
      <vt:lpstr>Czalpha_voil</vt:lpstr>
      <vt:lpstr>Czalpha_voil_brut</vt:lpstr>
      <vt:lpstr>Czalpha_voil_complete</vt:lpstr>
      <vt:lpstr>Czaplha_emp_complet</vt:lpstr>
      <vt:lpstr>Czmax_profil_voil</vt:lpstr>
      <vt:lpstr>Czmax_voil</vt:lpstr>
      <vt:lpstr>D</vt:lpstr>
      <vt:lpstr>D_satcom</vt:lpstr>
      <vt:lpstr>D0</vt:lpstr>
      <vt:lpstr>D0Prime</vt:lpstr>
      <vt:lpstr>da</vt:lpstr>
      <vt:lpstr>dc</vt:lpstr>
      <vt:lpstr>delta</vt:lpstr>
      <vt:lpstr>deltam</vt:lpstr>
      <vt:lpstr>DFus</vt:lpstr>
      <vt:lpstr>diedre_emp</vt:lpstr>
      <vt:lpstr>Dm</vt:lpstr>
      <vt:lpstr>DMancheAir</vt:lpstr>
      <vt:lpstr>DMoteur</vt:lpstr>
      <vt:lpstr>DMoteurPrime</vt:lpstr>
      <vt:lpstr>DNac</vt:lpstr>
      <vt:lpstr>DNacelle</vt:lpstr>
      <vt:lpstr>DTuyere</vt:lpstr>
      <vt:lpstr>e</vt:lpstr>
      <vt:lpstr>echelle_globalhawk</vt:lpstr>
      <vt:lpstr>eff_emp</vt:lpstr>
      <vt:lpstr>eff_voil</vt:lpstr>
      <vt:lpstr>er_emp</vt:lpstr>
      <vt:lpstr>er_voil</vt:lpstr>
      <vt:lpstr>F0</vt:lpstr>
      <vt:lpstr>FDispo</vt:lpstr>
      <vt:lpstr>finesse_max</vt:lpstr>
      <vt:lpstr>fleche_voil</vt:lpstr>
      <vt:lpstr>Fleche0</vt:lpstr>
      <vt:lpstr>Fleche0_emp</vt:lpstr>
      <vt:lpstr>Fleche50</vt:lpstr>
      <vt:lpstr>Fleche50_emp</vt:lpstr>
      <vt:lpstr>Fleche50_voil</vt:lpstr>
      <vt:lpstr>FNet</vt:lpstr>
      <vt:lpstr>FNetPrime</vt:lpstr>
      <vt:lpstr>FNetPrime0</vt:lpstr>
      <vt:lpstr>FUtile</vt:lpstr>
      <vt:lpstr>g</vt:lpstr>
      <vt:lpstr>gamma</vt:lpstr>
      <vt:lpstr>Gamma_emp</vt:lpstr>
      <vt:lpstr>Groupe</vt:lpstr>
      <vt:lpstr>H_carburant</vt:lpstr>
      <vt:lpstr>h_cdg_ecoute</vt:lpstr>
      <vt:lpstr>h_cdg_radar</vt:lpstr>
      <vt:lpstr>h_cdg_satcom</vt:lpstr>
      <vt:lpstr>k_emp</vt:lpstr>
      <vt:lpstr>Ki</vt:lpstr>
      <vt:lpstr>L_ecoute</vt:lpstr>
      <vt:lpstr>L_radar</vt:lpstr>
      <vt:lpstr>L_reservoir</vt:lpstr>
      <vt:lpstr>L_reservoir_fus</vt:lpstr>
      <vt:lpstr>L_satcom</vt:lpstr>
      <vt:lpstr>LEmplanture</vt:lpstr>
      <vt:lpstr>LExtremite</vt:lpstr>
      <vt:lpstr>LFus</vt:lpstr>
      <vt:lpstr>LMancheAir</vt:lpstr>
      <vt:lpstr>LMoteur</vt:lpstr>
      <vt:lpstr>LMoteurPrime</vt:lpstr>
      <vt:lpstr>LNac</vt:lpstr>
      <vt:lpstr>LNacelle</vt:lpstr>
      <vt:lpstr>LTuyere</vt:lpstr>
      <vt:lpstr>M_amenagement</vt:lpstr>
      <vt:lpstr>M_carb_fus</vt:lpstr>
      <vt:lpstr>M_carb_voil</vt:lpstr>
      <vt:lpstr>M_cdv</vt:lpstr>
      <vt:lpstr>M_debut_croisiere</vt:lpstr>
      <vt:lpstr>M_debut_descente</vt:lpstr>
      <vt:lpstr>M_ecoute</vt:lpstr>
      <vt:lpstr>m_microisiere</vt:lpstr>
      <vt:lpstr>M_montee_maximale</vt:lpstr>
      <vt:lpstr>M_planeur</vt:lpstr>
      <vt:lpstr>M_propu</vt:lpstr>
      <vt:lpstr>M_radar</vt:lpstr>
      <vt:lpstr>m_roulage_forfaitaire</vt:lpstr>
      <vt:lpstr>m_roulage_forfataire</vt:lpstr>
      <vt:lpstr>M_satcom</vt:lpstr>
      <vt:lpstr>M_systemes</vt:lpstr>
      <vt:lpstr>Mach</vt:lpstr>
      <vt:lpstr>Mach_montee</vt:lpstr>
      <vt:lpstr>marge_statique</vt:lpstr>
      <vt:lpstr>Masse_avion_remplissage_0</vt:lpstr>
      <vt:lpstr>Masse_avion_remplissage_40</vt:lpstr>
      <vt:lpstr>Masse_avion_remplissage_microisiere</vt:lpstr>
      <vt:lpstr>Masse_avion_remplissage_quelconque</vt:lpstr>
      <vt:lpstr>MEQUIPAGE</vt:lpstr>
      <vt:lpstr>Mfuselage</vt:lpstr>
      <vt:lpstr>MMoteur</vt:lpstr>
      <vt:lpstr>MMoteurPrime</vt:lpstr>
      <vt:lpstr>MTOW</vt:lpstr>
      <vt:lpstr>MTOW_cible</vt:lpstr>
      <vt:lpstr>MVIDE</vt:lpstr>
      <vt:lpstr>MVIDEEQUIPE</vt:lpstr>
      <vt:lpstr>MVOE</vt:lpstr>
      <vt:lpstr>MVOE_cible</vt:lpstr>
      <vt:lpstr>Mvoilure</vt:lpstr>
      <vt:lpstr>N</vt:lpstr>
      <vt:lpstr>nu</vt:lpstr>
      <vt:lpstr>Nz</vt:lpstr>
      <vt:lpstr>P</vt:lpstr>
      <vt:lpstr>point_cassure_cockpit</vt:lpstr>
      <vt:lpstr>Pt</vt:lpstr>
      <vt:lpstr>QI</vt:lpstr>
      <vt:lpstr>RCourbureMancheAir</vt:lpstr>
      <vt:lpstr>Re_emp</vt:lpstr>
      <vt:lpstr>Re_fus</vt:lpstr>
      <vt:lpstr>Re_nac</vt:lpstr>
      <vt:lpstr>rho</vt:lpstr>
      <vt:lpstr>S_1_reservoir</vt:lpstr>
      <vt:lpstr>S_2_reservoir</vt:lpstr>
      <vt:lpstr>S0</vt:lpstr>
      <vt:lpstr>Sext_emp</vt:lpstr>
      <vt:lpstr>Sext_voil</vt:lpstr>
      <vt:lpstr>sigma</vt:lpstr>
      <vt:lpstr>Sm_emp</vt:lpstr>
      <vt:lpstr>Sm_fus</vt:lpstr>
      <vt:lpstr>Sm_nac</vt:lpstr>
      <vt:lpstr>Sm_totale</vt:lpstr>
      <vt:lpstr>Sm_voil</vt:lpstr>
      <vt:lpstr>SMaitreCouple_fus</vt:lpstr>
      <vt:lpstr>SMaitreCouple_nac</vt:lpstr>
      <vt:lpstr>SMaitreCoupleNacelle</vt:lpstr>
      <vt:lpstr>SRef</vt:lpstr>
      <vt:lpstr>SRef_emp</vt:lpstr>
      <vt:lpstr>T</vt:lpstr>
      <vt:lpstr>Taux_remplissage</vt:lpstr>
      <vt:lpstr>Taux_remplissage_microisiere</vt:lpstr>
      <vt:lpstr>Tt</vt:lpstr>
      <vt:lpstr>V</vt:lpstr>
      <vt:lpstr>Vol_dispo</vt:lpstr>
      <vt:lpstr>Vol_occupe</vt:lpstr>
      <vt:lpstr>Volume</vt:lpstr>
      <vt:lpstr>Volume_dispo</vt:lpstr>
      <vt:lpstr>Volume_occupe</vt:lpstr>
      <vt:lpstr>Vz_atterrissage</vt:lpstr>
      <vt:lpstr>x_carb_fus</vt:lpstr>
      <vt:lpstr>x_carb_total</vt:lpstr>
      <vt:lpstr>x_carb_voil</vt:lpstr>
      <vt:lpstr>x_cdg_amenagement</vt:lpstr>
      <vt:lpstr>x_cdg_att</vt:lpstr>
      <vt:lpstr>x_cdg_avion</vt:lpstr>
      <vt:lpstr>x_cdg_avion_cible</vt:lpstr>
      <vt:lpstr>x_cdg_avion_cile</vt:lpstr>
      <vt:lpstr>x_cdg_avion_plein</vt:lpstr>
      <vt:lpstr>x_cdg_avion_remplissage_0</vt:lpstr>
      <vt:lpstr>x_cdg_avion_remplissage_40</vt:lpstr>
      <vt:lpstr>x_cdg_avion_remplissage_microisiere</vt:lpstr>
      <vt:lpstr>x_cdg_avion_remplissagequelconque</vt:lpstr>
      <vt:lpstr>x_cdg_circuitcomb</vt:lpstr>
      <vt:lpstr>x_cdg_CU</vt:lpstr>
      <vt:lpstr>x_cdg_ecoute</vt:lpstr>
      <vt:lpstr>x_cdg_emp</vt:lpstr>
      <vt:lpstr>x_cdg_fus</vt:lpstr>
      <vt:lpstr>x_cdg_inconsommables</vt:lpstr>
      <vt:lpstr>x_cdg_moteur</vt:lpstr>
      <vt:lpstr>x_cdg_nac</vt:lpstr>
      <vt:lpstr>x_cdg_nav</vt:lpstr>
      <vt:lpstr>x_cdg_planeur</vt:lpstr>
      <vt:lpstr>x_cdg_propu</vt:lpstr>
      <vt:lpstr>x_cdg_radar</vt:lpstr>
      <vt:lpstr>x_cdg_satcom</vt:lpstr>
      <vt:lpstr>x_cdg_serv</vt:lpstr>
      <vt:lpstr>x_cdg_soute</vt:lpstr>
      <vt:lpstr>x_cdg_systemes</vt:lpstr>
      <vt:lpstr>x_cdg_tuy</vt:lpstr>
      <vt:lpstr>x_cdg_vide</vt:lpstr>
      <vt:lpstr>x_cdg_voil</vt:lpstr>
      <vt:lpstr>x_debut_ecoute</vt:lpstr>
      <vt:lpstr>x_debut_empennage</vt:lpstr>
      <vt:lpstr>x_debut_moteur</vt:lpstr>
      <vt:lpstr>x_debut_radar</vt:lpstr>
      <vt:lpstr>x_debut_reservoir</vt:lpstr>
      <vt:lpstr>x_debut_satcom</vt:lpstr>
      <vt:lpstr>x_debut_tuyere</vt:lpstr>
      <vt:lpstr>x_debut_voilure</vt:lpstr>
      <vt:lpstr>x_debutvoilure</vt:lpstr>
      <vt:lpstr>x_foyer</vt:lpstr>
      <vt:lpstr>x_foyer_emp</vt:lpstr>
      <vt:lpstr>x_foyer_fus</vt:lpstr>
      <vt:lpstr>x_foyer_voil</vt:lpstr>
      <vt:lpstr>x_trainauxiliaire</vt:lpstr>
      <vt:lpstr>x_trainprincipal</vt:lpstr>
      <vt:lpstr>Y_cma_emp</vt:lpstr>
      <vt:lpstr>Y_cma_voil</vt:lpstr>
      <vt:lpstr>Ycg_carburant</vt:lpstr>
    </vt:vector>
  </TitlesOfParts>
  <Company>DGA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BARRAUDj</dc:creator>
  <cp:lastModifiedBy>Korbinian Stadlberger</cp:lastModifiedBy>
  <dcterms:created xsi:type="dcterms:W3CDTF">2004-08-09T11:19:38Z</dcterms:created>
  <dcterms:modified xsi:type="dcterms:W3CDTF">2009-05-25T01:26:31Z</dcterms:modified>
</cp:coreProperties>
</file>